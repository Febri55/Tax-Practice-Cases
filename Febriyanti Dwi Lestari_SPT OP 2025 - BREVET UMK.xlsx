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890FA9D0-F000-4F8F-ACD9-316E9663CAE5}" xr6:coauthVersionLast="43" xr6:coauthVersionMax="47" xr10:uidLastSave="{00000000-0000-0000-0000-000000000000}"/>
  <bookViews>
    <workbookView xWindow="-120" yWindow="-120" windowWidth="20730" windowHeight="11040" tabRatio="803" firstSheet="1" activeTab="12" xr2:uid="{C64625EE-A5E2-470A-8368-F6192DC0E73A}"/>
  </bookViews>
  <sheets>
    <sheet name="SOAL KASUS" sheetId="30" r:id="rId1"/>
    <sheet name="BP A1" sheetId="31" r:id="rId2"/>
    <sheet name="INDUK 1" sheetId="2" r:id="rId3"/>
    <sheet name="INDUK 2" sheetId="6" r:id="rId4"/>
    <sheet name="Lampiran 1.1" sheetId="9" r:id="rId5"/>
    <sheet name="Lampiran 1.2" sheetId="11" r:id="rId6"/>
    <sheet name="Lampiran 1.3" sheetId="12" r:id="rId7"/>
    <sheet name="Lampiran 2" sheetId="13" r:id="rId8"/>
    <sheet name="Lampiran 3A-1" sheetId="16" state="hidden" r:id="rId9"/>
    <sheet name="Lampiran 3A-2" sheetId="17" state="hidden" r:id="rId10"/>
    <sheet name="Lampiran 3A-3" sheetId="19" state="hidden" r:id="rId11"/>
    <sheet name="Lampiran 3A-4" sheetId="20" r:id="rId12"/>
    <sheet name="Lampiran 3B" sheetId="21" r:id="rId13"/>
    <sheet name="Lampiran 3C" sheetId="22" state="hidden" r:id="rId14"/>
    <sheet name="Lampiran 3D" sheetId="23" state="hidden" r:id="rId15"/>
    <sheet name="Lampiran 4" sheetId="25" state="hidden" r:id="rId16"/>
    <sheet name="Lampiran 5" sheetId="26" state="hidden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\c">#REF!</definedName>
    <definedName name="\D">#REF!</definedName>
    <definedName name="___TGL1">#REF!</definedName>
    <definedName name="___TGL2">#REF!</definedName>
    <definedName name="__123Graph_A" hidden="1">[1]C!#REF!</definedName>
    <definedName name="__IntlFixup" hidden="1">TRUE</definedName>
    <definedName name="_16001">'[2]DAF.INVEN U.O'!#REF!</definedName>
    <definedName name="_16002">'[2]DAF.INVEN U.O'!#REF!</definedName>
    <definedName name="_16003">'[2]DAF.INVEN U.O'!#REF!</definedName>
    <definedName name="_16004">'[2]DAF.INVEN U.O'!#REF!</definedName>
    <definedName name="_5">#REF!</definedName>
    <definedName name="_6">#REF!</definedName>
    <definedName name="_c">#REF!</definedName>
    <definedName name="_Fil" hidden="1">[3]LPP!#REF!</definedName>
    <definedName name="_Fill" localSheetId="1" hidden="1">#REF!</definedName>
    <definedName name="_Fill" hidden="1">#REF!</definedName>
    <definedName name="_xlnm._FilterDatabase" localSheetId="0" hidden="1">'SOAL KASUS'!$D$9:$D$15</definedName>
    <definedName name="_xlnm._FilterDatabase" hidden="1">#REF!</definedName>
    <definedName name="_Key1" localSheetId="1" hidden="1">#REF!</definedName>
    <definedName name="_Key1" hidden="1">#REF!</definedName>
    <definedName name="_Key2" hidden="1">[4]DbKtr!#REF!</definedName>
    <definedName name="_Order1" hidden="1">255</definedName>
    <definedName name="_Order2" hidden="1">255</definedName>
    <definedName name="_Regression_Int" hidden="1">1</definedName>
    <definedName name="_Sort" localSheetId="1" hidden="1">#REF!</definedName>
    <definedName name="_Sort" hidden="1">#REF!</definedName>
    <definedName name="_TGL1">#REF!</definedName>
    <definedName name="_TGL2">#REF!</definedName>
    <definedName name="a" localSheetId="1">#REF!</definedName>
    <definedName name="a" hidden="1">#REF!</definedName>
    <definedName name="a1nusantara" hidden="1">[5]KOR!#REF!</definedName>
    <definedName name="aa">#REF!</definedName>
    <definedName name="aaa" hidden="1">[6]A!#REF!</definedName>
    <definedName name="AccessDatabase" hidden="1">"C:\My Documents\MAUI MALL1.mdb"</definedName>
    <definedName name="ACwvu.CapersView." hidden="1">[7]MASTER!#REF!</definedName>
    <definedName name="ACwvu.Japan_Capers_Ed_Pub." hidden="1">#REF!</definedName>
    <definedName name="ACwvu.KJP_CC." hidden="1">#REF!</definedName>
    <definedName name="ADA">#REF!</definedName>
    <definedName name="ag" hidden="1">#REF!</definedName>
    <definedName name="Agustus">#REF!</definedName>
    <definedName name="aju">#REF!</definedName>
    <definedName name="aktiva" localSheetId="1">'[8]Daftar Aktiva'!$A$1:$F$65536</definedName>
    <definedName name="aktiva">'[9]Daftar Aktiva'!$A:$F</definedName>
    <definedName name="ALAMAT" localSheetId="1">#REF!</definedName>
    <definedName name="ALAMAT">#REF!</definedName>
    <definedName name="an">'[10]WBS (2)salah'!$2:$4</definedName>
    <definedName name="ANA\" localSheetId="1">#REF!</definedName>
    <definedName name="ANA\">#REF!</definedName>
    <definedName name="Angsuran">'[11]Perhitungan Pegawai Tetap'!#REF!</definedName>
    <definedName name="anscount" hidden="1">4</definedName>
    <definedName name="anugrah">#REF!</definedName>
    <definedName name="April">#REF!</definedName>
    <definedName name="apwSetWP">[12]MAIN!$BK$38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asda" hidden="1">#REF!</definedName>
    <definedName name="asdf">#REF!</definedName>
    <definedName name="b">#REF!</definedName>
    <definedName name="baru" hidden="1">#REF!</definedName>
    <definedName name="batasbps">[12]MAIN!$C$26</definedName>
    <definedName name="BG_Del" hidden="1">15</definedName>
    <definedName name="BG_Ins" hidden="1">4</definedName>
    <definedName name="BG_Mod" hidden="1">6</definedName>
    <definedName name="cek">#REF!</definedName>
    <definedName name="Code" hidden="1">#REF!</definedName>
    <definedName name="Cwvu.CapersView." hidden="1">[7]MASTER!#REF!</definedName>
    <definedName name="Cwvu.Japan_Capers_Ed_Pub." hidden="1">[7]MASTER!#REF!</definedName>
    <definedName name="Cwvu.KJP_CC." hidden="1">[7]MASTER!#REF!,[7]MASTER!#REF!,[7]MASTER!#REF!,[7]MASTER!#REF!,[7]MASTER!#REF!,[7]MASTER!#REF!,[7]MASTER!#REF!,[7]MASTER!#REF!,[7]MASTER!#REF!,[7]MASTER!#REF!,[7]MASTER!#REF!,[7]MASTER!#REF!,[7]MASTER!#REF!,[7]MASTER!#REF!,[7]MASTER!#REF!,[7]MASTER!#REF!,[7]MASTER!#REF!,[7]MASTER!#REF!,[7]MASTER!#REF!,[7]MASTER!#REF!</definedName>
    <definedName name="D" hidden="1">#REF!</definedName>
    <definedName name="data">#REF!</definedName>
    <definedName name="data1" hidden="1">#REF!</definedName>
    <definedName name="data2" hidden="1">#REF!</definedName>
    <definedName name="data3" hidden="1">#REF!</definedName>
    <definedName name="_xlnm.Database">#REF!</definedName>
    <definedName name="datacabang">[12]MAIN!$C$25</definedName>
    <definedName name="dbase" localSheetId="1">#REF!</definedName>
    <definedName name="dbase">'[13]Lembar Penolong'!$A:$CD</definedName>
    <definedName name="dbase1" localSheetId="1">'[14]1721-A1_2014'!$DO$80:$ET$579</definedName>
    <definedName name="dbase1">'[15]1721-A1_2014'!#REF!</definedName>
    <definedName name="dbase2" localSheetId="1">#REF!</definedName>
    <definedName name="dbase2">'[16]Lembar Penolong'!$CA$1:$CJ$65536</definedName>
    <definedName name="dbasic">'[13]Lembar Penolong'!$C:$CB</definedName>
    <definedName name="dec">#REF!</definedName>
    <definedName name="December">#REF!</definedName>
    <definedName name="detil">#REF!</definedName>
    <definedName name="detil1cols">[12]Barang!$F$2</definedName>
    <definedName name="detil1rows">[12]Barang!$F$1</definedName>
    <definedName name="dfhdh" hidden="1">#REF!</definedName>
    <definedName name="Discount" hidden="1">#REF!</definedName>
    <definedName name="display_area_2" hidden="1">#REF!</definedName>
    <definedName name="dlbps">[12]MAIN!$BK$9</definedName>
    <definedName name="dlppna1">[12]MAIN!$BK$18</definedName>
    <definedName name="dlppna2">[12]MAIN!$BK$19</definedName>
    <definedName name="dlppnb1">[12]MAIN!$BK$20</definedName>
    <definedName name="dlppnb2">[12]MAIN!$BK$21</definedName>
    <definedName name="dlppnb3">[12]MAIN!$BK$22</definedName>
    <definedName name="dltunggakan">[12]MAIN!$BK$17</definedName>
    <definedName name="ert">'[17]WS Gmpng'!$A$9:$AD$190</definedName>
    <definedName name="Excel_BuiltIn_Database">#REF!</definedName>
    <definedName name="Excel_BuiltIn_Print_Area">NA()</definedName>
    <definedName name="Excel_BuiltIn_Print_Area_1">#REF!</definedName>
    <definedName name="Excel_BuiltIn_Print_Area_2_1">#REF!</definedName>
    <definedName name="Excel_BuiltIn_Print_Titles">#REF!</definedName>
    <definedName name="FCode" hidden="1">#REF!</definedName>
    <definedName name="Februari">#REF!</definedName>
    <definedName name="GAMPANG" hidden="1">'[18]07-01'!#REF!</definedName>
    <definedName name="harta" localSheetId="1">'[19]Daftar Aktiva'!$A$1:$F$65536</definedName>
    <definedName name="harta">'[20]Daftar Aktiva'!$A$1:$F$65536</definedName>
    <definedName name="HiddenRows" hidden="1">#REF!</definedName>
    <definedName name="HTML_CodePage" hidden="1">1252</definedName>
    <definedName name="HTML_Control" hidden="1">{"'PRODUCTIONCOST SHEET'!$B$3:$G$48"}</definedName>
    <definedName name="HTML_Description" hidden="1">"DRAFT"</definedName>
    <definedName name="HTML_Email" hidden="1">"Patrick_Blattner@Studio.Disney.com"</definedName>
    <definedName name="HTML_Header" hidden="1">"EXISTING &amp; FUTURE PRODUCTS (CONFIDENTIAL)"</definedName>
    <definedName name="HTML_LastUpdate" hidden="1">"2/8/98"</definedName>
    <definedName name="HTML_LineAfter" hidden="1">FALSE</definedName>
    <definedName name="HTML_LineBefore" hidden="1">TRUE</definedName>
    <definedName name="HTML_Name" hidden="1">"Patrick Blattner"</definedName>
    <definedName name="HTML_OBDlg2" hidden="1">TRUE</definedName>
    <definedName name="HTML_OBDlg4" hidden="1">TRUE</definedName>
    <definedName name="HTML_OS" hidden="1">0</definedName>
    <definedName name="HTML_PathFile" hidden="1">"K:\ANIMATE\SECURE\Production\INTRANET\ANI.HTML.htm"</definedName>
    <definedName name="HTML_Title" hidden="1">"2D ANIMATION PRODUCTION TABLE"</definedName>
    <definedName name="i" hidden="1">#REF!</definedName>
    <definedName name="idcabang">[12]MAIN!$BK$6</definedName>
    <definedName name="Januari">#REF!</definedName>
    <definedName name="jenisSPTBPS">[12]MAIN!$BK$62</definedName>
    <definedName name="Juli">#REF!</definedName>
    <definedName name="JUMLAH" localSheetId="1">#REF!</definedName>
    <definedName name="JUMLAH">#REF!</definedName>
    <definedName name="jumlahcabang">[12]MAIN!$Z$3</definedName>
    <definedName name="jumlahSPTTahun">[12]MAIN!$BK$59</definedName>
    <definedName name="jumpeg" localSheetId="1">#REF!</definedName>
    <definedName name="jumpeg">'[16]Lembar Penolong'!$C$9:$C$508</definedName>
    <definedName name="jumpeg1" localSheetId="1">#REF!</definedName>
    <definedName name="jumpeg1">'[13]Lembar Penolong'!$BR$9:$BR$508</definedName>
    <definedName name="jumpeg2" localSheetId="1">#REF!</definedName>
    <definedName name="jumpeg2">'[13]Lembar Penolong'!$BZ$9:$BZ$508</definedName>
    <definedName name="Juni">#REF!</definedName>
    <definedName name="kategoriWP">[12]MAIN!$BK$41</definedName>
    <definedName name="KOTA" localSheetId="1">#REF!</definedName>
    <definedName name="KOTA">#REF!</definedName>
    <definedName name="KPP" localSheetId="1">#REF!</definedName>
    <definedName name="kpp" hidden="1">'[21]ISI DISINI'!$C$22</definedName>
    <definedName name="kuhb" hidden="1">[6]A!#REF!</definedName>
    <definedName name="KUHBS" hidden="1">[6]A!#REF!</definedName>
    <definedName name="kwl" hidden="1">'[21]ISI DISINI'!$C$23</definedName>
    <definedName name="l" localSheetId="1">#REF!</definedName>
    <definedName name="l" hidden="1">#REF!</definedName>
    <definedName name="limcount" hidden="1">3</definedName>
    <definedName name="majak" localSheetId="1">#REF!</definedName>
    <definedName name="majak">'[22]Data Pemotong'!$X$5:$Y$19</definedName>
    <definedName name="MAP">[23]DATA!$C$12</definedName>
    <definedName name="mar">#REF!</definedName>
    <definedName name="Maret">#REF!</definedName>
    <definedName name="may">#REF!</definedName>
    <definedName name="Mei">#REF!</definedName>
    <definedName name="miol">#REF!</definedName>
    <definedName name="mpajak">'[24]Form Impor eSPT2'!$AL$9:$AM$20</definedName>
    <definedName name="mulaiimpor">#REF!</definedName>
    <definedName name="NAMA" localSheetId="1">#REF!</definedName>
    <definedName name="NAMA">#REF!</definedName>
    <definedName name="NAMA1" localSheetId="1">#REF!</definedName>
    <definedName name="NAMA1">#REF!</definedName>
    <definedName name="NAMA2">#REF!</definedName>
    <definedName name="nm">#REF!</definedName>
    <definedName name="no">[25]dbRp!$B$2:$I$10</definedName>
    <definedName name="No_01">#REF!</definedName>
    <definedName name="No_02">#REF!</definedName>
    <definedName name="No_03">#REF!</definedName>
    <definedName name="No_04">#REF!</definedName>
    <definedName name="No_05">#REF!</definedName>
    <definedName name="No_06">#REF!</definedName>
    <definedName name="No_07">#REF!</definedName>
    <definedName name="No_08">#REF!</definedName>
    <definedName name="No_09">#REF!</definedName>
    <definedName name="No_10">#REF!</definedName>
    <definedName name="No_11">#REF!</definedName>
    <definedName name="No_12">#REF!</definedName>
    <definedName name="No_13">#REF!</definedName>
    <definedName name="No_14">#REF!</definedName>
    <definedName name="No_15">#REF!</definedName>
    <definedName name="No_16">#REF!</definedName>
    <definedName name="No_17">#REF!</definedName>
    <definedName name="No_18">#REF!</definedName>
    <definedName name="No_19">#REF!</definedName>
    <definedName name="No_20">#REF!</definedName>
    <definedName name="nomur">'[24]1721-A1'!$AT$1:$AT$1600</definedName>
    <definedName name="nourut" localSheetId="1">'[8]Daftar Aktiva'!$A$5:$A$254</definedName>
    <definedName name="nourut">'[9]Daftar Aktiva'!$A$5:$A$255</definedName>
    <definedName name="November">#REF!</definedName>
    <definedName name="NPWP">[26]DATA!$C$6</definedName>
    <definedName name="npwpacuan" comment="NPWP Acuan">[12]MAIN!$C$14</definedName>
    <definedName name="npwpAwal">[12]MAIN!$BK$39</definedName>
    <definedName name="npwpCab">OFFSET([12]CABANG!$I$1,0,0,[12]CABANG!$A$1+1,1)</definedName>
    <definedName name="oct">#REF!</definedName>
    <definedName name="oke" hidden="1">#REF!</definedName>
    <definedName name="okeee" hidden="1">#REF!</definedName>
    <definedName name="Oktober">#REF!</definedName>
    <definedName name="OrderTable" hidden="1">#REF!</definedName>
    <definedName name="p">'[27]DAF.INVEN U.O'!#REF!</definedName>
    <definedName name="plc" hidden="1">#REF!</definedName>
    <definedName name="_xlnm.Print_Area" localSheetId="1">'BP A1'!$B$2:$AC$71</definedName>
    <definedName name="_xlnm.Print_Area">#REF!</definedName>
    <definedName name="PRINT_AREA_MI">#N/A</definedName>
    <definedName name="_xlnm.Print_Titles">#REF!</definedName>
    <definedName name="PRINT_TITLES_MI">#REF!</definedName>
    <definedName name="ProdForm" hidden="1">#REF!</definedName>
    <definedName name="Product" hidden="1">#REF!</definedName>
    <definedName name="q" hidden="1">#REF!</definedName>
    <definedName name="RCArea" hidden="1">#REF!</definedName>
    <definedName name="res" hidden="1">#REF!</definedName>
    <definedName name="Rwvu.CapersView." hidden="1">#REF!</definedName>
    <definedName name="Rwvu.Japan_Capers_Ed_Pub." hidden="1">#REF!</definedName>
    <definedName name="Rwvu.KJP_CC." hidden="1">#REF!</definedName>
    <definedName name="s" hidden="1">#REF!</definedName>
    <definedName name="sad" hidden="1">#REF!</definedName>
    <definedName name="sads" hidden="1">#REF!</definedName>
    <definedName name="SASA" hidden="1">#REF!</definedName>
    <definedName name="sencount" hidden="1">3</definedName>
    <definedName name="sep">#REF!</definedName>
    <definedName name="September">#REF!</definedName>
    <definedName name="sinar">#REF!</definedName>
    <definedName name="sod1771III">[12]MAIN!$BK$29</definedName>
    <definedName name="sodA2">[12]MAIN!$BK$31</definedName>
    <definedName name="sodB2">[12]MAIN!$BK$32</definedName>
    <definedName name="sodBupotMawas">[12]MAIN!$BK$30</definedName>
    <definedName name="sodDetileFaktur">[12]MAIN!$BK$33</definedName>
    <definedName name="SpecialPrice" hidden="1">#REF!</definedName>
    <definedName name="sptmasa1">[12]MAIN!$C$10</definedName>
    <definedName name="sptmasa2">[12]MAIN!$E$10</definedName>
    <definedName name="sptp21masa1">[12]MAIN!$BK$44</definedName>
    <definedName name="sptp21masa2">[12]MAIN!$BK$45</definedName>
    <definedName name="sptppnmasa1">[12]MAIN!$BK$42</definedName>
    <definedName name="sptppnmasa2">[12]MAIN!$BK$43</definedName>
    <definedName name="srcAktiva">[12]MAIN!$D$32</definedName>
    <definedName name="srcKomp1111">[12]MAIN!$D$34</definedName>
    <definedName name="srcKomp1721">[12]MAIN!$D$35</definedName>
    <definedName name="srcKomp1771">[12]MAIN!$D$31</definedName>
    <definedName name="srcKomp42">[12]MAIN!$D$36</definedName>
    <definedName name="srcPassiva">[12]MAIN!$D$33</definedName>
    <definedName name="ssp" hidden="1">#REF!</definedName>
    <definedName name="sss">#REF!</definedName>
    <definedName name="startSPTTahun">[12]MAIN!$BK$60</definedName>
    <definedName name="Swvu.CapersView." hidden="1">[7]MASTER!#REF!</definedName>
    <definedName name="Swvu.Japan_Capers_Ed_Pub." hidden="1">#REF!</definedName>
    <definedName name="Swvu.KJP_CC." hidden="1">#REF!</definedName>
    <definedName name="tabdep2">#REF!</definedName>
    <definedName name="tabdep2018">#REF!</definedName>
    <definedName name="tabdep2019">#REF!</definedName>
    <definedName name="tabdep20192">#REF!</definedName>
    <definedName name="tahun">'[28]1770 Induk'!$BD$3</definedName>
    <definedName name="tahunspt">[12]MAIN!$C$8</definedName>
    <definedName name="tbl_ProdInfo" hidden="1">#REF!</definedName>
    <definedName name="TERBILANG" localSheetId="1">#REF!</definedName>
    <definedName name="TERBILANG">#REF!</definedName>
    <definedName name="Term" localSheetId="1">#REF!</definedName>
    <definedName name="Term">#REF!</definedName>
    <definedName name="tes">#REF!</definedName>
    <definedName name="TombolSPTTahunan">"Rectangle 32,Rectangle 31,Rectangle 30,Rectangle 29,Rectangle 28,Rectangle 24,Rectangle 22"</definedName>
    <definedName name="UO" hidden="1">'[2]DAF.INVEN U.O'!$A$81:$A$81</definedName>
    <definedName name="URAIAN" localSheetId="1">#REF!</definedName>
    <definedName name="URAIAN">#REF!</definedName>
    <definedName name="uraianLR">[12]!tbRefLR[Nama Akun]</definedName>
    <definedName name="uraianNeraca">[12]!tbRefLK[Uraian]</definedName>
    <definedName name="userapp">[12]MAIN!$C$24</definedName>
    <definedName name="username">[12]MAIN!$C$22</definedName>
    <definedName name="usersi">[12]MAIN!$C$23</definedName>
    <definedName name="utama">#REF!</definedName>
    <definedName name="wrn.CapersPlotter." hidden="1">{#N/A,#N/A,FALSE,"DI 2 YEAR MASTER SCHEDULE"}</definedName>
    <definedName name="wrn.Edutainment._.Priority._.List." hidden="1">{#N/A,#N/A,FALSE,"DI 2 YEAR MASTER SCHEDULE"}</definedName>
    <definedName name="wrn.Japan_Capers_Ed._.Pub." hidden="1">{"Japan_Capers_Ed_Pub",#N/A,FALSE,"DI 2 YEAR MASTER SCHEDULE"}</definedName>
    <definedName name="wrn.Priority._.list." hidden="1">{#N/A,#N/A,FALSE,"DI 2 YEAR MASTER SCHEDULE"}</definedName>
    <definedName name="wrn.Prjcted._.Mnthly._.Qtys." hidden="1">{#N/A,#N/A,FALSE,"PRJCTED MNTHLY QTY's"}</definedName>
    <definedName name="wrn.Prjcted._.Qtrly._.Dollars." hidden="1">{#N/A,#N/A,FALSE,"PRJCTED QTRLY $'s"}</definedName>
    <definedName name="wrn.Prjcted._.Qtrly._.Qtys." hidden="1">{#N/A,#N/A,FALSE,"PRJCTED QTRLY QTY's"}</definedName>
    <definedName name="ws">'[24]Lap Gaji'!$A$1:$AW$65536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Japan_Capers_Ed_Pub.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XLS">[29]GLMASTER!$A$1:$AO$122</definedName>
    <definedName name="Z_9A428CE1_B4D9_11D0_A8AA_0000C071AEE7_.wvu.Cols" hidden="1">[7]MASTER!$A$1:$Q$65536,[7]MASTER!$Y$1:$Z$65536</definedName>
    <definedName name="Z_9A428CE1_B4D9_11D0_A8AA_0000C071AEE7_.wvu.PrintArea" hidden="1">#REF!</definedName>
    <definedName name="Z_9A428CE1_B4D9_11D0_A8AA_0000C071AEE7_.wvu.Rows" hidden="1">[7]MASTER!#REF!,[7]MASTER!#REF!,[7]MASTER!#REF!,[7]MASTER!#REF!,[7]MASTER!#REF!,[7]MASTER!#REF!,[7]MASTER!#REF!,[7]MASTER!$A$98:$IV$272</definedName>
    <definedName name="Zx" hidden="1">[30]A!#REF!</definedName>
  </definedNames>
  <calcPr calcId="181029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C55" i="21" l="1"/>
  <c r="AY55" i="21"/>
  <c r="AU55" i="21"/>
  <c r="AQ55" i="21"/>
  <c r="AM55" i="21"/>
  <c r="AI55" i="21"/>
  <c r="AE55" i="21"/>
  <c r="AA55" i="21"/>
  <c r="W55" i="21"/>
  <c r="S55" i="21"/>
  <c r="S52" i="21"/>
  <c r="W49" i="21"/>
  <c r="S49" i="21"/>
  <c r="BC34" i="21"/>
  <c r="AY34" i="21"/>
  <c r="AU34" i="21"/>
  <c r="AQ34" i="21"/>
  <c r="AM34" i="21"/>
  <c r="AI34" i="21"/>
  <c r="AE34" i="21"/>
  <c r="AA34" i="21"/>
  <c r="W34" i="21"/>
  <c r="S34" i="21"/>
  <c r="O34" i="21"/>
  <c r="K34" i="21"/>
  <c r="AE28" i="11"/>
  <c r="AE42" i="11" s="1"/>
  <c r="X28" i="11"/>
  <c r="T28" i="11"/>
  <c r="E28" i="11"/>
  <c r="C28" i="11"/>
  <c r="AF88" i="9" l="1"/>
  <c r="Z88" i="9"/>
  <c r="V88" i="9"/>
  <c r="C88" i="9" l="1"/>
  <c r="AF68" i="9"/>
  <c r="AB68" i="9"/>
  <c r="V68" i="9"/>
  <c r="C68" i="9"/>
  <c r="E68" i="9"/>
  <c r="AD30" i="9"/>
  <c r="AD28" i="9"/>
  <c r="AJ68" i="13"/>
  <c r="I68" i="13"/>
  <c r="E68" i="13"/>
  <c r="AG25" i="13"/>
  <c r="W25" i="13"/>
  <c r="J25" i="13"/>
  <c r="H25" i="13"/>
  <c r="AB106" i="11"/>
  <c r="AE54" i="20"/>
  <c r="AG68" i="12"/>
  <c r="W68" i="12"/>
  <c r="AQ42" i="2"/>
  <c r="AG49" i="12"/>
  <c r="W49" i="12"/>
  <c r="N49" i="12"/>
  <c r="X47" i="31" l="1"/>
  <c r="X45" i="31"/>
  <c r="X34" i="31"/>
  <c r="X30" i="31"/>
  <c r="X28" i="31"/>
  <c r="X35" i="31" s="1"/>
  <c r="X42" i="31" s="1"/>
  <c r="X44" i="31" s="1"/>
  <c r="F55" i="30"/>
  <c r="D72" i="30"/>
  <c r="D73" i="30"/>
  <c r="D74" i="30"/>
  <c r="X38" i="31"/>
  <c r="X40" i="31" s="1"/>
  <c r="X32" i="31"/>
  <c r="C81" i="30"/>
  <c r="D81" i="30" s="1"/>
  <c r="C80" i="30"/>
  <c r="D80" i="30" s="1"/>
  <c r="C79" i="30"/>
  <c r="D79" i="30" s="1"/>
  <c r="C78" i="30"/>
  <c r="D78" i="30" s="1"/>
  <c r="C77" i="30"/>
  <c r="D77" i="30" s="1"/>
  <c r="C76" i="30"/>
  <c r="D76" i="30" s="1"/>
  <c r="C75" i="30"/>
  <c r="D75" i="30" s="1"/>
  <c r="C74" i="30"/>
  <c r="C73" i="30"/>
  <c r="C72" i="30"/>
  <c r="C71" i="30"/>
  <c r="C70" i="30"/>
  <c r="E60" i="30"/>
  <c r="F59" i="30"/>
  <c r="E41" i="30"/>
  <c r="C32" i="30"/>
  <c r="X46" i="31" l="1"/>
  <c r="F60" i="30"/>
  <c r="D82" i="30"/>
  <c r="C82" i="30"/>
  <c r="BC13" i="21"/>
  <c r="BD13" i="21"/>
  <c r="BE13" i="21"/>
  <c r="BB13" i="21"/>
  <c r="AD13" i="21"/>
  <c r="AE13" i="21"/>
  <c r="AF13" i="21"/>
  <c r="AG13" i="21"/>
  <c r="AH13" i="21"/>
  <c r="AI13" i="21"/>
  <c r="AJ13" i="21"/>
  <c r="AK13" i="21"/>
  <c r="AL13" i="21"/>
  <c r="AM13" i="21"/>
  <c r="AN13" i="21"/>
  <c r="AO13" i="21"/>
  <c r="AP13" i="21"/>
  <c r="AQ13" i="21"/>
  <c r="AC13" i="21"/>
  <c r="AJ80" i="13" l="1"/>
  <c r="AQ85" i="6" s="1"/>
  <c r="W59" i="13"/>
  <c r="AQ79" i="6" s="1"/>
  <c r="AG59" i="13"/>
  <c r="AB122" i="11"/>
  <c r="AQ73" i="6" s="1"/>
  <c r="X42" i="11"/>
  <c r="AF118" i="9"/>
  <c r="Z118" i="9"/>
  <c r="AF80" i="9"/>
  <c r="V80" i="9"/>
  <c r="AD40" i="9"/>
  <c r="V96" i="11" l="1"/>
  <c r="J96" i="11"/>
  <c r="AQ71" i="6" s="1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N17" i="9"/>
  <c r="AM17" i="9"/>
  <c r="AL17" i="9"/>
  <c r="AK17" i="9"/>
  <c r="AJ17" i="9"/>
  <c r="P147" i="6"/>
  <c r="Q145" i="6"/>
  <c r="R145" i="6"/>
  <c r="S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P145" i="6"/>
  <c r="AG98" i="12"/>
  <c r="AG100" i="12" s="1"/>
  <c r="AQ131" i="2" s="1"/>
  <c r="AN13" i="20" l="1"/>
  <c r="AL17" i="11"/>
  <c r="AL17" i="12" s="1"/>
  <c r="AL15" i="13" s="1"/>
  <c r="AB17" i="11"/>
  <c r="AB17" i="12" s="1"/>
  <c r="AB15" i="13" s="1"/>
  <c r="AF13" i="20"/>
  <c r="AB13" i="20"/>
  <c r="X17" i="11"/>
  <c r="X17" i="12" s="1"/>
  <c r="X15" i="13" s="1"/>
  <c r="T17" i="11"/>
  <c r="T17" i="12" s="1"/>
  <c r="T15" i="13" s="1"/>
  <c r="X13" i="20"/>
  <c r="AJ17" i="11"/>
  <c r="AJ17" i="12" s="1"/>
  <c r="AJ15" i="13" s="1"/>
  <c r="AL13" i="20"/>
  <c r="N17" i="11"/>
  <c r="N17" i="12" s="1"/>
  <c r="N15" i="13" s="1"/>
  <c r="R13" i="20"/>
  <c r="Z17" i="11"/>
  <c r="Z17" i="12" s="1"/>
  <c r="Z15" i="13" s="1"/>
  <c r="AD13" i="20"/>
  <c r="V17" i="11"/>
  <c r="V17" i="12" s="1"/>
  <c r="V15" i="13" s="1"/>
  <c r="Z13" i="20"/>
  <c r="AK17" i="11"/>
  <c r="AK17" i="12" s="1"/>
  <c r="AK15" i="13" s="1"/>
  <c r="AM13" i="20"/>
  <c r="AC17" i="11"/>
  <c r="AC17" i="12" s="1"/>
  <c r="AC15" i="13" s="1"/>
  <c r="AG13" i="20"/>
  <c r="Y17" i="11"/>
  <c r="Y17" i="12" s="1"/>
  <c r="Y15" i="13" s="1"/>
  <c r="AC13" i="20"/>
  <c r="U17" i="11"/>
  <c r="U17" i="12" s="1"/>
  <c r="U15" i="13" s="1"/>
  <c r="Y13" i="20"/>
  <c r="Q17" i="11"/>
  <c r="Q17" i="12" s="1"/>
  <c r="Q15" i="13" s="1"/>
  <c r="U13" i="20"/>
  <c r="T13" i="20"/>
  <c r="P17" i="11"/>
  <c r="P17" i="12" s="1"/>
  <c r="P15" i="13" s="1"/>
  <c r="AM17" i="11"/>
  <c r="AM17" i="12" s="1"/>
  <c r="AM15" i="13" s="1"/>
  <c r="AO13" i="20"/>
  <c r="AE13" i="20"/>
  <c r="AA17" i="11"/>
  <c r="AA17" i="12" s="1"/>
  <c r="AA15" i="13" s="1"/>
  <c r="AA13" i="20"/>
  <c r="W17" i="11"/>
  <c r="W17" i="12" s="1"/>
  <c r="W15" i="13" s="1"/>
  <c r="W13" i="20"/>
  <c r="S17" i="11"/>
  <c r="S17" i="12" s="1"/>
  <c r="S15" i="13" s="1"/>
  <c r="S13" i="20"/>
  <c r="O17" i="11"/>
  <c r="O17" i="12" s="1"/>
  <c r="O15" i="13" s="1"/>
  <c r="V13" i="20"/>
  <c r="R17" i="11"/>
  <c r="R17" i="12" s="1"/>
  <c r="R15" i="13" s="1"/>
  <c r="AE92" i="20"/>
  <c r="AQ85" i="2" s="1"/>
  <c r="BG58" i="21"/>
  <c r="O61" i="21"/>
  <c r="K61" i="21"/>
  <c r="BG55" i="21"/>
  <c r="O52" i="21" l="1"/>
  <c r="S61" i="21"/>
  <c r="W52" i="21"/>
  <c r="W61" i="21" s="1"/>
  <c r="K52" i="21"/>
  <c r="O40" i="21" l="1"/>
  <c r="S40" i="21"/>
  <c r="W40" i="21"/>
  <c r="AA40" i="21"/>
  <c r="AA49" i="21" s="1"/>
  <c r="AE40" i="21"/>
  <c r="AE49" i="21" s="1"/>
  <c r="AE52" i="21" s="1"/>
  <c r="AE61" i="21" s="1"/>
  <c r="AI40" i="21"/>
  <c r="AI49" i="21" s="1"/>
  <c r="AI52" i="21" s="1"/>
  <c r="AI61" i="21" s="1"/>
  <c r="AM40" i="21"/>
  <c r="AM49" i="21" s="1"/>
  <c r="AM52" i="21" s="1"/>
  <c r="AM61" i="21" s="1"/>
  <c r="AQ40" i="21"/>
  <c r="AQ49" i="21" s="1"/>
  <c r="AQ52" i="21" s="1"/>
  <c r="AQ61" i="21" s="1"/>
  <c r="AU40" i="21"/>
  <c r="AU49" i="21" s="1"/>
  <c r="AU52" i="21" s="1"/>
  <c r="AU61" i="21" s="1"/>
  <c r="AY40" i="21"/>
  <c r="AY49" i="21" s="1"/>
  <c r="AY52" i="21" s="1"/>
  <c r="AY61" i="21" s="1"/>
  <c r="BC40" i="21"/>
  <c r="BC49" i="21" s="1"/>
  <c r="BC52" i="21" s="1"/>
  <c r="BC61" i="21" s="1"/>
  <c r="K40" i="21"/>
  <c r="BG34" i="21"/>
  <c r="O43" i="21" l="1"/>
  <c r="S43" i="21" s="1"/>
  <c r="W43" i="21" s="1"/>
  <c r="AA43" i="21" s="1"/>
  <c r="AE43" i="21" s="1"/>
  <c r="AI43" i="21" s="1"/>
  <c r="AM43" i="21" s="1"/>
  <c r="AQ43" i="21" s="1"/>
  <c r="AU43" i="21" s="1"/>
  <c r="AY43" i="21" s="1"/>
  <c r="BC43" i="21" s="1"/>
  <c r="BG43" i="21" s="1"/>
  <c r="AA52" i="21"/>
  <c r="BG49" i="21"/>
  <c r="BG40" i="21"/>
  <c r="K43" i="21"/>
  <c r="AG59" i="12"/>
  <c r="AQ101" i="2" s="1"/>
  <c r="AQ111" i="2" l="1"/>
  <c r="AQ115" i="2" s="1"/>
  <c r="AA61" i="21"/>
  <c r="BG61" i="21" s="1"/>
  <c r="BG52" i="21"/>
  <c r="BG46" i="21"/>
  <c r="AQ117" i="2" l="1" a="1"/>
  <c r="AQ117" i="2" s="1"/>
  <c r="AQ125" i="2" s="1"/>
  <c r="AQ14" i="6" l="1"/>
  <c r="AQ25" i="6" s="1"/>
  <c r="AQ48" i="6"/>
  <c r="X48" i="31" l="1"/>
  <c r="X50" i="31" s="1"/>
  <c r="X52" i="3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<sst xmlns="http://schemas.openxmlformats.org/spreadsheetml/2006/main" count="2437" uniqueCount="1255">
  <si>
    <t>SPT TAHUNAN</t>
  </si>
  <si>
    <t>INDUK</t>
  </si>
  <si>
    <t>REPUBLIK INDONESIA</t>
  </si>
  <si>
    <t>PAJAK PENGHASILAN (PPh)</t>
  </si>
  <si>
    <t>DIREKTORAT JENDERAL PAJAK</t>
  </si>
  <si>
    <t>WAJIB PAJAK ORANG PRIBADI</t>
  </si>
  <si>
    <t>HALAMAN 1</t>
  </si>
  <si>
    <t>NAMA</t>
  </si>
  <si>
    <t>NO. TELEPON</t>
  </si>
  <si>
    <t>PEMBETULAN</t>
  </si>
  <si>
    <t>TAHUN PAJAK/BAGIAN TAHUN PAJAK</t>
  </si>
  <si>
    <t>TAHUN PAJAK</t>
  </si>
  <si>
    <t>BAGIAN TAHUN PAJAK</t>
  </si>
  <si>
    <t>PERIODE</t>
  </si>
  <si>
    <t>BULAN</t>
  </si>
  <si>
    <t>MULAI</t>
  </si>
  <si>
    <t>STATUS</t>
  </si>
  <si>
    <t>NORMAL</t>
  </si>
  <si>
    <t>AKHIR</t>
  </si>
  <si>
    <t>S.D</t>
  </si>
  <si>
    <t>KEGIATAN USAHA</t>
  </si>
  <si>
    <t>PEKERJAAN BEBAS</t>
  </si>
  <si>
    <t>PEKERJAAN</t>
  </si>
  <si>
    <t>SUMBER PENGHASILAN</t>
  </si>
  <si>
    <t>METODE PEMBUKUAN</t>
  </si>
  <si>
    <t>PEMBUKUAN STELSEL AKRUAL</t>
  </si>
  <si>
    <t>PEMBUKUAN STELSEL KAS</t>
  </si>
  <si>
    <t>PENCATATAN</t>
  </si>
  <si>
    <t>A.</t>
  </si>
  <si>
    <t>IDENTITAS WAJIB PAJAK</t>
  </si>
  <si>
    <t>1.</t>
  </si>
  <si>
    <t>2.</t>
  </si>
  <si>
    <t>3.</t>
  </si>
  <si>
    <t>4.</t>
  </si>
  <si>
    <t>5.</t>
  </si>
  <si>
    <t>6.</t>
  </si>
  <si>
    <t>NIK/NPWP</t>
  </si>
  <si>
    <t>JENIS ID</t>
  </si>
  <si>
    <t>NO. ID</t>
  </si>
  <si>
    <t>EMAIL</t>
  </si>
  <si>
    <t>KTP</t>
  </si>
  <si>
    <t>KITAS</t>
  </si>
  <si>
    <t>PASPOR</t>
  </si>
  <si>
    <t>7.</t>
  </si>
  <si>
    <t>STATUS KEWAJIBAN PERPAJAKAN SUAMI DAN ISTRI</t>
  </si>
  <si>
    <t>PISAH HARTA (PH)</t>
  </si>
  <si>
    <t>MEMILIH TERPISAH (MT)</t>
  </si>
  <si>
    <t>(Jika status kewajiban perpajakan Anda dengan pasangan adalah PH</t>
  </si>
  <si>
    <t>atau MT. Anda diwajibkan mengisi bagian ini dan Lampiran 4 Bagian B)</t>
  </si>
  <si>
    <t>8.</t>
  </si>
  <si>
    <t>NIK/NPWP SUAMI/ISTRI</t>
  </si>
  <si>
    <t>B.</t>
  </si>
  <si>
    <t>IKHTISAR PENGHASILAN NETO</t>
  </si>
  <si>
    <t>a</t>
  </si>
  <si>
    <t>APAKAH ANDA MENERIMA PENGHASILAN DALAM NEGERI DARI PEKERJAAN?</t>
  </si>
  <si>
    <t>Tidak. (Lanjut ke pertanyaan selanjutnya)</t>
  </si>
  <si>
    <t>Ya. (Isi Lampiran 1 Bagian D lalu ke pertanyaan selanjutnya)</t>
  </si>
  <si>
    <t>b</t>
  </si>
  <si>
    <t>APAKAH ANDA MENERIMA PENGHASILAN DALAM NEGERI DARI USAHA DAN/ATAU PEKERJAAN</t>
  </si>
  <si>
    <t>1)</t>
  </si>
  <si>
    <t>BEBAS?</t>
  </si>
  <si>
    <t>Ya. (Lanjut ke pertanyaan selanjutnya)</t>
  </si>
  <si>
    <t>Tidak. (Lanjut ke pertanyaan 1c)</t>
  </si>
  <si>
    <t>2)</t>
  </si>
  <si>
    <t>APAKAH ANDA TERMASUK WAJIB PAJAK ORANG PRIBADI YANG MEMILIKI PEREDARAN BRUTO</t>
  </si>
  <si>
    <t>TERTENTU ATAU ORANG PRIBADI PENGUSAHA TERTENTU (OPPT)</t>
  </si>
  <si>
    <t>Ya, saya termasuk Wajib Pajak Orang Pribadi yang memiliki peredaran bruto tertentu yang dikenai pajak</t>
  </si>
  <si>
    <t>3)</t>
  </si>
  <si>
    <t>APAKAH ANDA MENGGUNAKAN NORMA DALAM MENGHITUNG PENGHASILAN NETO?</t>
  </si>
  <si>
    <t>Tidak, saya menyelenggarakan pembukuan (Lanjut ke pertanyaan selanjutnya)</t>
  </si>
  <si>
    <t>Tidak, saya hanya menerima penghasilan dari usaha yang dikenakan pajak bersifat final dan</t>
  </si>
  <si>
    <t>tidak menyelenggarakan pembukuan. (Lanjut ke pertanyaan 1c)</t>
  </si>
  <si>
    <t>(Isi Lampiran 1B Bagian C, Lampiran 3A-4 Bagian A, lalu ke pertanyaan 1c)</t>
  </si>
  <si>
    <t>4)</t>
  </si>
  <si>
    <t>Jasa. (Isi Lampiran 3A-2, lalu ke pertanyaan selanjutnya)</t>
  </si>
  <si>
    <t>Industri. (Isi Lampiran 3A-3, lalu ke pertanyaan selanjutnya)</t>
  </si>
  <si>
    <t>5)</t>
  </si>
  <si>
    <t>PENGHASILAN NETO DARI USAHA DAN/ATAU PEKERJAAN BEBAS</t>
  </si>
  <si>
    <t>APAKAH ANDA MENERIMA PENGHASILAN DALAM NEGERI LAINNYA?</t>
  </si>
  <si>
    <t>Ya. (Isi Lampiran 3A-4 Bagian B, lalu ke pertanyaan selanjutnya)</t>
  </si>
  <si>
    <t>Ya. (Isi Lampiran 2 Bagian C, lalu ke pertanyaan selanjutnya)</t>
  </si>
  <si>
    <t>C.</t>
  </si>
  <si>
    <t>PENGHITUNGAN PPh TERUTANG</t>
  </si>
  <si>
    <t>PENGHASILAN NETO SETAHUN</t>
  </si>
  <si>
    <t>APAKAH TERDAPAT PENGURANG PENGHASILAN NETO SEPERTI KOMPENSASI KERUGIAN ATAU</t>
  </si>
  <si>
    <t>ZAKAT/SUMBANGAN KEAGAMAAN YANG BERSIFAT WAJIB YANG DIBAYAR SELAIN YANG TELAH</t>
  </si>
  <si>
    <t>DIPERHITUNGKAN DALAM FORMULIR BPA1 DAN/ATAU BPA2?</t>
  </si>
  <si>
    <t>Ya. (Isi Lampiran 5 Bagian A dan/atau Bagian B, lalu ke pertanyaan selanjutnya)</t>
  </si>
  <si>
    <t>PENGHASILAN NETO SETELAH PENGURANG PENGHASILAN NETO</t>
  </si>
  <si>
    <t>PENGHASILAN TIDAK KENA PAJAK</t>
  </si>
  <si>
    <t>PENGHASILAN KENA PAJAK</t>
  </si>
  <si>
    <t>PPh TERUTANG</t>
  </si>
  <si>
    <t>APAKAH TERDAPAT PENGURANG PPh TERUTANG?</t>
  </si>
  <si>
    <t>Ya. (Isi Lampiran 5 Bagian C, lalu ke pertanyaan selanjutnya)</t>
  </si>
  <si>
    <t>PPH TERUTANG SETELAH PENGURANG PPh TERUTANG</t>
  </si>
  <si>
    <t>D.</t>
  </si>
  <si>
    <t>KREDIT PAJAK</t>
  </si>
  <si>
    <t>APAKAH TERDAPAT PPh YANG TELAH DIPOTONG/DIPUNGUT OLEH PIHAK LAIN?</t>
  </si>
  <si>
    <t>Ya. (Isi Lampiran 1 Bagian E, lalu ke pertanyaan selanjutnya)</t>
  </si>
  <si>
    <t>STP PPh PASAL 25 (HANYA POKOK PAJAK)</t>
  </si>
  <si>
    <t>d</t>
  </si>
  <si>
    <t>APAKAH ANDA MENERIMA PENGEMBALIAN/PENGURANGAN KREDIT PPh LUAR NEGERI YANG</t>
  </si>
  <si>
    <t>TELAH DIKREDITKAN?</t>
  </si>
  <si>
    <t>Ya. (Isi dengan jumlah pengembalian/pengurangan kredit PPh luar negeri)</t>
  </si>
  <si>
    <t>c</t>
  </si>
  <si>
    <t>(</t>
  </si>
  <si>
    <t>1a</t>
  </si>
  <si>
    <t>+</t>
  </si>
  <si>
    <t>1b</t>
  </si>
  <si>
    <t>1c</t>
  </si>
  <si>
    <t>1d</t>
  </si>
  <si>
    <t>)</t>
  </si>
  <si>
    <t>-</t>
  </si>
  <si>
    <t>PPH KURANG/LEBIH BAYAR</t>
  </si>
  <si>
    <t>HALAMAN 2</t>
  </si>
  <si>
    <t>Tidak, saya tidak memilikinya. (Lanjut ke pertanyaan selanjutnya)</t>
  </si>
  <si>
    <t>Ya, saya memilikinya. (isi dengan jumlah yang telah disetujui untuk diangsur/ditunda, lalu ke</t>
  </si>
  <si>
    <t>pertanyaan selanjutnya)</t>
  </si>
  <si>
    <t>PPh YANG MASIH HARUS DIBAYAR</t>
  </si>
  <si>
    <t>E.</t>
  </si>
  <si>
    <t>PPh KURANG/LEBIH BAYAR</t>
  </si>
  <si>
    <t>F.</t>
  </si>
  <si>
    <t>PPH KURANG/LEBIH BAYAR PADA SPT YANG DIBETULKAN</t>
  </si>
  <si>
    <t>PPH KURANG/LEBIH BAYAR KARENA PEMBETULAN</t>
  </si>
  <si>
    <t>G.</t>
  </si>
  <si>
    <t>PERMOHONAN PENGEMBALIAN PPh LEBIH BAYAR (DIISI JIKA STATUS SPT ADALAH LEBIH BAYAR)</t>
  </si>
  <si>
    <t>NOMOR REKENING</t>
  </si>
  <si>
    <t>NAMA BANK</t>
  </si>
  <si>
    <t>NAMA PEMILIK REKENING</t>
  </si>
  <si>
    <t>H.</t>
  </si>
  <si>
    <t>ANGSURAN PPh PASAL 25 TAHUN PAJAK BERIKUTNYA</t>
  </si>
  <si>
    <t>APAKAH ANDA HANYA MENERIMA PENGHASILAN TERATUR DAN BERKEWAJIBAN MEMBAYAR</t>
  </si>
  <si>
    <t>Ya, angsuran PPh Pasal 25-nya adalah</t>
  </si>
  <si>
    <t>APAKAH ANDA MENYUSUN PERHITUNGAN TERSENDIRI ANGSURAN PPh PASAL 25 TAHUN PAJAK</t>
  </si>
  <si>
    <t>BERIKUTNYA?</t>
  </si>
  <si>
    <t>Ya. (Isi lampiran 4 Bagian A)</t>
  </si>
  <si>
    <t>Tidak, saya tidak memiliki kewajiban untuk membayar angsuran PPh Pasal 25</t>
  </si>
  <si>
    <t>Ya, angsuran PPh Pasal 25 saya adalah 0,75%, dari penghasulan bruto setiap bulan dari masing masing tempat usaha</t>
  </si>
  <si>
    <t>I.</t>
  </si>
  <si>
    <t>PERNYATAAN TRANSAKSI LAINNYA</t>
  </si>
  <si>
    <t>HARTA PADA AKHIR TAHUN PAJAK (Isi Lampiran 1 Bagian A)</t>
  </si>
  <si>
    <t>APAKAH ANDA MEMILIKI UTANG PADA AKHIR TAHUN PAJAK</t>
  </si>
  <si>
    <t>Ya, (Isi Lampiran 1 Bagian B, lalu ke pertanyaan selanjutnya)</t>
  </si>
  <si>
    <t>APAKAH ANDA MENERIMA PENGHASILAN YANG DIKENAKAN PAJAK PENGHASILAN BERSIFAT FINAL?</t>
  </si>
  <si>
    <t>Ya, (Isi Lampiran 2 Bagian A, lalu ke pertanyaan selanjutnya)</t>
  </si>
  <si>
    <t>APAKAH ANDA MENERIMA PENGHASILAN YANG TIDAK TERMASUK OBJEK PAJAK?</t>
  </si>
  <si>
    <t>Ya, (Isi Lampiran 2 Bagian B, lalu ke pertanyaan selanjutnya)</t>
  </si>
  <si>
    <t>e</t>
  </si>
  <si>
    <t>APAKAH ANDA MELAPORKAN BIAYA PENYUSUTAN DAN/ATAU AMORTISASI FISKAL</t>
  </si>
  <si>
    <t>Ya, (Isi Lampiran 3C, lalu ke pertanyaan selanjutnya)</t>
  </si>
  <si>
    <t>f</t>
  </si>
  <si>
    <t>TIDAK DAPAT DITAGIH</t>
  </si>
  <si>
    <t>IMBALAN DALAM BENTUK NATURA DAN/ATAU KENIKMATAN, SERTA PIUTANG YANG NYATA-NYATA</t>
  </si>
  <si>
    <t>g</t>
  </si>
  <si>
    <t>APAKAH NDA MENERIMA DIVIDEN DAN/ATAU PENGHASILAN LAIN DARI LUAR NEGERI DAN</t>
  </si>
  <si>
    <t>MELAPORKANNYA SEBAGAI PENGHASILAN TIDAK TERMASUK PAJAK?</t>
  </si>
  <si>
    <t>Ya, (Pastikan Anda sudah menyampaikan laporan realisasi investasi secara terpisah)</t>
  </si>
  <si>
    <t>h</t>
  </si>
  <si>
    <t>KELEBIHAN PPh FINAL ATAS PENGHASILAN DARI USAHA DENGAN PEREDARAN BRUTO TERTENTU</t>
  </si>
  <si>
    <t>YANG DAPAT DIMINTAKAN PENGEMBALIAN</t>
  </si>
  <si>
    <t>(Silakan mengajukan permohonan pengembalian pajak yang seharusnya tidak terutang secara terpisah)</t>
  </si>
  <si>
    <t>J.</t>
  </si>
  <si>
    <t>LAMPIRAN TAMBAHAN</t>
  </si>
  <si>
    <t>LAPORAN KEUANGAN/LAPORAN KEUANGAN YANG TELAH DIAUDIT</t>
  </si>
  <si>
    <t>BUKTI PEMBAYARAN ZAKAT/SUMBANGAN KEAGAMAAN WAJIB</t>
  </si>
  <si>
    <t>BUKTI PEMOTONGAN/PEMUNGUTAN SEHUBUNGAN DENGAN KREDIT PAJAK</t>
  </si>
  <si>
    <t>LUAR NEGERI</t>
  </si>
  <si>
    <t>SURAT KUASA KHUSUS</t>
  </si>
  <si>
    <t>DOKUMEN LAINNYA</t>
  </si>
  <si>
    <t>TIDAK</t>
  </si>
  <si>
    <t>YA</t>
  </si>
  <si>
    <t>K.</t>
  </si>
  <si>
    <t>PERNYATAAN</t>
  </si>
  <si>
    <t>DENGAN MENYADARI SEPENUHNYA AKAN SEGALA AKIBATNYA TERMASUK SANKSI-SANKSI SESUAI DENGAN KETENTUAN PERUNDANG UNDANGAN YANG</t>
  </si>
  <si>
    <t>BERLAKU, SAYA MENYATAKAN BAHWA APA YANG TELAH SAYA BERITAHUKAN DI ATAS BESERTA LAMPIRAN-LAMPIRANNYA ADALAH BENAR, LENGKAP, DAN</t>
  </si>
  <si>
    <t>JELAS</t>
  </si>
  <si>
    <t>TANGGAL</t>
  </si>
  <si>
    <t>TAHUN</t>
  </si>
  <si>
    <t>PENANDA TANGAN</t>
  </si>
  <si>
    <t>NAMA LENGKAP</t>
  </si>
  <si>
    <t>WAJIB PAJAK</t>
  </si>
  <si>
    <t>TANDA TANGAN</t>
  </si>
  <si>
    <t>10d</t>
  </si>
  <si>
    <t>10c</t>
  </si>
  <si>
    <t>10b</t>
  </si>
  <si>
    <t>10a</t>
  </si>
  <si>
    <t>11a</t>
  </si>
  <si>
    <t>11b</t>
  </si>
  <si>
    <t>GANTI SPT SEBELUMNYA</t>
  </si>
  <si>
    <t>12a</t>
  </si>
  <si>
    <t>1/</t>
  </si>
  <si>
    <t>x</t>
  </si>
  <si>
    <t>KAS DAN SETARA KAS</t>
  </si>
  <si>
    <t>KODE</t>
  </si>
  <si>
    <t>DESKRIPSI</t>
  </si>
  <si>
    <t>NOMOR AKUN</t>
  </si>
  <si>
    <t>ATAS NAMA</t>
  </si>
  <si>
    <t>NAMA BANK/INSTITUSI</t>
  </si>
  <si>
    <t>TAHUN PEROLEHAN</t>
  </si>
  <si>
    <t>SALDO</t>
  </si>
  <si>
    <t>KETERANGAN</t>
  </si>
  <si>
    <t>LOKASI HARTA</t>
  </si>
  <si>
    <t>PERHATIAN</t>
  </si>
  <si>
    <t>LAPORAN INI DIISI OLEH WAJIB PAJAK UNTUK</t>
  </si>
  <si>
    <t>ANGGOTA KELUARGA YANG MENJADI</t>
  </si>
  <si>
    <t>PEMOTONGAN PEMUNGUTAN PPH</t>
  </si>
  <si>
    <t>HARTA PADA AKHIR TAHUN PAJAK</t>
  </si>
  <si>
    <t>UTANG PADA AKHIR TAHUN PAJAK</t>
  </si>
  <si>
    <t>DAFTAR ANGGOTA KELUARGA YANG MENJADI TANGGUNGAN</t>
  </si>
  <si>
    <t>PENGHASILAN NETO DALAM NEGERI DARI PEKERJAAN</t>
  </si>
  <si>
    <t>LAMPIRAN 1</t>
  </si>
  <si>
    <t xml:space="preserve">KETERANGAN </t>
  </si>
  <si>
    <t>(Harta PPS/HARTA INVESTASI PPS</t>
  </si>
  <si>
    <t>(1)</t>
  </si>
  <si>
    <t>(2)</t>
  </si>
  <si>
    <t>(3)</t>
  </si>
  <si>
    <t>(4)</t>
  </si>
  <si>
    <t>(5)</t>
  </si>
  <si>
    <t>(6)</t>
  </si>
  <si>
    <t>(7)</t>
  </si>
  <si>
    <t>(8)</t>
  </si>
  <si>
    <t>JUMLAH TABEL 1</t>
  </si>
  <si>
    <t>LOKASI PENERIMA PINJAMAN</t>
  </si>
  <si>
    <t>(9)</t>
  </si>
  <si>
    <t>NIK/NPWP :</t>
  </si>
  <si>
    <t>NAMA :</t>
  </si>
  <si>
    <t>NILAI PIUTANG</t>
  </si>
  <si>
    <t>TAHUN DIMULAI</t>
  </si>
  <si>
    <t>SALDO PIUTANG SAAT INI</t>
  </si>
  <si>
    <t>JUMLAH TABEL 2</t>
  </si>
  <si>
    <t>PIUTANG</t>
  </si>
  <si>
    <t>HARGA PEROLEHAN</t>
  </si>
  <si>
    <t>NILAI SAAT INI</t>
  </si>
  <si>
    <t>JUMLAH TABEL 3</t>
  </si>
  <si>
    <t>INVESTASI/SEKURITAS</t>
  </si>
  <si>
    <t>BANK/INSTITUSI PENERIMA INVESTASI</t>
  </si>
  <si>
    <t>KEPEMILIKAN</t>
  </si>
  <si>
    <t>NOMOR POLISI/REGISTRASI</t>
  </si>
  <si>
    <t>NIK</t>
  </si>
  <si>
    <t>ATAS NAMA SENDIRI</t>
  </si>
  <si>
    <t>ATAS NAMA PIHAK LAIN</t>
  </si>
  <si>
    <t>TIPE :</t>
  </si>
  <si>
    <t>JUMLAH TABEL 4</t>
  </si>
  <si>
    <t>HARTA BERGERAK</t>
  </si>
  <si>
    <t>HARTA TIDAK BERGERAK</t>
  </si>
  <si>
    <t>UKURAN PROPERTI</t>
  </si>
  <si>
    <t>SUMBER KEPEMILIKAN</t>
  </si>
  <si>
    <t>NOMOR SERTIFIKAT</t>
  </si>
  <si>
    <t>(10)</t>
  </si>
  <si>
    <t>TANAH :</t>
  </si>
  <si>
    <t>BANGUNAN :</t>
  </si>
  <si>
    <t>JUMLAH TABEL 5</t>
  </si>
  <si>
    <t>BUKTI KEPEMILIKAN/NOMOR AKUN</t>
  </si>
  <si>
    <t>INFORMASI TAMBAHAN</t>
  </si>
  <si>
    <t>JUMLAH TABEL 6</t>
  </si>
  <si>
    <t>HARTA LAINNYA</t>
  </si>
  <si>
    <t>IKHTISAR HARTA</t>
  </si>
  <si>
    <t>KREDITUR</t>
  </si>
  <si>
    <t>NEGARA KREDITUR</t>
  </si>
  <si>
    <t>TAHUN PEMINJAMAN</t>
  </si>
  <si>
    <t>JUMLAH TABEL B</t>
  </si>
  <si>
    <t>TANGGAL LAHIR</t>
  </si>
  <si>
    <t>HUBUNGAN DENGAN WAJIB PAJAK</t>
  </si>
  <si>
    <t>NO</t>
  </si>
  <si>
    <t>PENGHASILAN BRUTO</t>
  </si>
  <si>
    <t>PENGURANG PENGHASILAN BRUTO/BIAYA</t>
  </si>
  <si>
    <t>PENGHASILAN NETO</t>
  </si>
  <si>
    <t>JUMLAH TABEL D</t>
  </si>
  <si>
    <t>PINDAHKAN JUMLAH TABEL D KE INDUK BAGIAN B ANGKA 1 HURUF a.</t>
  </si>
  <si>
    <t>PEMOTONG/PEMUNGUT PPh</t>
  </si>
  <si>
    <t>BUKTI PEMOTONGAN/PEMUNGUTAN</t>
  </si>
  <si>
    <t>NOMOR :</t>
  </si>
  <si>
    <t>TANGGAL :</t>
  </si>
  <si>
    <t>NOMOR IDENTITAS PEMBERI KERJA</t>
  </si>
  <si>
    <t>JENIS PAJAK</t>
  </si>
  <si>
    <t>JUMLAH KREDIT PAJAK DALAM NEGERI</t>
  </si>
  <si>
    <t>KREDIT PAJAK ATAS PENGHASILAN DARI LUAR NEGERI (DIISI DARI LAMPIRAN 2 JUMLAH TABLE C 10)</t>
  </si>
  <si>
    <t>JUMLAH TABEL E (16) + (17)</t>
  </si>
  <si>
    <t>PINDAHKAN JUMLAH TABEL E KE INDUK BAGIAN D ANGKA 10 HURUF a.</t>
  </si>
  <si>
    <t>DAFTAR BUKTI PEMOTONGAN/PEMUNGUTAN PPh</t>
  </si>
  <si>
    <t>HALAMAN 3</t>
  </si>
  <si>
    <t>MELAPORKAN PENGHASILAN YANG DIKENAKAN PPh YANG</t>
  </si>
  <si>
    <t>BERSIFAT FINAL. PENGHASILAN YANG TIDAK TERMASUK</t>
  </si>
  <si>
    <t>OBJEK PAJAK DAN/ATAU PENGHASILAN NETO LUAR</t>
  </si>
  <si>
    <t>NEGERI</t>
  </si>
  <si>
    <t>LAMPIRAN 2</t>
  </si>
  <si>
    <t>PENGHASILAN YANG DIKENAKAN PAJAK PENGHASILAN BERSIFAT FINAL</t>
  </si>
  <si>
    <t>PENGHASILAN NETO LUAR NEGERI</t>
  </si>
  <si>
    <t>JENIS PENGHASILAN</t>
  </si>
  <si>
    <t>DASAR PENGENAAN PAJAK</t>
  </si>
  <si>
    <t>JUMLAH TABEL A</t>
  </si>
  <si>
    <t>PENGHASILAN YANG TIDAK TERMASUK OBJEK PAJAK</t>
  </si>
  <si>
    <t>SUMBER/PEMBERI PENGHASILAN</t>
  </si>
  <si>
    <t>NEGARA</t>
  </si>
  <si>
    <t>TANGGAL TRANSAKSI</t>
  </si>
  <si>
    <t>PENGHASILAN NETO (RUPIAH)</t>
  </si>
  <si>
    <t>NILAI DALAM MATA UANG ASING</t>
  </si>
  <si>
    <t>NILAI DALAM RUPIAH</t>
  </si>
  <si>
    <t>MATA UANG ASING</t>
  </si>
  <si>
    <t>KREDIT PAJAK YANG DAPAT DIPERHITUNGKAN</t>
  </si>
  <si>
    <t>JUMLAH TABEL C</t>
  </si>
  <si>
    <t>PINDAHKAN JUMLAH TABEL C KOLOM (6) KE INDUK BAGIAN B ANGKA 1 HURUF d</t>
  </si>
  <si>
    <t>PINDAHKAN JUMLAH TABEL C KOLOM (10) KE LAMPIRAN 1 BAGIAN E BARIS 17 KOLOM (6)</t>
  </si>
  <si>
    <t>REKONSILIASI LAPORAN KEUANGAN</t>
  </si>
  <si>
    <t>(DAGANG)</t>
  </si>
  <si>
    <t>LAMPIRAN INI DIISI OLEH WAJIB PAJAK</t>
  </si>
  <si>
    <t>YANG MENYELENGGARAKAN PEMBUKUAN</t>
  </si>
  <si>
    <t>STELSEL KAS ATAU PEMBUKUAN STELSEL</t>
  </si>
  <si>
    <t>AKRUAL DI SEKTOR USAHA DAGANG</t>
  </si>
  <si>
    <t>LAMPIRAN 3A-1</t>
  </si>
  <si>
    <t>KODE AKUN</t>
  </si>
  <si>
    <t>NAMA AKUN</t>
  </si>
  <si>
    <t>LAPORAN LABA RUGI</t>
  </si>
  <si>
    <t>A.1</t>
  </si>
  <si>
    <t>NILAI KOMERSIAL</t>
  </si>
  <si>
    <t>TIDAK TERMASUK OBJEK PAJAK</t>
  </si>
  <si>
    <t>DIKENAKAN PPH FINAL</t>
  </si>
  <si>
    <t>OBJEK PAJAK TIDAK FINAL</t>
  </si>
  <si>
    <t>PENYESUAIAN FISKAL POSITIF</t>
  </si>
  <si>
    <t>NILAI FISKAL</t>
  </si>
  <si>
    <t>PENYESUAIAN FISKAL NEGATIF</t>
  </si>
  <si>
    <t>KODE PENYESUAIAN FISKAL</t>
  </si>
  <si>
    <t>PENJUALAN</t>
  </si>
  <si>
    <t>PENJUALAN DOMESTIK</t>
  </si>
  <si>
    <t>PENJUALAN EKSPOR</t>
  </si>
  <si>
    <t>PENJUALAN BRUTO</t>
  </si>
  <si>
    <t>DIKURANGI</t>
  </si>
  <si>
    <t>RETUR</t>
  </si>
  <si>
    <t>POTONGAN PENJUALAN</t>
  </si>
  <si>
    <t>PENJUALAN BERSIH</t>
  </si>
  <si>
    <t>PEMBELIAN</t>
  </si>
  <si>
    <t>PERSEDIAAN AWAL</t>
  </si>
  <si>
    <t>JUMLAH HARGA POKOK PENJUALAN</t>
  </si>
  <si>
    <t>LABA KOTOR</t>
  </si>
  <si>
    <t>BEBAN USAHA</t>
  </si>
  <si>
    <t>BEBAN GAJI, TUNJANGAN, BONUS, HONORARIUM, THR, DLL</t>
  </si>
  <si>
    <t>BEBAN TRANSPORTASI</t>
  </si>
  <si>
    <t>BEBAN PENYUSUTAN DAN AMORTISASI</t>
  </si>
  <si>
    <t>BEBAN SEWA</t>
  </si>
  <si>
    <t>BEBAN BUNGA</t>
  </si>
  <si>
    <t>BEBAN SEHUBUNGAN DENGAN JASA</t>
  </si>
  <si>
    <t>BEBAN PIUTANG TIDAK TERTAGIH</t>
  </si>
  <si>
    <t>BEBAN PROMOSI/PEMASARAN</t>
  </si>
  <si>
    <t>BEBAN UMUM DAN ADMINISTRASI</t>
  </si>
  <si>
    <t>BEBAN USAHA LAINNYA</t>
  </si>
  <si>
    <t>JUMLAH BEBAN USAHA</t>
  </si>
  <si>
    <t>LABA (RUGI) SEBELUM PAJAK</t>
  </si>
  <si>
    <t>PINDAHKAN LABA (RUGI) SEBELUM PAJAK KOLOM (10) KE INDUK BAGIAN BANGKA 1 HURUF b</t>
  </si>
  <si>
    <t>A.2</t>
  </si>
  <si>
    <t>LAPORAN POSISI KEUANGAN (NERACA)</t>
  </si>
  <si>
    <t>AKUN</t>
  </si>
  <si>
    <t>ASET LANCAR</t>
  </si>
  <si>
    <t>LIABILITAS JANGKA PENDEK</t>
  </si>
  <si>
    <t>ASET TIDAK LANCAR</t>
  </si>
  <si>
    <t>INVESTASI</t>
  </si>
  <si>
    <t>PIUTANG USAHA - PIHAK KETIGA</t>
  </si>
  <si>
    <t>PIUTANG USAHA - PIHAK YANG MEMPUNYAI HUBUNGAN ISTIMEWA</t>
  </si>
  <si>
    <t>PIUTANG LAINNYA PIHAK KETIGA</t>
  </si>
  <si>
    <t>PIUTANG LAINNYA - PIHAK YANG MEMPUNYAI HUBUNGAN ISTIMEWA</t>
  </si>
  <si>
    <t>PERSEDIAAN</t>
  </si>
  <si>
    <t>UANG MUKA</t>
  </si>
  <si>
    <t>PAJAK DIBAYAR DI MUKA</t>
  </si>
  <si>
    <t>ASET LANCAR LAINNYA</t>
  </si>
  <si>
    <t>PIUTANG JANGKA PANJANG</t>
  </si>
  <si>
    <t>TANAH DAN BANGUNAN</t>
  </si>
  <si>
    <t>ASET TETAP LAINNYA</t>
  </si>
  <si>
    <t>INVESTASI PADA PERUSAHAAN ASOSIASI</t>
  </si>
  <si>
    <t>INVESTASI JANGKA PANJANG LAINNYA</t>
  </si>
  <si>
    <t>ASET TAK BERWUJUD - NET</t>
  </si>
  <si>
    <t>ASET PAJAK TANGGUNGAN</t>
  </si>
  <si>
    <t>ASET TIDAK LANCAR LAINNYA</t>
  </si>
  <si>
    <t>JUMLAH ASET</t>
  </si>
  <si>
    <t>LIABILITAS JANGKA PANJANG</t>
  </si>
  <si>
    <t>UTANG USAHA - PIHAK KETIGA</t>
  </si>
  <si>
    <t>UTANG USAHA - PIHAK YANG MEMPUNYAI HUBUNGAN ISTIMEWA</t>
  </si>
  <si>
    <t>UTANG BUNGA</t>
  </si>
  <si>
    <t>UTANG PAJAK</t>
  </si>
  <si>
    <t>UTANG DIVIDEN</t>
  </si>
  <si>
    <t>UTANG BANK JANGKA PENDEK</t>
  </si>
  <si>
    <t>UTANG JANGKA PANJANG YANG JATUH TEMPO DALAM SATU TAHUN</t>
  </si>
  <si>
    <t>LIABILITAS JANGKA PENDEK LAINNYA</t>
  </si>
  <si>
    <t>EKUITAS</t>
  </si>
  <si>
    <t>UTANG BANK JANGKA PANJANG</t>
  </si>
  <si>
    <t>UTANG JANGKA PANJANG - PIHAK KETIGA</t>
  </si>
  <si>
    <t>UTANG JANGKA PANJANG - PIHAK YANG MEMPUNYAI HUBUNGAN ISTIMEWA</t>
  </si>
  <si>
    <t>LIABILITAS PAJAK TANGGUHAN</t>
  </si>
  <si>
    <t>LIABILITAS JANGKA PANJANG LAINNYA</t>
  </si>
  <si>
    <t>JUMLAH LIABILITAS</t>
  </si>
  <si>
    <t>MODAL SAHAM</t>
  </si>
  <si>
    <t>TAMBAHAN MODAL DISETOR</t>
  </si>
  <si>
    <t>SALDO LABA</t>
  </si>
  <si>
    <t>EKUITAS LAINNYA</t>
  </si>
  <si>
    <t>JUMLAH EKUITAS</t>
  </si>
  <si>
    <t>JUMLAH LIABILITAS DAN EKUITAS</t>
  </si>
  <si>
    <t>LAPORAN KEUANGAN</t>
  </si>
  <si>
    <t>DIAUDIT</t>
  </si>
  <si>
    <t>TIDAK DIAUDIT</t>
  </si>
  <si>
    <t>NPWP KANTOR AKUNTAN PUBLIK</t>
  </si>
  <si>
    <t>NAMA KANTOR AKUNTAN PUBLIK</t>
  </si>
  <si>
    <t>NPWP KONSULTAN PAJAK</t>
  </si>
  <si>
    <t>NAMA KONSULTAN PAJAK</t>
  </si>
  <si>
    <t>PENDAPATAN</t>
  </si>
  <si>
    <t>PENDAPATAN JASA</t>
  </si>
  <si>
    <t>BIAYA POKOK JASA</t>
  </si>
  <si>
    <t>BIAYA BAHAN BAKU</t>
  </si>
  <si>
    <t>BIAYA TENAGA KERJA LANGSUNG</t>
  </si>
  <si>
    <t>BIAYA PABRIKASI</t>
  </si>
  <si>
    <t>BIAYA TENAGA KERJA TIDAK LANGSUNG</t>
  </si>
  <si>
    <t>BIAYA PEMELIHARAAN DAN PERBAIKAN MESIN</t>
  </si>
  <si>
    <t>BIAYA PENYUSUTAN DAN AMORTISASI</t>
  </si>
  <si>
    <t>BIAYA UTILITAS</t>
  </si>
  <si>
    <t>JUMLAH BIAYA PABRIKASI</t>
  </si>
  <si>
    <t>JUMLAH BIAYA PRODUKSI</t>
  </si>
  <si>
    <t>PERSEDIAAN AWAL BARANG DALAM PROSES</t>
  </si>
  <si>
    <t>JUMLAH HARGA POKOK PRODUKSI</t>
  </si>
  <si>
    <t>PERSEDIAAN AWAL BARANG JADI</t>
  </si>
  <si>
    <t>PERSEDIAAN BAHAN BAKU</t>
  </si>
  <si>
    <t>BEBAN DIBAYAR DI MUKA</t>
  </si>
  <si>
    <t>PERALATAN</t>
  </si>
  <si>
    <r>
      <rPr>
        <b/>
        <sz val="11"/>
        <color theme="1"/>
        <rFont val="Calibri"/>
        <family val="2"/>
        <scheme val="minor"/>
      </rPr>
      <t>DIKURANGI:</t>
    </r>
    <r>
      <rPr>
        <sz val="11"/>
        <color theme="1"/>
        <rFont val="Calibri"/>
        <family val="2"/>
        <scheme val="minor"/>
      </rPr>
      <t xml:space="preserve"> AKUMULASI PENYUSUTAN</t>
    </r>
  </si>
  <si>
    <t>MESIN</t>
  </si>
  <si>
    <r>
      <rPr>
        <b/>
        <sz val="11"/>
        <color theme="1"/>
        <rFont val="Calibri"/>
        <family val="2"/>
        <scheme val="minor"/>
      </rPr>
      <t>DIKURANGI:</t>
    </r>
    <r>
      <rPr>
        <sz val="11"/>
        <color theme="1"/>
        <rFont val="Calibri"/>
        <family val="2"/>
        <scheme val="minor"/>
      </rPr>
      <t xml:space="preserve"> CADANGAN PIUTANG TAK TERTAGIH</t>
    </r>
  </si>
  <si>
    <t>YANG MENYELENGGARAKAN PENCATATAN</t>
  </si>
  <si>
    <t>DAN/ATAU MEMILIKI PENGHASILAN NETO</t>
  </si>
  <si>
    <t>DALAM NEGERI LAINNYA</t>
  </si>
  <si>
    <t>BEBAS BERDASARKAN PENCATATAN</t>
  </si>
  <si>
    <t>PENGHASILAN NETO DALAM NEGERI LAINNYA</t>
  </si>
  <si>
    <t>PENGHASILAN NETO DALAM NEGERI DARI USAHA DAN/ATAU PEKERJAAN BEBAS BERDASARKAN PENCATATAN</t>
  </si>
  <si>
    <t>JENIS USAHA / PEKERJAAN BEBAS</t>
  </si>
  <si>
    <t>PEREDARAN BRUTO</t>
  </si>
  <si>
    <t>NORMA (%)</t>
  </si>
  <si>
    <t>NAMA TEMPAT KEGIATAN USAHA (TKU)</t>
  </si>
  <si>
    <t>PINDAHKAN JUMLAH TABEL A.6 KE INDUK BAGIAN B ANGKA 1 HURUF b</t>
  </si>
  <si>
    <t>PINDAHKAN JUMLAH TABEL B KE INDUK BAGIAN B ANGKA 1 HURUF c</t>
  </si>
  <si>
    <t>REKAPITULASI PERBEDAAN BRUTO UNTUK WAJIB PAJAK ORANG PRIBADI YANG MEMILIKI PEREDARAN BRUTO TERTENTU YANG DIKENAI PAJAK BERSIFAT FINAL</t>
  </si>
  <si>
    <t>JANUARI</t>
  </si>
  <si>
    <t>FEBRUARI</t>
  </si>
  <si>
    <t>a. JUMLAH PEREDARAN BRUTO</t>
  </si>
  <si>
    <t>b. AKUMULASI PEREDARAN BRUTO</t>
  </si>
  <si>
    <t>c. PEREDARAN BRUTO TIDAK KENA PAJAK</t>
  </si>
  <si>
    <t>d. PEREDARAN BRUTO KENA PAJAK</t>
  </si>
  <si>
    <t>g. JUMLAH PPh FINAL YANG DIPOTONG/DIPUNGUT PIHAK LAIN</t>
  </si>
  <si>
    <t>h. SELISIH (e-f-g)</t>
  </si>
  <si>
    <t>i. SELISIH PADA SPT DIBETULKAN</t>
  </si>
  <si>
    <t>j. SELISISH KARENA PEMBETULAN  (h-i)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</si>
  <si>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</si>
  <si>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</si>
  <si>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</si>
  <si>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</si>
  <si>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</si>
  <si>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</si>
  <si>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</si>
  <si>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</si>
  <si>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</si>
  <si>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</si>
  <si>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(11)</t>
  </si>
  <si>
    <t>(12)</t>
  </si>
  <si>
    <t>(13)</t>
  </si>
  <si>
    <t>(14)</t>
  </si>
  <si>
    <t>DAFTAR TEMPAT KEGIATAN USAHA (TKU)</t>
  </si>
  <si>
    <t>ID TKU</t>
  </si>
  <si>
    <t>NAMA TKU</t>
  </si>
  <si>
    <t>ALAMAT</t>
  </si>
  <si>
    <t>KELURAHAN/DESA</t>
  </si>
  <si>
    <t>KECAMATAN</t>
  </si>
  <si>
    <t>KOTA/KABUPATEN</t>
  </si>
  <si>
    <t>PROVINSI</t>
  </si>
  <si>
    <t>LAMPIRAN INI DIISI OLEH WAJIB PAJAK YANG BERKEWAJIBAN</t>
  </si>
  <si>
    <t>MELAPORKAN RINCIAN REKAPITULASI PEREDARAN BRUTO</t>
  </si>
  <si>
    <t>LAMPIRAN 3B</t>
  </si>
  <si>
    <t>REKAPITULASI PEREDARAN BRUTO</t>
  </si>
  <si>
    <t>REKAPITULASI PEREDARAN BRUTO UNTUK WAJB PAJAK ORANG PRIBADI PENGUSAHA TERTENTU (OPPT)</t>
  </si>
  <si>
    <t>(15)</t>
  </si>
  <si>
    <t>JUMLAH PEREDARAN BRUTO</t>
  </si>
  <si>
    <t>JUMLAH PPH</t>
  </si>
  <si>
    <t>1. PENCATATAN</t>
  </si>
  <si>
    <t>2. PEMBUKUAN STELSEL KAS ATAS PEMBUKUAN STELSEL AKRUAL</t>
  </si>
  <si>
    <t>JENIS USAHA/PEKERJAAN BEBAS</t>
  </si>
  <si>
    <t>REKAPITULASI PEREDARAN BRUTO UNTUK PENGGUNA NORMA PENGHITUNGAN PENGHASILAN NETO (NPPN)</t>
  </si>
  <si>
    <t xml:space="preserve">LAMPIRAN INI DIISI OLEH WAJIB PAJAK YANG </t>
  </si>
  <si>
    <t>MEMBEBANKAN BIAYA PENYUSUTAN</t>
  </si>
  <si>
    <t>DAN/ATAU AMORTISASI</t>
  </si>
  <si>
    <t>KODE HARTA</t>
  </si>
  <si>
    <t>KELOMPOK / JENIS HARTA</t>
  </si>
  <si>
    <t>BULAN/TAHUN PEROLEHAN</t>
  </si>
  <si>
    <t>HARGA PEROLEHAN (RUPIAH)</t>
  </si>
  <si>
    <t>NILAI SISA BUKU FISKAL AWAL TAHUN (RUPIAH)</t>
  </si>
  <si>
    <t>METODE PENYUSUTAN / AMORTISASI</t>
  </si>
  <si>
    <t>KOMERSIAL</t>
  </si>
  <si>
    <t>FISKAL</t>
  </si>
  <si>
    <t>PENYUSUTAN / AMORTISASI FISKAL PADA TAHUN INI (RUPIAH)</t>
  </si>
  <si>
    <t>HARTA BERWUJUD</t>
  </si>
  <si>
    <t xml:space="preserve"> KELOMPOK 1</t>
  </si>
  <si>
    <t>….....................................................</t>
  </si>
  <si>
    <t>KELOMPOK 2</t>
  </si>
  <si>
    <t>KELOMPOK 3</t>
  </si>
  <si>
    <t>KELOMPOK 4</t>
  </si>
  <si>
    <t>KELOMPOK LAINNYA</t>
  </si>
  <si>
    <t>II.</t>
  </si>
  <si>
    <t>BANGUNAN</t>
  </si>
  <si>
    <t>PERMANEN</t>
  </si>
  <si>
    <t>TIDAK PERMANEN</t>
  </si>
  <si>
    <t>JUMLAH PENYUSUTAN FISKAL</t>
  </si>
  <si>
    <t>JUMLAH PENYUSUTAN KOMERSIAL</t>
  </si>
  <si>
    <t>SELISIH PENYUSUTAN (A-B)</t>
  </si>
  <si>
    <t>III.</t>
  </si>
  <si>
    <t>HARTA TIDAK BERWUJUD</t>
  </si>
  <si>
    <t>KELOMPOK 1</t>
  </si>
  <si>
    <t>JUMLAH AMORTISASI FISKAL</t>
  </si>
  <si>
    <t>JUMLAH AMORTISASI KOMERSIAL</t>
  </si>
  <si>
    <t>SELISIH AMORTISASI (D-E)</t>
  </si>
  <si>
    <t>LAMPIRAN INI DIISI OLEH WAJIB PAJAK YANG</t>
  </si>
  <si>
    <t>PROMOSI DAN PENJUALAN, SERTA</t>
  </si>
  <si>
    <t>NATURA DAN/ATAU KENIKMATAN, DAN/ATAU</t>
  </si>
  <si>
    <t>DAFTAR PIUTANG YANG NYATA-NYATA TIDAK</t>
  </si>
  <si>
    <t>DAPAT DITAGIH</t>
  </si>
  <si>
    <t>RINCIAN BIAYA TERTENTU</t>
  </si>
  <si>
    <t>NAMA TEMPAT</t>
  </si>
  <si>
    <t>JENIS</t>
  </si>
  <si>
    <t>JUMLAH</t>
  </si>
  <si>
    <t>POSISI</t>
  </si>
  <si>
    <t>NAMA PERUSAHAAN</t>
  </si>
  <si>
    <t>JENIS USAHA</t>
  </si>
  <si>
    <r>
      <t xml:space="preserve">RELASI USAHA YANG DIBERIKAN </t>
    </r>
    <r>
      <rPr>
        <b/>
        <i/>
        <sz val="11"/>
        <rFont val="Calibri"/>
        <family val="2"/>
        <scheme val="minor"/>
      </rPr>
      <t>ENTERTAINMENT</t>
    </r>
  </si>
  <si>
    <t>DAFTAR NOMINATIF BIAYA PROMOSI SERTA PENGGANTIAN ATAU IMBALAN DALAM BENTUK NATURA DAN/ATAU KENIKMATAN</t>
  </si>
  <si>
    <t>DATA PENERIMA</t>
  </si>
  <si>
    <t>NOMOR IDENTITAS</t>
  </si>
  <si>
    <t>BENTUK DAN JENIS BIAYA</t>
  </si>
  <si>
    <t>NILAI</t>
  </si>
  <si>
    <t>PEMOTONGAN/PEMUNGUT PPH</t>
  </si>
  <si>
    <t>NOMOR BUKTI POTONG</t>
  </si>
  <si>
    <t>NAMA DEBITUR</t>
  </si>
  <si>
    <t>JUMLAH PLAFON PIUTANG</t>
  </si>
  <si>
    <t>JUMLAH PIUTANG YANG NYATA-NYATA TIDAK DAPAT DITAGIH</t>
  </si>
  <si>
    <t>METODE PEMBEBANAN</t>
  </si>
  <si>
    <t>JENIS DOKUMEN PEMBUKTIAN PEMENUHAN PERSYARATAN</t>
  </si>
  <si>
    <t>BERKEWAJIBAN MEMBAYAR ANGSURAN PPh</t>
  </si>
  <si>
    <t>PASAL 25 DAN/ATAU WAJIB PAJAK YANG</t>
  </si>
  <si>
    <t>STATUS KEWAJIBAN PAJAK WAJIB PAJAK DAN</t>
  </si>
  <si>
    <t>PASANGANNYA ADALAH PISAH HARTA (PH)</t>
  </si>
  <si>
    <t>ATAU MEMILIH TERPISAH (MT)</t>
  </si>
  <si>
    <t>PENGHITUNGAN PPh TERUTANG WAJIB PAJAK DAN SUAMI/ISTRI</t>
  </si>
  <si>
    <t>LAMPIRAN 4</t>
  </si>
  <si>
    <t>KOMPENSASI KERUGIAN TAHUN PAJAK BERIKUTNYA</t>
  </si>
  <si>
    <t>ZAKAT/SUMBANGAN KEAGAMAAN YANG BERSIFAT WAJIB</t>
  </si>
  <si>
    <t>JUMLAH PENGHASILAN NETO</t>
  </si>
  <si>
    <t>PENGURANG PPh TERUTANG</t>
  </si>
  <si>
    <t>PPh YANG HARUS DIBAYAR</t>
  </si>
  <si>
    <t>\</t>
  </si>
  <si>
    <t>PENGHASILAN NETO SETELAH DIKURANGI ZAKAT/SUMBANGAN KEAGAMAAN WAJIB DAN</t>
  </si>
  <si>
    <t>KOMPENSASI KERUGIAN</t>
  </si>
  <si>
    <t>KOMPENSASI KERUGIAN GABUNGAN</t>
  </si>
  <si>
    <t>PENGHASILAN TIDAK KENA PAJAK GABUNGAN</t>
  </si>
  <si>
    <t>PENGHASILAN KENA PAJAK GABUNGAN</t>
  </si>
  <si>
    <t>PPh TERUTANG GABUNGAN</t>
  </si>
  <si>
    <t>[(</t>
  </si>
  <si>
    <t>3a</t>
  </si>
  <si>
    <t>:</t>
  </si>
  <si>
    <t>) x</t>
  </si>
  <si>
    <t>]</t>
  </si>
  <si>
    <t>3b</t>
  </si>
  <si>
    <t>SUAMI/ISTRI</t>
  </si>
  <si>
    <t>PINDAHKAN JUMLAH PPh TERUTANG YANG DITANGGUNG OLEH SUAMI/ISTRI PADA NOMOR 9 KE INDUK BAGIAN C ANGKA 7 SPT SUAMI/ISTRI</t>
  </si>
  <si>
    <t>X</t>
  </si>
  <si>
    <t>NAMA DAN TTD</t>
  </si>
  <si>
    <t>MENGAKUI KOMPENSASI KERUGIAN FISKAL</t>
  </si>
  <si>
    <t>PENGURANG PENGHASILAN NETO, DAN/ATAU</t>
  </si>
  <si>
    <t>PENGHITUNGAN KOMPENSASI KERUGIAN FISKAL</t>
  </si>
  <si>
    <t>A. PENGHITUNGAN KOMPENSASI KERUGIAN FISKAL</t>
  </si>
  <si>
    <t>PENGURANG PENGHASILAN NETO</t>
  </si>
  <si>
    <t>C. PENGURANG PPh TERUTANG</t>
  </si>
  <si>
    <t>JUMLAH KOMPENSASI KERUGIAN FISKAL</t>
  </si>
  <si>
    <t>JUMLAH PENGURANG PENGHASILAN NETO  (B.5+B.6)</t>
  </si>
  <si>
    <t>JENIS PENGURANG PENGHASILAN NETO</t>
  </si>
  <si>
    <t>JUMLAH PENGURANG PPh TERUTANG</t>
  </si>
  <si>
    <t>JENIS PENGURANG PPh TERUTANG</t>
  </si>
  <si>
    <t>KOMPENSASI KERUGIAN FISKAL</t>
  </si>
  <si>
    <t>LABA/RUGI</t>
  </si>
  <si>
    <t>NETO FISKAL</t>
  </si>
  <si>
    <t>RUPIAH</t>
  </si>
  <si>
    <t>RUPIAH (TAHUN PAJAK INI )</t>
  </si>
  <si>
    <t>PINDAHKAN JUMLAH TABEL A KOLOM (8) KE LAMPIRAN INI BAGIAN B BARIS 6 KOLOM (4)</t>
  </si>
  <si>
    <t>LAMPIRAN 5</t>
  </si>
  <si>
    <t>PINDAHKAN JUMLAH PENGURANG PENGHASILAN NETO (B.7) DI BARIS 7 KOLOM (4) KE INDUK BAGIAN C ANGKA 3</t>
  </si>
  <si>
    <t>PINDAHKAN JUMLAH TABEL C KE INDUK BAGIAN C ANGKA 8</t>
  </si>
  <si>
    <t>KEMENTERIAN KEUANGAN</t>
  </si>
  <si>
    <t>bersifat final. (Isi Lampiran 3B Bagian A, Lalu ke pertanyaan selanjutnya)</t>
  </si>
  <si>
    <t>Ya, Saya termasuk Wajib Pajak OPPT. (Isi Lampiran 3B Bagian B, lalu ke pertanyaan selanjutnya)</t>
  </si>
  <si>
    <t>Ya, saya berhak menggunakan Norma Penghitungan Penghasilan Neto.</t>
  </si>
  <si>
    <t>ANDA MENYELENGGARAKAN PEMBUKUAN. SEBUTKAN SEKTOR USAHA YANG ANDA LAKUKAN.</t>
  </si>
  <si>
    <t>Dagang. (Isi Lampiran 3A-1, lalu ke pertanyaan selanjutnya)</t>
  </si>
  <si>
    <t>APAKAH ANDA MENERIMA PENGHASILAN LUAR NEGERI?</t>
  </si>
  <si>
    <t>ANGSURAN PPh PASAL 25</t>
  </si>
  <si>
    <t>APAKAH TERDAPAT SURAT KEPUTUSAN PERSETUJUAN PENGANGSURAN ATAU PENUNDAAN</t>
  </si>
  <si>
    <t>PEMBAYARAN PAJAK?</t>
  </si>
  <si>
    <t>PEMBETULAN (DIISI JIKA STATUS SPT ADALAH PEMBETULAN)</t>
  </si>
  <si>
    <t>PPh LEBIH BAYAR 11a atau 12b MOHON</t>
  </si>
  <si>
    <t>Dikembalikan melalui pemeriksaan.</t>
  </si>
  <si>
    <t>Dikembalikan melalui permohonan pengembalian pendahuluan.</t>
  </si>
  <si>
    <t>ANGSURAN PPh PASAL 25 TAHUN PAJAK BERIKUTNYA?</t>
  </si>
  <si>
    <t>APAKAH ANDA MEMBAYAR ANGSURAN PPH PASAL 25 OPPT TAHUN PAJAK BERIKUTNYA?</t>
  </si>
  <si>
    <r>
      <t xml:space="preserve">APAKAH ANDA MELAPORKAN BIAYA </t>
    </r>
    <r>
      <rPr>
        <b/>
        <i/>
        <sz val="10"/>
        <color theme="1"/>
        <rFont val="Calibri"/>
        <family val="2"/>
        <scheme val="minor"/>
      </rPr>
      <t>ENTERTAINMENT</t>
    </r>
    <r>
      <rPr>
        <b/>
        <sz val="10"/>
        <color theme="1"/>
        <rFont val="Calibri"/>
        <family val="2"/>
        <scheme val="minor"/>
      </rPr>
      <t>, BIAYA PROMOSI, PENGGANTIAN ATAU</t>
    </r>
  </si>
  <si>
    <t>Ya. (Isi Lampiran 3D, lalu ke pertanyaan selanjutnya)</t>
  </si>
  <si>
    <t>WAKIL/KUASA</t>
  </si>
  <si>
    <t>MELAPORKAN HARTA, UTANG, DAFTAR</t>
  </si>
  <si>
    <t>TANGGUNGAN, PENGHASILAN NETO DALAM</t>
  </si>
  <si>
    <t>NEGERI DARI PEKERJAAN, DAN ATAU BUKTI</t>
  </si>
  <si>
    <t>PENERIMA PINJAMAN</t>
  </si>
  <si>
    <t>MEREK/MODEL :</t>
  </si>
  <si>
    <t>JUMLAH HARTA PADA AKHIR TAHUN PAJAK</t>
  </si>
  <si>
    <t>JUMLAHKAN HARTA PADA TABEL 1 SAMPAI DENGAN TABEL 6 DI TABEL 7 KOLOM (2)</t>
  </si>
  <si>
    <t>PINDAHKAN JUMLAH HARTA TABEL 7 KOLOM (2) KE INDUK BAGIAN I ANGKA 14 HURUF a.</t>
  </si>
  <si>
    <t>PINDAHKAN JUNLAH TABEL B KE INDUK BAGIAN I ANGKA 14 HURUF b.</t>
  </si>
  <si>
    <t>NAMA PEMBERI KERJA</t>
  </si>
  <si>
    <t>JUMLAH PPh YANG DIPOTONG/DIPUNGUT</t>
  </si>
  <si>
    <t>DAFTAR BUKTI PEMOTONGAN PEMUNGUTAN PPh</t>
  </si>
  <si>
    <t>PINDAHKAN JUMLAH TABEL A KOLOM (5) KE INDUK BAGIAN I ANGKA 14 HURUF c.</t>
  </si>
  <si>
    <t>PINDAHKAN JUMLAH TABEL B KE INDUK BAGIAN I ANGKA 14 HURUF d.</t>
  </si>
  <si>
    <t>PAJAK PENGHASILAN YANG TERUTANG/DIBAYAR/DIPOTONG DI LUAR NEGERI</t>
  </si>
  <si>
    <t>HARGA POKOK PENJUALAN:</t>
  </si>
  <si>
    <r>
      <rPr>
        <b/>
        <sz val="11"/>
        <color theme="1"/>
        <rFont val="Calibri"/>
        <family val="2"/>
        <scheme val="minor"/>
      </rPr>
      <t>DIKURANGI:</t>
    </r>
    <r>
      <rPr>
        <sz val="11"/>
        <color theme="1"/>
        <rFont val="Calibri"/>
        <family val="2"/>
        <scheme val="minor"/>
      </rPr>
      <t xml:space="preserve"> PERSEDIAAN AKHIR</t>
    </r>
  </si>
  <si>
    <r>
      <t xml:space="preserve">BEBAN </t>
    </r>
    <r>
      <rPr>
        <i/>
        <sz val="11"/>
        <color theme="1"/>
        <rFont val="Calibri"/>
        <family val="2"/>
        <scheme val="minor"/>
      </rPr>
      <t>ENTERTAINMENT</t>
    </r>
  </si>
  <si>
    <t>PINDAHKAN LABA (RUGI) SEBELUM PAJAK KOLOM (10) KE INDUK BAGIAN B ANGKA 1 HURUF b</t>
  </si>
  <si>
    <t>BEBAN YANG MASIH HARUS DIBAYAR</t>
  </si>
  <si>
    <t>AKRUAL DI SEKTOR USAHA JASA</t>
  </si>
  <si>
    <t>(JASA)</t>
  </si>
  <si>
    <t>LAMPIRAN 3A-2</t>
  </si>
  <si>
    <t>PIUTANG LAINNYA - PIHAK KETIGA</t>
  </si>
  <si>
    <t>AKRUAL DI SEKTOR USAHA INDUSTRI</t>
  </si>
  <si>
    <t>(INDUSTRI)</t>
  </si>
  <si>
    <t>DIKENAKAN PPh FINAL</t>
  </si>
  <si>
    <t>BIAYA PABRIKASI LAINNYA</t>
  </si>
  <si>
    <r>
      <rPr>
        <b/>
        <sz val="11"/>
        <color theme="1"/>
        <rFont val="Calibri"/>
        <family val="2"/>
        <scheme val="minor"/>
      </rPr>
      <t>DIKURANGI:</t>
    </r>
    <r>
      <rPr>
        <sz val="11"/>
        <color theme="1"/>
        <rFont val="Calibri"/>
        <family val="2"/>
        <scheme val="minor"/>
      </rPr>
      <t xml:space="preserve"> PERSEDIAAN AKHIR BARANG DALAM PROSES</t>
    </r>
  </si>
  <si>
    <r>
      <rPr>
        <b/>
        <sz val="11"/>
        <color theme="1"/>
        <rFont val="Calibri"/>
        <family val="2"/>
        <scheme val="minor"/>
      </rPr>
      <t>DIKURANGI:</t>
    </r>
    <r>
      <rPr>
        <sz val="11"/>
        <color theme="1"/>
        <rFont val="Calibri"/>
        <family val="2"/>
        <scheme val="minor"/>
      </rPr>
      <t xml:space="preserve"> PERSEDIAAN AKHIR BARANG JADI</t>
    </r>
  </si>
  <si>
    <t>PERSEDIAAN BARANG DALAM PROSES</t>
  </si>
  <si>
    <t>PERSEDIAAN BARANG JADI</t>
  </si>
  <si>
    <r>
      <rPr>
        <b/>
        <sz val="11"/>
        <color theme="1"/>
        <rFont val="Calibri"/>
        <family val="2"/>
        <scheme val="minor"/>
      </rPr>
      <t>DIKURANGI</t>
    </r>
    <r>
      <rPr>
        <sz val="11"/>
        <color theme="1"/>
        <rFont val="Calibri"/>
        <family val="2"/>
        <scheme val="minor"/>
      </rPr>
      <t>: AKUMULASI PENYUSUTAN</t>
    </r>
  </si>
  <si>
    <t>ASET TIDAK BERWUJUD - NET</t>
  </si>
  <si>
    <t>PENGHASILAN NETO DALAM NEGERI DARI USAHA DAN/ATAU PEKERJAAN</t>
  </si>
  <si>
    <t>LAMPIRAN 3A-4</t>
  </si>
  <si>
    <t>(16)</t>
  </si>
  <si>
    <t>PINDAHKAN HURUF f. JUMLAH PPh FINAL YANG DISETOR SENDIRI KOLOM (15) KE LAMPIRAN 2 BAGIAN A DENGAN KODE 28-423-99 JENIS PENGHASILAN "PENGHASILAN YANG DIKENAKAN PAJAK BERSIFAT FINAL SESUAI PERATURAN PEMERINTAH NOMOR 55 TAHUN 2022 (DISETOR SENDIRI)"</t>
  </si>
  <si>
    <t>PINDAHKAN HURUF g. JUMLAH PPh FINAL YANG DIPOTONG/DIPUNGUT PIHAK LAIN PADA KOLOM (3) SAMPAI (14) KE LAMPIRAN 2 BAGIAN A SESUAI DENGAN BUKTI PEMOTONGAN/PEMUNGUTAN PPh</t>
  </si>
  <si>
    <t>e. JUMLAH PPh FINAL TERUTANG (0,5% x d)</t>
  </si>
  <si>
    <t>f. JUMLAH PPh FINAL YANG DISETOR SENDIRI</t>
  </si>
  <si>
    <t>JIKA METODE PEMBUKUAN ADALAH 1. PENCATATAN, PINDAHKAN SELURUH DATA PADA MASING-MASING TKU DARI KOLOM (1) SAMPAI KOLOM (16) PADA TABEL B KE TABEL C LAMPIRAN INI. BARIS JUMLAH PPh PADA KOLOM (4) SAMPAI KOLOM (16) DIGABUNGKAN DENGAN JUMLAH PPh PADA TABEL C BARIS JUMLAH PPh SESUAI DENGAN KOLOM MASING-MASING</t>
  </si>
  <si>
    <t>JIKA METODE PEMBUKUAN ADALAH 2. PEMBUKUAN STELSEL KAS ATAU PEMBUKUAN STELSEL AKRUAL, PINDAHKAN JUMLAH PEREDARAN BRUTO KOLOM (16) KE LAMPIRAN 3A-1/3A-2/3A-3 BAGIAN A.1 DAN JUMLAH PPh KOLOM (16) KE INDUK BAGIAN D ANGKA 10 HURUF b</t>
  </si>
  <si>
    <t>PINDAHKAN NAMA TKU KOLOM (2). JENIS USAHA/PEKERJAAN BEBAS KOLOM (3). DAN JUMLAH PEREDARAN BRUTO KOLOM (16) KE LAMPIRAN 3A-4 BAGIAN A DAN JUMLAH PPh KOLOM (16) KE INDUK BAGIAN D ANGKA 10 HURUF b</t>
  </si>
  <si>
    <t>LAMPIRAN 3C</t>
  </si>
  <si>
    <t>DAFTAR PENYUSUTAN DAN AMORTISASI FISKAL</t>
  </si>
  <si>
    <r>
      <t xml:space="preserve">MEMBEBANKAN BIAYA </t>
    </r>
    <r>
      <rPr>
        <i/>
        <sz val="11"/>
        <color theme="1"/>
        <rFont val="Calibri"/>
        <family val="2"/>
        <scheme val="minor"/>
      </rPr>
      <t>ENTERTAINMENT</t>
    </r>
    <r>
      <rPr>
        <sz val="11"/>
        <color theme="1"/>
        <rFont val="Calibri"/>
        <family val="2"/>
        <scheme val="minor"/>
      </rPr>
      <t>, BIAYA</t>
    </r>
  </si>
  <si>
    <t>PENGGANTIAN ATAU IMBALAN DALAM BENTUK</t>
  </si>
  <si>
    <t>LAMPIRAN 3D</t>
  </si>
  <si>
    <r>
      <t xml:space="preserve">PEMBERIAN </t>
    </r>
    <r>
      <rPr>
        <b/>
        <i/>
        <sz val="11"/>
        <rFont val="Calibri"/>
        <family val="2"/>
        <scheme val="minor"/>
      </rPr>
      <t>ENTERTAINMENT</t>
    </r>
  </si>
  <si>
    <r>
      <t xml:space="preserve">DAFTAR NOMINATIF BIAYA </t>
    </r>
    <r>
      <rPr>
        <b/>
        <i/>
        <sz val="11"/>
        <color theme="0"/>
        <rFont val="Calibri"/>
        <family val="2"/>
        <scheme val="minor"/>
      </rPr>
      <t>ENTERTAINMENT</t>
    </r>
  </si>
  <si>
    <t>DAFTAR PIUTANG YANG NYATA-NYATA TIDAK DAPAT DITAGIH</t>
  </si>
  <si>
    <t>PENGHITUNGAN ANGSURAN PPh PASAL 25 TAHUN PAJAK BERIKUTNYA</t>
  </si>
  <si>
    <t>PINDAHKAN JUMLAH ANGSURAN PPh PASAL 25 TAHUN PAJAK BERIKUTNYA PADA NOMOR 11 KE INDUK BAGIAN H ANGKA 13 HURUF b</t>
  </si>
  <si>
    <t>PPh TERUTANG YANG DITANGGUNG OLEH WAJIB PAJAK</t>
  </si>
  <si>
    <t>PPh TERUTANG YANG DITANGGUNG OLEH SUAMI/ISTRI</t>
  </si>
  <si>
    <t>PINDAHKAN JUMLAH PPh TERUTANG YANG DITANGGUNG OLEH WAJIB PAJAK PADA NOMOR 8 KE INDUK BAGIAN C ANGKA 7 SPT WAJIB PAJAK</t>
  </si>
  <si>
    <t>B. PENGURANG PENGHASILAN NETO</t>
  </si>
  <si>
    <t>RUPIAH (TAHUN PAJAK BERJALAN )</t>
  </si>
  <si>
    <t>JUMLAH PENGURANG PENGHASILAN NETO</t>
  </si>
  <si>
    <t>3402011234560001</t>
  </si>
  <si>
    <t>(0274) 555666</t>
  </si>
  <si>
    <t>Sleman</t>
  </si>
  <si>
    <t>Sewa harta selain tanah dan/atau bangunan</t>
  </si>
  <si>
    <t>0102</t>
  </si>
  <si>
    <t>Tabungan</t>
  </si>
  <si>
    <t>0101</t>
  </si>
  <si>
    <t>Uang Tunai</t>
  </si>
  <si>
    <t>0309</t>
  </si>
  <si>
    <t>Penyertaan modal dalam perusahaan lain yang bukan atas saham</t>
  </si>
  <si>
    <t>0403</t>
  </si>
  <si>
    <t>0501</t>
  </si>
  <si>
    <t>Tanah Kosong</t>
  </si>
  <si>
    <t>BANGUNAN : 0</t>
  </si>
  <si>
    <t>28-402-01</t>
  </si>
  <si>
    <t>Pengalihan Hak atas Tanah dan/atau Bangunan</t>
  </si>
  <si>
    <t>Dividen atau bagian laba</t>
  </si>
  <si>
    <t>1. Data diri wajib pajak:</t>
  </si>
  <si>
    <t>Nama</t>
  </si>
  <si>
    <t>NPWP</t>
  </si>
  <si>
    <t>: 3402011234560001</t>
  </si>
  <si>
    <t>Alamat</t>
  </si>
  <si>
    <t>Telpon/faks</t>
  </si>
  <si>
    <t>: (0274) 555666</t>
  </si>
  <si>
    <t>Email</t>
  </si>
  <si>
    <t>ID TKU Tempat Usaha</t>
  </si>
  <si>
    <t>: 3402011234560001000000</t>
  </si>
  <si>
    <t>2. Peredaran usaha tahun 2025 sebagai berikut :</t>
  </si>
  <si>
    <t>Bulan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</si>
  <si>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</si>
  <si>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</si>
  <si>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</si>
  <si>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</si>
  <si>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</si>
  <si>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</si>
  <si>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</si>
  <si>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</si>
  <si>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</si>
  <si>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</si>
  <si>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</si>
  <si>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</si>
  <si>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Total</t>
  </si>
  <si>
    <t>3. Informasi tambahan :</t>
  </si>
  <si>
    <t>Penghasilan Yang Dikenakan Pajak Penghasilan Bersifat Final</t>
  </si>
  <si>
    <t>Kode</t>
  </si>
  <si>
    <t>Jenis Penghasilan</t>
  </si>
  <si>
    <t>Nilai</t>
  </si>
  <si>
    <t>PPh Terutang</t>
  </si>
  <si>
    <t>Keterangan</t>
  </si>
  <si>
    <t>Penghasilan Yang Tidak Termasuk Objek Pajak</t>
  </si>
  <si>
    <t>Sumber Penghasilan</t>
  </si>
  <si>
    <t>Penghasilan</t>
  </si>
  <si>
    <t>Penghasilan Neto Dalam Negeri Lainnya</t>
  </si>
  <si>
    <t xml:space="preserve">Penghasilan </t>
  </si>
  <si>
    <t>4. Informasi Data Harta dan Hutang</t>
  </si>
  <si>
    <t>Data Harta :</t>
  </si>
  <si>
    <t>Kode Harta</t>
  </si>
  <si>
    <t>Tahun Perolehan</t>
  </si>
  <si>
    <t>Harga Perolehan (Rp)</t>
  </si>
  <si>
    <t>Nilai Saat Ini</t>
  </si>
  <si>
    <t>Mobil Penumpang</t>
  </si>
  <si>
    <t>Toyota Kijang Innova, No. Plat : A 7890 C , Atas Nama Suhendar (NIK : 7890123456789098)</t>
  </si>
  <si>
    <t>Rupiah</t>
  </si>
  <si>
    <t>Total Harta</t>
  </si>
  <si>
    <t>Data Hutang :</t>
  </si>
  <si>
    <t>Kode Hutang</t>
  </si>
  <si>
    <t>Nama Pemberi Pinjaman</t>
  </si>
  <si>
    <t>Alamat Pemberi Pinjaman</t>
  </si>
  <si>
    <t>Tahun Pinjaman</t>
  </si>
  <si>
    <t>Saldo</t>
  </si>
  <si>
    <t>4. Data Pembayaran PPh Final Tahun 2025 :</t>
  </si>
  <si>
    <t>Jumlah</t>
  </si>
  <si>
    <t xml:space="preserve">PPh Final dibayar </t>
  </si>
  <si>
    <t>NTPN</t>
  </si>
  <si>
    <t>Tanggal Bayar</t>
  </si>
  <si>
    <t>Dibawah 500jt</t>
  </si>
  <si>
    <t>AAAGFN9000NGF5</t>
  </si>
  <si>
    <t>RTR56789GHG014T</t>
  </si>
  <si>
    <t>G4FGFN9000NGF5</t>
  </si>
  <si>
    <t>1VFDG890ASDF01</t>
  </si>
  <si>
    <t>DSF34567FGG0017</t>
  </si>
  <si>
    <t>1HKJH4567890GG8</t>
  </si>
  <si>
    <t>Nopember</t>
  </si>
  <si>
    <t>EW5678900GHH019</t>
  </si>
  <si>
    <t>NN34567GH00020G</t>
  </si>
  <si>
    <t>5. Susunan Anggota Keluarga</t>
  </si>
  <si>
    <t>DIMINTA :</t>
  </si>
  <si>
    <t>KASUS PPh ORANG PRIBADI 2025</t>
  </si>
  <si>
    <t xml:space="preserve">NIK/NPWP : </t>
  </si>
  <si>
    <t xml:space="preserve">NAMA : </t>
  </si>
  <si>
    <t xml:space="preserve">TANAH : </t>
  </si>
  <si>
    <t xml:space="preserve">TIPE : </t>
  </si>
  <si>
    <t>Jenis Harta / Tipe</t>
  </si>
  <si>
    <t xml:space="preserve">MEREK/MODEL : </t>
  </si>
  <si>
    <t>Penghasilan dari Pekerjaan</t>
  </si>
  <si>
    <t>BUKTI PEMOTONGAN PAJAK PENGHASILAN PASAL 21</t>
  </si>
  <si>
    <t>BP A1</t>
  </si>
  <si>
    <t>a) Bagian Umum Formulir BPA1</t>
  </si>
  <si>
    <t>BAGI PEGAWAI TETAP ATAU PENSIUN YANG MENERIMA</t>
  </si>
  <si>
    <t xml:space="preserve">(1) Nomor Bukti Pemotongan </t>
  </si>
  <si>
    <t xml:space="preserve">: dihasilkan melalui modul eBupot. </t>
  </si>
  <si>
    <t>UANG TERKAIT PENSIUN SECARA BERKALA</t>
  </si>
  <si>
    <t>(2) Periode Penghasilan</t>
  </si>
  <si>
    <t>: Diisi dengan masa perolehan penghasilan</t>
  </si>
  <si>
    <t xml:space="preserve">dalam tahun kalender yang bersangkutan. </t>
  </si>
  <si>
    <t>: Diisi dengan nomor Formulir BPA1 yang</t>
  </si>
  <si>
    <t>Misalnya: Tuan A bekerja sejak Januari tahun</t>
  </si>
  <si>
    <t>NOMOR BUKTI PEMOTONGAN</t>
  </si>
  <si>
    <t>PERIODE PENGHASILAN</t>
  </si>
  <si>
    <t>SIFAT PEMOTONGAN</t>
  </si>
  <si>
    <t>STATUS BUKTI PEMOTONGAN</t>
  </si>
  <si>
    <t>2025 dan masih bekerja sampai dengan</t>
  </si>
  <si>
    <t>Januari 2025 s.d Desember 2025</t>
  </si>
  <si>
    <t>Tidak Final</t>
  </si>
  <si>
    <t>Normal</t>
  </si>
  <si>
    <t>Desember tahun 2025, maka masa perolehan</t>
  </si>
  <si>
    <t>A. IDENTITAS PENERIMA PENGHASILAN</t>
  </si>
  <si>
    <t xml:space="preserve">penghasilannya diisi dengan 01-2025 - 12-2025.  </t>
  </si>
  <si>
    <t>: …...........................................</t>
  </si>
  <si>
    <t>(3) Sifat Pemotongan</t>
  </si>
  <si>
    <t>: Diisi dengan sifat pemotongan PPh Pasal 21,</t>
  </si>
  <si>
    <t>misalnya “Tidak Final”.</t>
  </si>
  <si>
    <t>A.3</t>
  </si>
  <si>
    <t xml:space="preserve">(4) Status Bukti Pemotongan </t>
  </si>
  <si>
    <t>: Diisi dengan status Formulir BPA1:</t>
  </si>
  <si>
    <t>(a) “Normal” untuk Formulir BPA1 yang</t>
  </si>
  <si>
    <t>A.4</t>
  </si>
  <si>
    <t>Jenis Kelamin</t>
  </si>
  <si>
    <t>pertama kali dibuat atau belum pernah</t>
  </si>
  <si>
    <t>A.5</t>
  </si>
  <si>
    <t>Status PTKP</t>
  </si>
  <si>
    <t>A.8</t>
  </si>
  <si>
    <t>Nomor Paspor</t>
  </si>
  <si>
    <t xml:space="preserve"> </t>
  </si>
  <si>
    <t>dibetulkan atau dibatalkan;</t>
  </si>
  <si>
    <t>A.6</t>
  </si>
  <si>
    <t>Posisi</t>
  </si>
  <si>
    <t>A.9</t>
  </si>
  <si>
    <t>Kode Negara</t>
  </si>
  <si>
    <t>(b) “Pembetulan” untuk Formulir BPA1 yang</t>
  </si>
  <si>
    <t>A.7</t>
  </si>
  <si>
    <t>Pegawai Asing</t>
  </si>
  <si>
    <t>A.10</t>
  </si>
  <si>
    <t>Bekerja di Lebih dari Satu Pemberi</t>
  </si>
  <si>
    <t>membetulkan Formulir BPA1 yang</t>
  </si>
  <si>
    <t>Kerja</t>
  </si>
  <si>
    <t>diterbitkan sebelumnya; atau</t>
  </si>
  <si>
    <t>(c) “Pembatalan” untuk Formulir BPA1 yang</t>
  </si>
  <si>
    <t>B. RINCIAN PENGHASILAN DAN PENGHITUNGAN PPh PASAL 21</t>
  </si>
  <si>
    <t>membatalkan Formulir BPA1 yang</t>
  </si>
  <si>
    <t>B.1.1</t>
  </si>
  <si>
    <t>Kode Objek Pajak</t>
  </si>
  <si>
    <t>B.1.2</t>
  </si>
  <si>
    <t>Objek Pajak</t>
  </si>
  <si>
    <t>diterbitkan sebelumnya.</t>
  </si>
  <si>
    <t>B.2</t>
  </si>
  <si>
    <t>Jenis Pemotongan</t>
  </si>
  <si>
    <t>b) Bagian A. Identitas Penerima Penghasilan</t>
  </si>
  <si>
    <t>URAIAN</t>
  </si>
  <si>
    <t>JUMLAH (Rp)</t>
  </si>
  <si>
    <t xml:space="preserve">(1) Huruf A.1 </t>
  </si>
  <si>
    <t>: Diisi dengan Nomor Induk Kependudukan</t>
  </si>
  <si>
    <t>B.3</t>
  </si>
  <si>
    <t>B.4</t>
  </si>
  <si>
    <t>B.5</t>
  </si>
  <si>
    <t>(NIK)/Nomor Pokok Wajib Pajak (NPWP)</t>
  </si>
  <si>
    <t>I</t>
  </si>
  <si>
    <t>penerima penghasilan.</t>
  </si>
  <si>
    <t>Gaji/Pensiun atau THT/JHT</t>
  </si>
  <si>
    <t xml:space="preserve">(2) Huruf A.2 </t>
  </si>
  <si>
    <t>: Diisi dengan nama penerima penghasilan.</t>
  </si>
  <si>
    <t>Tunjangan PPh</t>
  </si>
  <si>
    <t xml:space="preserve">(3) Huruf A.3 </t>
  </si>
  <si>
    <t>: Diisi dengan alamat penerima penghasilan.</t>
  </si>
  <si>
    <t>Tunjangan Lainnya, Uang Lembur dan Sebagainya</t>
  </si>
  <si>
    <t xml:space="preserve">(4) Huruf A.4 </t>
  </si>
  <si>
    <t xml:space="preserve">: Diisi dengan jenis kelamin penerima penghasilan. </t>
  </si>
  <si>
    <t>Honorarium dan Imbalan Lain Sejenisnya</t>
  </si>
  <si>
    <t xml:space="preserve">(5) Huruf A.5 </t>
  </si>
  <si>
    <t xml:space="preserve">: Diisi dengan status Penghasilan Tidak Kena </t>
  </si>
  <si>
    <t>Premi Asuransi yang Dibayarkan Pemberi Kerja</t>
  </si>
  <si>
    <t xml:space="preserve">Pajak (PTKP) penerima penghasilan: </t>
  </si>
  <si>
    <t>Penerimaan Dalam bentuk Natura dan Kenikmatan Lainnya yang Dikenakan Pemotongan PPh Pasal 21</t>
  </si>
  <si>
    <t xml:space="preserve">K: Kawin, </t>
  </si>
  <si>
    <t>Tantiem, Bonus, Gratifikasi, Jasa Produksi dan THR</t>
  </si>
  <si>
    <t xml:space="preserve">TK: Tidak Kawin, </t>
  </si>
  <si>
    <t>Jumlah Penghasilan Bruto (1 s.d 7)</t>
  </si>
  <si>
    <t>HB: Suami-Istri telah Hidup Berpisah</t>
  </si>
  <si>
    <t>II</t>
  </si>
  <si>
    <t>PENGURANG PENGHASILAN BRUTO</t>
  </si>
  <si>
    <t>berdasarkan putusan hakim.</t>
  </si>
  <si>
    <t>9.</t>
  </si>
  <si>
    <t>Biaya Jabatan/Biaya Pensiun</t>
  </si>
  <si>
    <t>Jumlah tanggungan pada status yang sesuai,</t>
  </si>
  <si>
    <t>10.</t>
  </si>
  <si>
    <t>Iuran terkait Pensiun atau Hari Tua</t>
  </si>
  <si>
    <t>yaitu jumlah anggota keluarga sedarah dan</t>
  </si>
  <si>
    <t>11.</t>
  </si>
  <si>
    <t>Zakat atau Sumbangan Keagamaan yang Bersifat Wajib yang Dibayarkan melalui Pemberi Kerja</t>
  </si>
  <si>
    <t>keluarga semenda dalam garis keturunan</t>
  </si>
  <si>
    <t>12.</t>
  </si>
  <si>
    <t>Jumlah Pengurang (9 s.d 11)</t>
  </si>
  <si>
    <t>lurus serta anak angkat yang menjadi</t>
  </si>
  <si>
    <t>III</t>
  </si>
  <si>
    <t>PENGHITUNAGN PPh PASAL 21</t>
  </si>
  <si>
    <t xml:space="preserve">tanggungan sepenuhnya, paling banyak 3 (tiga) orang. </t>
  </si>
  <si>
    <t>13.</t>
  </si>
  <si>
    <t>Jumlag Penghasilan Neto (8 - 12)</t>
  </si>
  <si>
    <t xml:space="preserve">(6) Huruf A.6 </t>
  </si>
  <si>
    <t xml:space="preserve">: Diisi dengan nama jabatan penerima penghasilan. </t>
  </si>
  <si>
    <t>14.</t>
  </si>
  <si>
    <t>Penghasilan Neto dari Pemotongan Sebelumnya</t>
  </si>
  <si>
    <t xml:space="preserve">(7) Huruf A.7 </t>
  </si>
  <si>
    <t>: Diisi dengan “Ya” jika penerima penghasilan</t>
  </si>
  <si>
    <t>15.</t>
  </si>
  <si>
    <t>Jumlag Penghasilan Neto untuk Perhitungan PPh Pasal 21 (Setahun/Disetahunkan)</t>
  </si>
  <si>
    <t>merupakan warga negara asing atau “Tidak”</t>
  </si>
  <si>
    <t>16.</t>
  </si>
  <si>
    <t>Penghasilan Tidak Kena Pajak</t>
  </si>
  <si>
    <t>jika penerima penghasilan merupakan warga</t>
  </si>
  <si>
    <t>17.</t>
  </si>
  <si>
    <t>Penghasilan Kena Pajak Setahun / Disetahunkan (15 - 16)</t>
  </si>
  <si>
    <t xml:space="preserve">negara Indonesia. </t>
  </si>
  <si>
    <t>18.</t>
  </si>
  <si>
    <t>PPh Pasal 21 atas Penghasilan Kena Pajak Setahun/Disetahunkan</t>
  </si>
  <si>
    <t xml:space="preserve">(8) Huruf A.8 </t>
  </si>
  <si>
    <t>: Diisi dengan nomor paspor penerima</t>
  </si>
  <si>
    <t>19.</t>
  </si>
  <si>
    <t>PPh Pasal 21 Terutang</t>
  </si>
  <si>
    <t>penghasilan, apabila penerima penghasilan</t>
  </si>
  <si>
    <t>20.</t>
  </si>
  <si>
    <t>PPh Pasal 21 Dipotong atau Bukti Pemotongan Sebelumnya</t>
  </si>
  <si>
    <t xml:space="preserve">merupakan warga negara asing. </t>
  </si>
  <si>
    <t>21.</t>
  </si>
  <si>
    <t>PPh Pasal 21 Terutang pada Bukti Pemotongan ini (Dapat Dikreditkan Pada SPT Tahunan)</t>
  </si>
  <si>
    <t xml:space="preserve">(9) Huruf A.9 </t>
  </si>
  <si>
    <t>: Diisi dengan kode negara sebagaimana</t>
  </si>
  <si>
    <t>22.</t>
  </si>
  <si>
    <t>PPh Pasal 21 yang Telah Dipotong / Ditanggung Pemerintah</t>
  </si>
  <si>
    <t>Lampiran huruf A angka 1 huruf e, apabila</t>
  </si>
  <si>
    <t>23.</t>
  </si>
  <si>
    <t>PPh Pasal 21 Kurang (Lebih) Dipotong pada Masa Pajak Desember / Masa Pajak Terakhir (21 - 22)</t>
  </si>
  <si>
    <t>penerima penghasilan merupakan warga</t>
  </si>
  <si>
    <t xml:space="preserve">negara asing. </t>
  </si>
  <si>
    <t>B.6 JENIS FASILITAS PADA MASA PAJAK DESEMBER/MASA PAJAK TERAKHIR</t>
  </si>
  <si>
    <t xml:space="preserve">(10) Huruf A.10 </t>
  </si>
  <si>
    <t>C. IDENTITAS PEMOTONG PPh</t>
  </si>
  <si>
    <t>bekerja di lebih dari satu pemberi kerja atau</t>
  </si>
  <si>
    <t>C.1</t>
  </si>
  <si>
    <t>NPWP/NIK</t>
  </si>
  <si>
    <t xml:space="preserve">“Tidak” jika bekerja hanya pada satu pemberi kerja. </t>
  </si>
  <si>
    <t>C.2</t>
  </si>
  <si>
    <t>NITKU atau Nomor Identitas Subunit Organisasi</t>
  </si>
  <si>
    <t>c) Bagian B. Rincian Penghasilan dan Penghitungan PPh Pasal 21</t>
  </si>
  <si>
    <t>C.3</t>
  </si>
  <si>
    <t>Nama Pemotong</t>
  </si>
  <si>
    <t>(1) Huruf B.1.1 :</t>
  </si>
  <si>
    <t xml:space="preserve"> Diisi dengan kode objek pajak sesuai Lampiran</t>
  </si>
  <si>
    <t>C.4</t>
  </si>
  <si>
    <t>Tanggal</t>
  </si>
  <si>
    <t>: 31 Desember 2025</t>
  </si>
  <si>
    <t>huruf A angka 2 huruf a.</t>
  </si>
  <si>
    <t>C.5</t>
  </si>
  <si>
    <t>Nama Penandatangan</t>
  </si>
  <si>
    <t>(2) Huruf B.1.2</t>
  </si>
  <si>
    <t>: Diisi dengan objek pajak sesuai Lampiran huruf</t>
  </si>
  <si>
    <t>C.6</t>
  </si>
  <si>
    <t>Pernyataan</t>
  </si>
  <si>
    <t>v</t>
  </si>
  <si>
    <t>A angka 2 huruf a.</t>
  </si>
  <si>
    <t>(3) Huruf B.2</t>
  </si>
  <si>
    <t>: Diisi dengan memilih jenis pemotongan:</t>
  </si>
  <si>
    <t>(a) “Setahun Penuh”, dalam hal penghasilan</t>
  </si>
  <si>
    <t>diterima satu tahun penuh, dari Januari</t>
  </si>
  <si>
    <t>sampai dengan Desember;</t>
  </si>
  <si>
    <t>(b) “Kurang dari Setahun”, dalam hal</t>
  </si>
  <si>
    <t>penghasilan diterima dalam bagian tahun</t>
  </si>
  <si>
    <t>yaitu kurang dari satu tahun kalender dan</t>
  </si>
  <si>
    <t>penghitungannya tidak disetahunkan; atau</t>
  </si>
  <si>
    <t>(c) “Kurang dari Setahun yang Penghasilannya</t>
  </si>
  <si>
    <t>Disetahunkan”, dalam hal penghasilan</t>
  </si>
  <si>
    <t>diterima kurang dari satu tahun kalender</t>
  </si>
  <si>
    <t>dan penghitungan disetahunkan.</t>
  </si>
  <si>
    <t>Penghitungan disetahunkan</t>
  </si>
  <si>
    <t>diperuntukkan untuk penerima</t>
  </si>
  <si>
    <t>penghasilan yang kehilangan atau baru</t>
  </si>
  <si>
    <t>mendapatkan kewajiban pajak subjektif di</t>
  </si>
  <si>
    <t>tahun berjalan atau dengan kata lain,</t>
  </si>
  <si>
    <t>kewajiban pajak subjektif tidak satu tahun</t>
  </si>
  <si>
    <t>penuh, yaitu dalam hal penerima</t>
  </si>
  <si>
    <t>penghasilan yang bersangkutan:</t>
  </si>
  <si>
    <t>i. pada akhir masa perolehan berhenti</t>
  </si>
  <si>
    <t>menerima penghasilan dan</t>
  </si>
  <si>
    <t>meninggalkan Indonesia untuk selamalamanya;</t>
  </si>
  <si>
    <t>ii. pada akhir masa perolehan berhenti</t>
  </si>
  <si>
    <t>menerima penghasilan karena</t>
  </si>
  <si>
    <t>meninggal dunia; dan/atau</t>
  </si>
  <si>
    <t>iii. merupakan pegawai dari luar negeri</t>
  </si>
  <si>
    <t>(ekspatriat) yang menjadi Wajib Pajak</t>
  </si>
  <si>
    <t>dalam negeri dalam tahun yang</t>
  </si>
  <si>
    <t xml:space="preserve">bersangkutan. </t>
  </si>
  <si>
    <t>Dalam hal memilih “Kurang dari Setahun</t>
  </si>
  <si>
    <t>yang Penghasilannya Disetahunkan”,</t>
  </si>
  <si>
    <t>jumlah penghasilan neto pada angka 15</t>
  </si>
  <si>
    <t>dan jumlah PPh Pasal 21 pada angka 19</t>
  </si>
  <si>
    <t xml:space="preserve">akan mengikuti ketentuan disetahunkan. </t>
  </si>
  <si>
    <t xml:space="preserve"> (4) Angka 1 </t>
  </si>
  <si>
    <t xml:space="preserve">: Cukup jelas. </t>
  </si>
  <si>
    <t xml:space="preserve"> (5) Angka 2 </t>
  </si>
  <si>
    <t xml:space="preserve">(6) Angka 3 </t>
  </si>
  <si>
    <t xml:space="preserve">(7) Angka 4 </t>
  </si>
  <si>
    <t xml:space="preserve">(8) Angka 5 </t>
  </si>
  <si>
    <t xml:space="preserve">(9) Angka 6 </t>
  </si>
  <si>
    <t xml:space="preserve">(10) Angka 7 </t>
  </si>
  <si>
    <t xml:space="preserve">(11) Angka 8 </t>
  </si>
  <si>
    <t xml:space="preserve">(12) Angka 9 </t>
  </si>
  <si>
    <t xml:space="preserve">(13) Angka 10 </t>
  </si>
  <si>
    <t xml:space="preserve">(14) Angka 11 </t>
  </si>
  <si>
    <t>: Diisi dengan pembayaran zakat atau</t>
  </si>
  <si>
    <t>sumbangan keagamaan yang bersifat wajibyang dibayarkan melalui pemberi kerja yang</t>
  </si>
  <si>
    <t>dapat menjadi pengurang dari penghasilanbruto sesuai dengan ketentuan peraturanperundang-undangan di bidang perpajakan</t>
  </si>
  <si>
    <t>yang berlaku.</t>
  </si>
  <si>
    <t xml:space="preserve">(15) Angka 12 </t>
  </si>
  <si>
    <t xml:space="preserve">(16) Angka 13 </t>
  </si>
  <si>
    <t xml:space="preserve">(17) Angka 14 </t>
  </si>
  <si>
    <t>: Bagian ini hanya diisi dalam hal penerimapenghasilan merupakan  pegawai pindahan</t>
  </si>
  <si>
    <t>dari pemberi kerja lain yang memilih untukmenggabungkan Formulir BPA1 dari pemberi</t>
  </si>
  <si>
    <t>kerja sebelumnya atau merupakan pensiunanyang baru pensiun dan menerima uang terkaitpensiun berkala dalam Tahun Pajak berjalan.Jumlah yang diisikan yaitu jumlah pada</t>
  </si>
  <si>
    <t>angka 15 dari Formulir BPA1 yang dibuat oleh</t>
  </si>
  <si>
    <t>pemberi kerja sebelumnya.</t>
  </si>
  <si>
    <t xml:space="preserve">(18) Angka 15 </t>
  </si>
  <si>
    <t>: Apabila masa perolehan penghasilan meliputi</t>
  </si>
  <si>
    <t>satu tahun kalender, yaitu Januari sampai</t>
  </si>
  <si>
    <t>dengan Desember, maka bagian ini diisi sesuai</t>
  </si>
  <si>
    <t>dengan jumlah pada angka 13 dan angka 14</t>
  </si>
  <si>
    <t>(jika ada).</t>
  </si>
  <si>
    <t>Apabila masa perolehan penghasilan kurang</t>
  </si>
  <si>
    <t>dari satu tahun kalender, maka:</t>
  </si>
  <si>
    <t>a) Jika pegawai yang bersangkutan pada</t>
  </si>
  <si>
    <t>akhir masa perolehan penghasilan</t>
  </si>
  <si>
    <t>berhenti menjadi pegawai, tetapi tidak</t>
  </si>
  <si>
    <t>meninggalkan Indonesia untuk selamalamanya, misalnya dalam</t>
  </si>
  <si>
    <t>rangka pensiun atau pindah ke pemberi kerja lainnya di</t>
  </si>
  <si>
    <t>Indonesia, maka oleh Pemotong PPh Pasal 21/26 yang lama,</t>
  </si>
  <si>
    <t>bagian ini diisi dengan jumlah pada angka 13 dan angka 14 (jika ada).</t>
  </si>
  <si>
    <t>(b) Jika pegawai yang bersangkutan pada</t>
  </si>
  <si>
    <t>berhenti menjadi pegawai:</t>
  </si>
  <si>
    <t>i. dan meninggalkan Indonesia untuk</t>
  </si>
  <si>
    <t xml:space="preserve">selama-lamanya; atau </t>
  </si>
  <si>
    <t xml:space="preserve">ii. karena meninggal dunia, </t>
  </si>
  <si>
    <t>maka oleh Pemotong PPh Pasal 21/26</t>
  </si>
  <si>
    <t>yang lama, bagian ini diisi dengan jumlah</t>
  </si>
  <si>
    <t>pada angka 13 dan angka 14 (jika ada)</t>
  </si>
  <si>
    <t xml:space="preserve">kemudian disetahunkan. </t>
  </si>
  <si>
    <t>(c) Jika pegawai yang bersangkutan</t>
  </si>
  <si>
    <t>merupakan:</t>
  </si>
  <si>
    <t>i. pegawai pindahan dari pemberi kerja</t>
  </si>
  <si>
    <t>lain dan memilih untuk</t>
  </si>
  <si>
    <t>menggabungkan bukti pemotongan;</t>
  </si>
  <si>
    <t xml:space="preserve">atau </t>
  </si>
  <si>
    <t>ii. merupakan pegawai baru pensiun,</t>
  </si>
  <si>
    <t>yang baru, bagian ini diisi dengan jumlah</t>
  </si>
  <si>
    <t xml:space="preserve">pada angka 13 dan angka 14. </t>
  </si>
  <si>
    <t>(d) Jika pegawai yang bersangkutan belum</t>
  </si>
  <si>
    <t>pernah bekerja sebelumnya:</t>
  </si>
  <si>
    <t>i. di mana pada tanggal 1 Januari</t>
  </si>
  <si>
    <t xml:space="preserve">tahun yang bersangkutan telah </t>
  </si>
  <si>
    <t>berada atau bertempat tinggal di</t>
  </si>
  <si>
    <t>Indonesia, maka bagian ini diisi</t>
  </si>
  <si>
    <t>sesuai dengan jumlah pada angka 13;</t>
  </si>
  <si>
    <t>atau</t>
  </si>
  <si>
    <t>ii. berasal dari luar negeri (ekspatriat)</t>
  </si>
  <si>
    <t xml:space="preserve">yang menjadi Wajib Pajak dalam </t>
  </si>
  <si>
    <t xml:space="preserve">negeri dalam Tahun Pajak berjalan, </t>
  </si>
  <si>
    <t>maka bagian ini diisi dengan jumlah</t>
  </si>
  <si>
    <t>pada angka 13 kemudian</t>
  </si>
  <si>
    <t>disetahunkan.</t>
  </si>
  <si>
    <t xml:space="preserve">(19) Angka 16 </t>
  </si>
  <si>
    <t>: Diisi dengan jumlah PTKP setahun sesuai</t>
  </si>
  <si>
    <t>status perkawinan dan jumlah tanggungan</t>
  </si>
  <si>
    <t>pada tanggal 1 Januari tahun yang</t>
  </si>
  <si>
    <t>bersangkutan. Bagi Wajib Pajak kawin yang</t>
  </si>
  <si>
    <t>hidup berpisah, penghitungan PTKP meliputi</t>
  </si>
  <si>
    <t>PTKP untuk diri pegawai yang bersangkutan</t>
  </si>
  <si>
    <t>ditambah PTKP untuk tanggungan.</t>
  </si>
  <si>
    <t xml:space="preserve">(20) Angka 17 </t>
  </si>
  <si>
    <t xml:space="preserve">(21) Angka 18 </t>
  </si>
  <si>
    <t>: Diisi dengan besarnya penghitungan PPh</t>
  </si>
  <si>
    <t>Pasal 21 atas penghasilan kena pajak</t>
  </si>
  <si>
    <t>setahun/disetahunkan (angka 17) dengan</t>
  </si>
  <si>
    <t>menggunakan tarif Pasal 17 ayat (1) huruf a</t>
  </si>
  <si>
    <t>Undang-Undang PPh.</t>
  </si>
  <si>
    <t xml:space="preserve">(22) Angka 19 </t>
  </si>
  <si>
    <t>: (a) Dalam hal penghasilan neto untuk</t>
  </si>
  <si>
    <t>penghitungan PPh Pasal 21 merupakan</t>
  </si>
  <si>
    <t>jumlah yang tidak disetahunkan, maka</t>
  </si>
  <si>
    <t>bagian ini diisi sesuai dengan jumlah pada</t>
  </si>
  <si>
    <t>angka 18.</t>
  </si>
  <si>
    <t>(b) Dalam hal penghasilan neto untuk</t>
  </si>
  <si>
    <t>jumlah yang disetahunkan, maka bagian</t>
  </si>
  <si>
    <t>ini diisi dengan jumlah yang proporsional</t>
  </si>
  <si>
    <t>terhadap jumlah PPh pada angka 18,</t>
  </si>
  <si>
    <t>sesuai dengan banyaknya jumlah bulan</t>
  </si>
  <si>
    <t>yang disetahunkan.</t>
  </si>
  <si>
    <t xml:space="preserve">(23) Angka 20 </t>
  </si>
  <si>
    <t>: Bagian ini diisi dalam hal:</t>
  </si>
  <si>
    <t>(a) pegawai tetap merupakan pindahan dari</t>
  </si>
  <si>
    <t>pemberi kerja lain dan memilih untuk</t>
  </si>
  <si>
    <t>memperhitungkan pemotongan PPh Pasal</t>
  </si>
  <si>
    <t xml:space="preserve">21 dari pemberi kerja sebelumnya; atau </t>
  </si>
  <si>
    <t>(b) pegawai tetap yang baru pensiun dalam</t>
  </si>
  <si>
    <t>Tahun Pajak berjalan dan memilih untuk</t>
  </si>
  <si>
    <t xml:space="preserve">21 dari pemberi kerja sebelum pensiun. </t>
  </si>
  <si>
    <t>Jumlah yang diisikan yaitu sesuai dengan</t>
  </si>
  <si>
    <t>jumlah pada angka 21 dari Formulir BPA1</t>
  </si>
  <si>
    <t xml:space="preserve">yang dibuat pemberi kerja sebelumnya. </t>
  </si>
  <si>
    <t xml:space="preserve">(24) Angka 21 </t>
  </si>
  <si>
    <t>: (a) Dalam hal tidak terdapat PPh Pasal 21</t>
  </si>
  <si>
    <t>yang dipotong dari Formulir BPA1</t>
  </si>
  <si>
    <t>sebelumnya, maka bagian ini diisi sesuai</t>
  </si>
  <si>
    <t>dengan jumlah pada angka 19.</t>
  </si>
  <si>
    <t>(b) Dalam hal terdapat PPh Pasal 21 yang</t>
  </si>
  <si>
    <t>dipotong dari Formulir BPA1 sebelumnya,</t>
  </si>
  <si>
    <t>maka bagian ini diisi dengan hasil</t>
  </si>
  <si>
    <t>pengurangan dari jumlah pada angka 19</t>
  </si>
  <si>
    <t>dengan jumlah pada angka 20.</t>
  </si>
  <si>
    <t>Jumlah pada angka 21 merupakan jumlah</t>
  </si>
  <si>
    <t>PPh Pasal 21 yang dikreditkan dalam Surat</t>
  </si>
  <si>
    <t>Pemberitahuan (SPT) Tahunan penerima</t>
  </si>
  <si>
    <t>penghasilan.</t>
  </si>
  <si>
    <t xml:space="preserve">(25) Angka 22 </t>
  </si>
  <si>
    <t>: Diisi dengan besarnya PPh Pasal 21 yang telah</t>
  </si>
  <si>
    <t>dipotong pada setiap Masa Pajak kecuali Masa</t>
  </si>
  <si>
    <t>Pajak terakhir oleh Pemotong PPh Pasal 21/26</t>
  </si>
  <si>
    <t>bersangkutan.</t>
  </si>
  <si>
    <t>Contoh: Jika Formulir BPA1 dibuat untuk</t>
  </si>
  <si>
    <t>Masa Pajak Juli sampai dengan Desember,</t>
  </si>
  <si>
    <t>maka angka 22 diisi dengan jumlah PPh Pasal</t>
  </si>
  <si>
    <t>21 yang telah dipotong pada Masa Pajak Juli</t>
  </si>
  <si>
    <t>sampai dengan November.</t>
  </si>
  <si>
    <t>Ketentuan pengisian angka 22 khusus</t>
  </si>
  <si>
    <t>untuk Pemotong PPh Pasal 21/26 yang</t>
  </si>
  <si>
    <t>merupakan Instansi Pemerintah dalam hal</t>
  </si>
  <si>
    <t>dalam satu Tahun Pajak terdapat:</t>
  </si>
  <si>
    <t>(a) penghasilan yang PPh-nya ditanggung</t>
  </si>
  <si>
    <t>pemerintah; dan</t>
  </si>
  <si>
    <t>(b) penghasilan yang PPh-nya tidak</t>
  </si>
  <si>
    <t>ditanggung pemerintah,</t>
  </si>
  <si>
    <t>maka bagian ini diisi dengan jumlah dari PPh</t>
  </si>
  <si>
    <t>yang ditanggung pemerintah dan PPh yang</t>
  </si>
  <si>
    <t>tidak ditanggung pemerintah yang telah</t>
  </si>
  <si>
    <t>dipotong setiap Masa Pajak kecuali Masa</t>
  </si>
  <si>
    <t>Pajak terakhir.</t>
  </si>
  <si>
    <t>21 yang telah dipotong, baik yang PPh-nya</t>
  </si>
  <si>
    <t>ditanggung pemerintah maupun yang PPh-nya</t>
  </si>
  <si>
    <t>tidak ditanggung pemerintah, pada Masa</t>
  </si>
  <si>
    <t>Pajak Juli sampai dengan November.</t>
  </si>
  <si>
    <t xml:space="preserve">(26) Angka 23 </t>
  </si>
  <si>
    <t>: Diisi dengan jumlah PPh Pasal 21 yang</t>
  </si>
  <si>
    <t xml:space="preserve">dipotong atau lebih dipotong pada Masa Pajak </t>
  </si>
  <si>
    <t>terakhir oleh Pemotong PPh Pasal 21/26</t>
  </si>
  <si>
    <t>Contoh: Melanjutkan contoh angka 22,</t>
  </si>
  <si>
    <t>bagian ini diisi dengan jumlah PPh Pasal 21</t>
  </si>
  <si>
    <t>yang kurang atau lebih dipotong pada Masa</t>
  </si>
  <si>
    <t>Pajak Desember.</t>
  </si>
  <si>
    <t>(27) Huruf B.6</t>
  </si>
  <si>
    <t>: Diisi dengan jenis fasilitas perpajakan yang</t>
  </si>
  <si>
    <t>dimiliki oleh penerima penghasilan pada</t>
  </si>
  <si>
    <t>Masa Pajak terakhir.</t>
  </si>
  <si>
    <t>d) Bagian C. Identitas Pemotong PPh</t>
  </si>
  <si>
    <t xml:space="preserve">(1) Huruf C.1 </t>
  </si>
  <si>
    <t>: Diisi dengan NPWP/NIK Pemotong PPh Pasal 21/26.</t>
  </si>
  <si>
    <t xml:space="preserve">(2) Huruf C.2 </t>
  </si>
  <si>
    <t>: Diisi dengan Nomor Identitas Tempat Kegiatan</t>
  </si>
  <si>
    <t>Usaha (NITKU) dalam hal Formulir BPA1</t>
  </si>
  <si>
    <t>dibuat oleh selain Instansi Pemerintah atau</t>
  </si>
  <si>
    <t>diisi dengan nomor identitas Subunit</t>
  </si>
  <si>
    <t>Organisasi dalam hal Formulir BPA1 dibuat</t>
  </si>
  <si>
    <t xml:space="preserve">oleh Instansi Pemerintah. </t>
  </si>
  <si>
    <t>NITKU dan nomor identitas Subunit Organisasi</t>
  </si>
  <si>
    <t>harus diisi sesuai identitas Pemotong PPh</t>
  </si>
  <si>
    <t>Pasal 21/26 yang sebenarnya, sesuai dengan</t>
  </si>
  <si>
    <t>ketentuan Pasal 5 ayat (2) sampai dengan ayat</t>
  </si>
  <si>
    <t xml:space="preserve">(5) Peraturan Direktur Jenderal ini. </t>
  </si>
  <si>
    <t xml:space="preserve">(3) Huruf C.3 </t>
  </si>
  <si>
    <t xml:space="preserve">: Diisi dengan nama Pemotong PPh Pasal 21/26. </t>
  </si>
  <si>
    <t>(4) Huruf C.4</t>
  </si>
  <si>
    <t>: Diisi dengan tanggal penerbitan Formulir BPA1.</t>
  </si>
  <si>
    <t>(5) Huruf C.5</t>
  </si>
  <si>
    <t>: Diisi dengan nama Pemotong PPh Pasal 21/26,</t>
  </si>
  <si>
    <t>pengurus atau pihak yang ditunjuk/kuasa</t>
  </si>
  <si>
    <t>Wajib Pajak yang menandatangani Formulir BPA1 ini.</t>
  </si>
  <si>
    <t xml:space="preserve">(6) Huruf C.6 </t>
  </si>
  <si>
    <t>: Akan ditampilkan kode Quick Response (QR).</t>
  </si>
  <si>
    <t>Kode ini berfungsi sebagai pengaman Formulir</t>
  </si>
  <si>
    <t>BPA1. Untuk memverifikasi kode ini, Wajib</t>
  </si>
  <si>
    <t>Pajak dapat memindai kode QR melalui</t>
  </si>
  <si>
    <t>perangkat yang memiliki fitur yang</t>
  </si>
  <si>
    <t>mendukung.</t>
  </si>
  <si>
    <t>: Laki-laki</t>
  </si>
  <si>
    <t>: Tidak</t>
  </si>
  <si>
    <t>: 96.999.555.1-542.000 // 3402011234560001</t>
  </si>
  <si>
    <t>: 21-100-01</t>
  </si>
  <si>
    <t>: Pegawai Tetap</t>
  </si>
  <si>
    <t>: Setahun Penuh</t>
  </si>
  <si>
    <t>: 0696115203542000</t>
  </si>
  <si>
    <t>: 0696115203542000000000</t>
  </si>
  <si>
    <t>Kabupaten Sleman, Daerah Istimewa Yogyakarta</t>
  </si>
  <si>
    <t>- Cek Bukti Potong A1</t>
  </si>
  <si>
    <t>HUBUNGAN</t>
  </si>
  <si>
    <t>3405555121950002</t>
  </si>
  <si>
    <t>01 Desember 1998</t>
  </si>
  <si>
    <t>ISTERI</t>
  </si>
  <si>
    <t>IBU RUMAH TANGGA</t>
  </si>
  <si>
    <t>ANAK KANDUNG</t>
  </si>
  <si>
    <t>PELAJAR</t>
  </si>
  <si>
    <t>Berikut adalah informasi yang diperoleh terkait Fajar:</t>
  </si>
  <si>
    <t>: Fajar</t>
  </si>
  <si>
    <t>Bulan April 2025 Fajar menjual tanahnya yang diperoleh dengan harga Rp150.000.000 di Jl. Tempel km 2,5 Sleman seluas 200 m2 seharga Rp 250.000.000,- Kepada PT Tanjung. PPh final Pasal 4 Ayat 2 sudah disetor.</t>
  </si>
  <si>
    <t>Buat SPT Tahunan Orang Pribadi Fajar untuk tahun pajak 2025 !</t>
  </si>
  <si>
    <t>Fajar</t>
  </si>
  <si>
    <t>: Jl. Melati, Kelurahan Sariharjo, Kecamatan Ngaglik, Kabupaten Sleman, Daerah Istimewa Yogyakarta</t>
  </si>
  <si>
    <t>: welcome.fajar@gmail.com</t>
  </si>
  <si>
    <t xml:space="preserve"> Penghasilan Toko Elektronik</t>
  </si>
  <si>
    <t xml:space="preserve">: Jl. Melati, Kelurahan Sariharjo, Kecamatan Ngaglik, </t>
  </si>
  <si>
    <t>Sarah</t>
  </si>
  <si>
    <t>Lili</t>
  </si>
  <si>
    <t>3405555907140001</t>
  </si>
  <si>
    <t>3405555907160001</t>
  </si>
  <si>
    <t>19 Juli 2016</t>
  </si>
  <si>
    <t>19 Agustus 2014</t>
  </si>
  <si>
    <t>BBBGFN9000NGF1</t>
  </si>
  <si>
    <t>Sebagian Dibawah 500jt</t>
  </si>
  <si>
    <t>Ahmad</t>
  </si>
  <si>
    <t>Bank BCA No. Rekening 1234567812354555</t>
  </si>
  <si>
    <t>Penyertaan Modal di CV Sehat Sentosa (NPWP : 41234567891123456)</t>
  </si>
  <si>
    <t>CV Sehat Sentosa (NPWP : 41234567891123456)</t>
  </si>
  <si>
    <t>Pada akhir tahun 2025 Fajar menerima prive dari CV Sehat Sentosa</t>
  </si>
  <si>
    <t>Bapak Dudung (NIK : 6789876543214567)</t>
  </si>
  <si>
    <t>Pada bulan April 2025 Fajar menerima penghasilan sewa mobil dari Bapak Dudung</t>
  </si>
  <si>
    <t>Tanah Warisan di Jl. Melati, Kelurahan Sariharjo, Kecamatan Ngaglik, Kabupaten Sleman, Daerah Istimewa Yogyakarta, SHM 325</t>
  </si>
  <si>
    <t>BCA (NPWP : 5678901234567890)</t>
  </si>
  <si>
    <t>: K/2</t>
  </si>
  <si>
    <t>Tuan Fajar seorang manajer produksi di PT Sempurna, Fajar juga pengusaha toko elektronik “Welcome” yang omsetnya masih dibawah 4,8M. Selain itu, . Fajar memiliki istri bernama Sarah sebagai seorang ibu rumah tangga.</t>
  </si>
  <si>
    <t>: Manajer Produksi</t>
  </si>
  <si>
    <t>welcome.fajar@gmail.com</t>
  </si>
  <si>
    <t>2504311G5</t>
  </si>
  <si>
    <t>: PT Sempurna</t>
  </si>
  <si>
    <t>: Tina</t>
  </si>
  <si>
    <t>V</t>
  </si>
  <si>
    <t>NIK/NPWP  : 0696115203542000</t>
  </si>
  <si>
    <t>696115203542000</t>
  </si>
  <si>
    <t>NOMOR : 2504311G5</t>
  </si>
  <si>
    <t>TANGGAL :  31 DESEMBER 2025</t>
  </si>
  <si>
    <t>Pasal 21</t>
  </si>
  <si>
    <t>K/2</t>
  </si>
  <si>
    <t>NIK/NPWP : 5678901234567890</t>
  </si>
  <si>
    <t>INDONESIA</t>
  </si>
  <si>
    <t>NIK/NPWP : 3402011234560001</t>
  </si>
  <si>
    <t>NAMA : FAJAR</t>
  </si>
  <si>
    <t>CV Sehat Sentosa</t>
  </si>
  <si>
    <t>41234567891123400</t>
  </si>
  <si>
    <t>SLEMAN</t>
  </si>
  <si>
    <t>1234567812354550</t>
  </si>
  <si>
    <t>FAJAR</t>
  </si>
  <si>
    <t>TABUNGAN</t>
  </si>
  <si>
    <t>UANG TUNAI</t>
  </si>
  <si>
    <t>BANK BCA</t>
  </si>
  <si>
    <t>NIK/NPWP : 41234567891123456</t>
  </si>
  <si>
    <t>NAMA : CV SEHAT SENTOSA</t>
  </si>
  <si>
    <t>HUTANG BANK</t>
  </si>
  <si>
    <t>NAMA : BANK BRI</t>
  </si>
  <si>
    <t>MEREK/MODEL : TOYOTA KIJANG INOVA</t>
  </si>
  <si>
    <t>TIPE : MOBIL PENUMPANG</t>
  </si>
  <si>
    <t xml:space="preserve">A 7890 C </t>
  </si>
  <si>
    <t>NIK/NPWP : 7890123456789098</t>
  </si>
  <si>
    <t>NAMA : SUHENDAR</t>
  </si>
  <si>
    <t xml:space="preserve"> Jl. Melati, Kelurahan Sariharjo, Kecamatan Ngaglik, Kabupaten Sleman</t>
  </si>
  <si>
    <t>WARISAN</t>
  </si>
  <si>
    <t>SARAH</t>
  </si>
  <si>
    <t>LILI</t>
  </si>
  <si>
    <t>AHMAD</t>
  </si>
  <si>
    <t>PT SEMPURNA</t>
  </si>
  <si>
    <t>NAMA : PT SEMPURNA</t>
  </si>
  <si>
    <t>TOKO ELEKTRONIK "WELCOME"</t>
  </si>
  <si>
    <t>3402011234560001000000</t>
  </si>
  <si>
    <t>Ngaglik</t>
  </si>
  <si>
    <t>Daerah Istimewa Yogyakarta</t>
  </si>
  <si>
    <t>Sariharjo</t>
  </si>
  <si>
    <t>Jl. Melati</t>
  </si>
  <si>
    <t>Penghasilan Toko Elektronik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</si>
</sst>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* #,##0_-;\-* #,##0_-;_-* &quot;-&quot;??_-;_-@_-"/>
    <numFmt numFmtId="167" formatCode="_(* #,##0_);_(* \(#,##0\);_(* &quot;-&quot;??_);_(@_)"/>
  </numFmts>
  <fonts count="5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color rgb="FF0033CC"/>
      <name val="Arial"/>
      <family val="2"/>
    </font>
    <font>
      <sz val="10"/>
      <color theme="1"/>
      <name val="Tahoma"/>
      <family val="2"/>
      <charset val="1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20"/>
      <color theme="1"/>
      <name val="Franklin Gothic Book"/>
      <family val="2"/>
    </font>
    <font>
      <b/>
      <sz val="11"/>
      <color theme="0"/>
      <name val="Franklin Gothic Book"/>
      <family val="2"/>
    </font>
    <font>
      <sz val="11"/>
      <color theme="0"/>
      <name val="Franklin Gothic Book"/>
      <family val="2"/>
    </font>
    <font>
      <b/>
      <sz val="8"/>
      <color theme="1"/>
      <name val="Franklin Gothic Book"/>
      <family val="2"/>
    </font>
    <font>
      <u/>
      <sz val="11"/>
      <color theme="1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7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7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7" tint="0.39997558519241921"/>
      </right>
      <top/>
      <bottom/>
      <diagonal/>
    </border>
    <border>
      <left/>
      <right style="thin">
        <color theme="7" tint="0.39997558519241921"/>
      </right>
      <top/>
      <bottom style="thin">
        <color indexed="6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4" tint="-0.249977111117893"/>
      </left>
      <right/>
      <top/>
      <bottom/>
      <diagonal/>
    </border>
    <border>
      <left/>
      <right style="thin">
        <color theme="4" tint="-0.249977111117893"/>
      </right>
      <top style="thin">
        <color theme="1"/>
      </top>
      <bottom/>
      <diagonal/>
    </border>
    <border>
      <left/>
      <right style="thin">
        <color theme="4" tint="-0.249977111117893"/>
      </right>
      <top/>
      <bottom/>
      <diagonal/>
    </border>
    <border>
      <left/>
      <right style="thin">
        <color theme="4" tint="-0.249977111117893"/>
      </right>
      <top style="thin">
        <color indexed="64"/>
      </top>
      <bottom/>
      <diagonal/>
    </border>
    <border>
      <left/>
      <right style="thin">
        <color theme="4" tint="-0.249977111117893"/>
      </right>
      <top/>
      <bottom style="thin">
        <color theme="1"/>
      </bottom>
      <diagonal/>
    </border>
    <border>
      <left style="thin">
        <color theme="4" tint="-0.249977111117893"/>
      </left>
      <right/>
      <top style="thin">
        <color theme="4" tint="-0.249977111117893"/>
      </top>
      <bottom/>
      <diagonal/>
    </border>
    <border>
      <left/>
      <right style="thin">
        <color theme="4" tint="-0.249977111117893"/>
      </right>
      <top style="thin">
        <color theme="4" tint="-0.249977111117893"/>
      </top>
      <bottom/>
      <diagonal/>
    </border>
    <border>
      <left style="thin">
        <color theme="7"/>
      </left>
      <right style="thin">
        <color theme="4" tint="-0.249977111117893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/>
      <right style="thin">
        <color theme="4" tint="-0.249977111117893"/>
      </right>
      <top/>
      <bottom style="thin">
        <color theme="4" tint="-0.249977111117893"/>
      </bottom>
      <diagonal/>
    </border>
    <border>
      <left/>
      <right/>
      <top style="thin">
        <color theme="4" tint="-0.249977111117893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7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1"/>
      </top>
      <bottom/>
      <diagonal/>
    </border>
    <border>
      <left style="thin">
        <color indexed="64"/>
      </left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/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3">
    <xf numFmtId="0" fontId="0" fillId="0" borderId="0"/>
    <xf numFmtId="43" fontId="35" fillId="0" borderId="0" applyFont="0" applyFill="0" applyBorder="0" applyAlignment="0" applyProtection="0"/>
    <xf numFmtId="0" fontId="42" fillId="0" borderId="0"/>
    <xf numFmtId="43" fontId="42" fillId="0" borderId="0" applyFont="0" applyFill="0" applyBorder="0" applyAlignment="0" applyProtection="0"/>
    <xf numFmtId="0" fontId="47" fillId="0" borderId="0"/>
    <xf numFmtId="164" fontId="47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54" fillId="0" borderId="0" applyNumberFormat="0" applyFill="0" applyBorder="0" applyAlignment="0" applyProtection="0"/>
  </cellStyleXfs>
  <cellXfs count="1056">
    <xf numFmtId="0" fontId="0" fillId="0" borderId="0" xfId="0"/>
    <xf numFmtId="0" fontId="0" fillId="2" borderId="0" xfId="0" applyFill="1"/>
    <xf numFmtId="0" fontId="0" fillId="4" borderId="0" xfId="0" applyFill="1"/>
    <xf numFmtId="0" fontId="5" fillId="4" borderId="0" xfId="0" applyFont="1" applyFill="1"/>
    <xf numFmtId="0" fontId="5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0" fillId="5" borderId="0" xfId="0" applyFill="1"/>
    <xf numFmtId="0" fontId="0" fillId="2" borderId="10" xfId="0" applyFill="1" applyBorder="1"/>
    <xf numFmtId="0" fontId="8" fillId="2" borderId="0" xfId="0" applyFont="1" applyFill="1"/>
    <xf numFmtId="0" fontId="10" fillId="2" borderId="0" xfId="0" applyFont="1" applyFill="1"/>
    <xf numFmtId="0" fontId="9" fillId="2" borderId="0" xfId="0" applyFont="1" applyFill="1" applyAlignment="1">
      <alignment horizontal="left" vertical="center"/>
    </xf>
    <xf numFmtId="0" fontId="9" fillId="2" borderId="0" xfId="0" applyFont="1" applyFill="1"/>
    <xf numFmtId="0" fontId="4" fillId="2" borderId="0" xfId="0" applyFont="1" applyFill="1"/>
    <xf numFmtId="0" fontId="4" fillId="4" borderId="0" xfId="0" applyFont="1" applyFill="1"/>
    <xf numFmtId="0" fontId="11" fillId="6" borderId="0" xfId="0" applyFont="1" applyFill="1"/>
    <xf numFmtId="0" fontId="11" fillId="5" borderId="0" xfId="0" applyFont="1" applyFill="1" applyAlignment="1">
      <alignment horizontal="center"/>
    </xf>
    <xf numFmtId="0" fontId="11" fillId="5" borderId="0" xfId="0" applyFont="1" applyFill="1"/>
    <xf numFmtId="0" fontId="11" fillId="6" borderId="0" xfId="0" applyFont="1" applyFill="1" applyAlignment="1">
      <alignment horizontal="center"/>
    </xf>
    <xf numFmtId="0" fontId="5" fillId="6" borderId="0" xfId="0" applyFont="1" applyFill="1"/>
    <xf numFmtId="0" fontId="11" fillId="4" borderId="0" xfId="0" applyFont="1" applyFill="1"/>
    <xf numFmtId="0" fontId="11" fillId="4" borderId="0" xfId="0" applyFont="1" applyFill="1" applyAlignment="1">
      <alignment horizontal="center"/>
    </xf>
    <xf numFmtId="0" fontId="11" fillId="5" borderId="0" xfId="0" applyFont="1" applyFill="1" applyAlignment="1">
      <alignment horizontal="center" vertical="center"/>
    </xf>
    <xf numFmtId="0" fontId="5" fillId="4" borderId="1" xfId="0" applyFont="1" applyFill="1" applyBorder="1"/>
    <xf numFmtId="0" fontId="5" fillId="4" borderId="6" xfId="0" applyFont="1" applyFill="1" applyBorder="1"/>
    <xf numFmtId="0" fontId="5" fillId="4" borderId="5" xfId="0" applyFont="1" applyFill="1" applyBorder="1"/>
    <xf numFmtId="0" fontId="5" fillId="2" borderId="8" xfId="0" applyFont="1" applyFill="1" applyBorder="1"/>
    <xf numFmtId="0" fontId="5" fillId="4" borderId="0" xfId="0" applyFont="1" applyFill="1" applyAlignment="1">
      <alignment horizontal="left" vertical="top" indent="1"/>
    </xf>
    <xf numFmtId="0" fontId="5" fillId="4" borderId="9" xfId="0" applyFont="1" applyFill="1" applyBorder="1"/>
    <xf numFmtId="0" fontId="5" fillId="4" borderId="0" xfId="0" applyFont="1" applyFill="1" applyAlignment="1">
      <alignment horizontal="left" indent="1"/>
    </xf>
    <xf numFmtId="0" fontId="5" fillId="4" borderId="0" xfId="0" applyFont="1" applyFill="1" applyAlignment="1">
      <alignment horizontal="left" vertical="top" indent="2"/>
    </xf>
    <xf numFmtId="0" fontId="5" fillId="4" borderId="2" xfId="0" applyFont="1" applyFill="1" applyBorder="1"/>
    <xf numFmtId="0" fontId="5" fillId="4" borderId="7" xfId="0" applyFont="1" applyFill="1" applyBorder="1"/>
    <xf numFmtId="0" fontId="5" fillId="3" borderId="5" xfId="0" applyFont="1" applyFill="1" applyBorder="1"/>
    <xf numFmtId="0" fontId="5" fillId="3" borderId="0" xfId="0" applyFont="1" applyFill="1"/>
    <xf numFmtId="0" fontId="5" fillId="2" borderId="5" xfId="0" applyFont="1" applyFill="1" applyBorder="1"/>
    <xf numFmtId="0" fontId="5" fillId="2" borderId="0" xfId="0" applyFont="1" applyFill="1"/>
    <xf numFmtId="0" fontId="12" fillId="3" borderId="5" xfId="0" applyFont="1" applyFill="1" applyBorder="1" applyAlignment="1">
      <alignment horizontal="left" vertical="center"/>
    </xf>
    <xf numFmtId="0" fontId="12" fillId="3" borderId="0" xfId="0" applyFont="1" applyFill="1" applyAlignment="1">
      <alignment horizontal="left"/>
    </xf>
    <xf numFmtId="0" fontId="12" fillId="0" borderId="5" xfId="0" applyFont="1" applyBorder="1"/>
    <xf numFmtId="0" fontId="12" fillId="0" borderId="0" xfId="0" applyFont="1" applyAlignment="1">
      <alignment horizontal="left"/>
    </xf>
    <xf numFmtId="0" fontId="5" fillId="0" borderId="0" xfId="0" applyFont="1"/>
    <xf numFmtId="0" fontId="6" fillId="3" borderId="5" xfId="0" applyFont="1" applyFill="1" applyBorder="1"/>
    <xf numFmtId="0" fontId="6" fillId="3" borderId="0" xfId="0" applyFont="1" applyFill="1" applyAlignment="1">
      <alignment horizontal="left"/>
    </xf>
    <xf numFmtId="0" fontId="6" fillId="3" borderId="0" xfId="0" applyFont="1" applyFill="1"/>
    <xf numFmtId="0" fontId="12" fillId="3" borderId="0" xfId="0" applyFont="1" applyFill="1"/>
    <xf numFmtId="0" fontId="12" fillId="3" borderId="0" xfId="0" applyFont="1" applyFill="1" applyAlignment="1">
      <alignment horizontal="left" vertical="top"/>
    </xf>
    <xf numFmtId="0" fontId="6" fillId="2" borderId="8" xfId="0" applyFont="1" applyFill="1" applyBorder="1"/>
    <xf numFmtId="0" fontId="6" fillId="3" borderId="6" xfId="0" applyFont="1" applyFill="1" applyBorder="1"/>
    <xf numFmtId="0" fontId="6" fillId="3" borderId="0" xfId="0" applyFont="1" applyFill="1" applyAlignment="1">
      <alignment vertical="top"/>
    </xf>
    <xf numFmtId="0" fontId="6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12" fillId="3" borderId="0" xfId="0" applyFont="1" applyFill="1" applyAlignment="1">
      <alignment horizontal="left" vertical="center"/>
    </xf>
    <xf numFmtId="0" fontId="12" fillId="2" borderId="5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6" fillId="2" borderId="0" xfId="0" applyFont="1" applyFill="1"/>
    <xf numFmtId="0" fontId="12" fillId="2" borderId="5" xfId="0" applyFont="1" applyFill="1" applyBorder="1"/>
    <xf numFmtId="0" fontId="12" fillId="2" borderId="0" xfId="0" applyFont="1" applyFill="1"/>
    <xf numFmtId="0" fontId="5" fillId="4" borderId="0" xfId="0" applyFont="1" applyFill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5" fillId="4" borderId="11" xfId="0" applyFont="1" applyFill="1" applyBorder="1"/>
    <xf numFmtId="0" fontId="5" fillId="4" borderId="12" xfId="0" applyFont="1" applyFill="1" applyBorder="1"/>
    <xf numFmtId="0" fontId="5" fillId="4" borderId="0" xfId="0" applyFont="1" applyFill="1" applyAlignment="1">
      <alignment vertical="top"/>
    </xf>
    <xf numFmtId="0" fontId="14" fillId="3" borderId="0" xfId="0" applyFont="1" applyFill="1" applyAlignment="1">
      <alignment horizontal="left" vertical="top"/>
    </xf>
    <xf numFmtId="0" fontId="15" fillId="3" borderId="0" xfId="0" applyFont="1" applyFill="1" applyAlignment="1">
      <alignment horizontal="left" vertical="top"/>
    </xf>
    <xf numFmtId="0" fontId="13" fillId="3" borderId="0" xfId="0" applyFont="1" applyFill="1" applyAlignment="1">
      <alignment vertical="top"/>
    </xf>
    <xf numFmtId="0" fontId="13" fillId="3" borderId="0" xfId="0" applyFont="1" applyFill="1" applyAlignment="1">
      <alignment horizontal="left" vertical="top"/>
    </xf>
    <xf numFmtId="0" fontId="0" fillId="2" borderId="14" xfId="0" applyFill="1" applyBorder="1"/>
    <xf numFmtId="0" fontId="0" fillId="0" borderId="15" xfId="0" applyBorder="1"/>
    <xf numFmtId="0" fontId="0" fillId="2" borderId="15" xfId="0" applyFill="1" applyBorder="1"/>
    <xf numFmtId="0" fontId="5" fillId="4" borderId="16" xfId="0" applyFont="1" applyFill="1" applyBorder="1"/>
    <xf numFmtId="0" fontId="11" fillId="4" borderId="15" xfId="0" applyFont="1" applyFill="1" applyBorder="1" applyAlignment="1">
      <alignment horizontal="center"/>
    </xf>
    <xf numFmtId="0" fontId="5" fillId="4" borderId="15" xfId="0" applyFont="1" applyFill="1" applyBorder="1"/>
    <xf numFmtId="0" fontId="5" fillId="4" borderId="15" xfId="0" applyFont="1" applyFill="1" applyBorder="1" applyAlignment="1">
      <alignment horizontal="left" vertical="top" indent="1"/>
    </xf>
    <xf numFmtId="0" fontId="5" fillId="4" borderId="15" xfId="0" applyFont="1" applyFill="1" applyBorder="1" applyAlignment="1">
      <alignment horizontal="left" vertical="top" indent="2"/>
    </xf>
    <xf numFmtId="0" fontId="5" fillId="3" borderId="15" xfId="0" applyFont="1" applyFill="1" applyBorder="1"/>
    <xf numFmtId="0" fontId="5" fillId="2" borderId="15" xfId="0" applyFont="1" applyFill="1" applyBorder="1"/>
    <xf numFmtId="0" fontId="5" fillId="0" borderId="15" xfId="0" applyFont="1" applyBorder="1"/>
    <xf numFmtId="0" fontId="6" fillId="3" borderId="15" xfId="0" applyFont="1" applyFill="1" applyBorder="1"/>
    <xf numFmtId="0" fontId="6" fillId="3" borderId="15" xfId="0" applyFont="1" applyFill="1" applyBorder="1" applyAlignment="1">
      <alignment vertical="top"/>
    </xf>
    <xf numFmtId="0" fontId="13" fillId="3" borderId="15" xfId="0" applyFont="1" applyFill="1" applyBorder="1" applyAlignment="1">
      <alignment vertical="top"/>
    </xf>
    <xf numFmtId="0" fontId="15" fillId="3" borderId="15" xfId="0" applyFont="1" applyFill="1" applyBorder="1" applyAlignment="1">
      <alignment horizontal="left" vertical="top"/>
    </xf>
    <xf numFmtId="0" fontId="13" fillId="3" borderId="15" xfId="0" applyFont="1" applyFill="1" applyBorder="1" applyAlignment="1">
      <alignment horizontal="left" vertical="top"/>
    </xf>
    <xf numFmtId="0" fontId="6" fillId="2" borderId="15" xfId="0" applyFont="1" applyFill="1" applyBorder="1"/>
    <xf numFmtId="0" fontId="12" fillId="2" borderId="15" xfId="0" applyFont="1" applyFill="1" applyBorder="1"/>
    <xf numFmtId="0" fontId="12" fillId="3" borderId="15" xfId="0" applyFont="1" applyFill="1" applyBorder="1" applyAlignment="1">
      <alignment horizontal="left" vertical="center"/>
    </xf>
    <xf numFmtId="0" fontId="5" fillId="4" borderId="15" xfId="0" applyFont="1" applyFill="1" applyBorder="1" applyAlignment="1">
      <alignment horizontal="center"/>
    </xf>
    <xf numFmtId="0" fontId="5" fillId="4" borderId="17" xfId="0" applyFont="1" applyFill="1" applyBorder="1"/>
    <xf numFmtId="0" fontId="11" fillId="4" borderId="0" xfId="0" applyFont="1" applyFill="1" applyAlignment="1">
      <alignment vertical="center"/>
    </xf>
    <xf numFmtId="0" fontId="0" fillId="2" borderId="13" xfId="0" applyFill="1" applyBorder="1"/>
    <xf numFmtId="0" fontId="5" fillId="4" borderId="13" xfId="0" applyFont="1" applyFill="1" applyBorder="1"/>
    <xf numFmtId="0" fontId="11" fillId="4" borderId="13" xfId="0" applyFont="1" applyFill="1" applyBorder="1" applyAlignment="1">
      <alignment vertical="center"/>
    </xf>
    <xf numFmtId="0" fontId="5" fillId="4" borderId="13" xfId="0" applyFont="1" applyFill="1" applyBorder="1" applyAlignment="1">
      <alignment horizontal="center"/>
    </xf>
    <xf numFmtId="0" fontId="0" fillId="2" borderId="18" xfId="0" applyFill="1" applyBorder="1"/>
    <xf numFmtId="0" fontId="5" fillId="4" borderId="18" xfId="0" applyFont="1" applyFill="1" applyBorder="1"/>
    <xf numFmtId="0" fontId="12" fillId="4" borderId="0" xfId="0" applyFont="1" applyFill="1"/>
    <xf numFmtId="0" fontId="5" fillId="3" borderId="9" xfId="0" applyFont="1" applyFill="1" applyBorder="1"/>
    <xf numFmtId="0" fontId="11" fillId="4" borderId="3" xfId="0" applyFont="1" applyFill="1" applyBorder="1" applyAlignment="1">
      <alignment vertical="center"/>
    </xf>
    <xf numFmtId="0" fontId="11" fillId="4" borderId="3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left" vertical="top" indent="1"/>
    </xf>
    <xf numFmtId="0" fontId="5" fillId="4" borderId="3" xfId="0" applyFont="1" applyFill="1" applyBorder="1"/>
    <xf numFmtId="0" fontId="5" fillId="4" borderId="3" xfId="0" applyFont="1" applyFill="1" applyBorder="1" applyAlignment="1">
      <alignment horizontal="left" indent="1"/>
    </xf>
    <xf numFmtId="0" fontId="5" fillId="4" borderId="3" xfId="0" applyFont="1" applyFill="1" applyBorder="1" applyAlignment="1">
      <alignment horizontal="center"/>
    </xf>
    <xf numFmtId="0" fontId="5" fillId="4" borderId="20" xfId="0" applyFont="1" applyFill="1" applyBorder="1"/>
    <xf numFmtId="0" fontId="5" fillId="4" borderId="0" xfId="0" applyFont="1" applyFill="1" applyAlignment="1">
      <alignment horizontal="left" vertical="top" indent="3"/>
    </xf>
    <xf numFmtId="0" fontId="5" fillId="4" borderId="13" xfId="0" applyFont="1" applyFill="1" applyBorder="1" applyAlignment="1">
      <alignment horizontal="left" vertical="top" indent="1"/>
    </xf>
    <xf numFmtId="0" fontId="5" fillId="4" borderId="6" xfId="0" applyFont="1" applyFill="1" applyBorder="1" applyAlignment="1">
      <alignment horizontal="left" vertical="top" indent="1"/>
    </xf>
    <xf numFmtId="0" fontId="5" fillId="4" borderId="6" xfId="0" applyFont="1" applyFill="1" applyBorder="1" applyAlignment="1">
      <alignment horizontal="left" indent="1"/>
    </xf>
    <xf numFmtId="0" fontId="5" fillId="4" borderId="0" xfId="0" applyFont="1" applyFill="1" applyAlignment="1">
      <alignment horizontal="left" indent="2"/>
    </xf>
    <xf numFmtId="0" fontId="12" fillId="3" borderId="0" xfId="0" applyFont="1" applyFill="1" applyAlignment="1">
      <alignment vertical="center"/>
    </xf>
    <xf numFmtId="0" fontId="12" fillId="2" borderId="0" xfId="0" applyFont="1" applyFill="1" applyAlignment="1">
      <alignment horizontal="left"/>
    </xf>
    <xf numFmtId="0" fontId="0" fillId="4" borderId="15" xfId="0" applyFill="1" applyBorder="1"/>
    <xf numFmtId="0" fontId="12" fillId="3" borderId="15" xfId="0" applyFont="1" applyFill="1" applyBorder="1"/>
    <xf numFmtId="0" fontId="11" fillId="4" borderId="15" xfId="0" applyFont="1" applyFill="1" applyBorder="1"/>
    <xf numFmtId="0" fontId="11" fillId="0" borderId="0" xfId="0" applyFont="1"/>
    <xf numFmtId="0" fontId="11" fillId="0" borderId="15" xfId="0" applyFont="1" applyBorder="1"/>
    <xf numFmtId="0" fontId="11" fillId="2" borderId="0" xfId="0" applyFont="1" applyFill="1"/>
    <xf numFmtId="0" fontId="11" fillId="2" borderId="15" xfId="0" applyFont="1" applyFill="1" applyBorder="1"/>
    <xf numFmtId="0" fontId="4" fillId="4" borderId="15" xfId="0" applyFont="1" applyFill="1" applyBorder="1"/>
    <xf numFmtId="0" fontId="4" fillId="2" borderId="8" xfId="0" applyFont="1" applyFill="1" applyBorder="1"/>
    <xf numFmtId="0" fontId="11" fillId="2" borderId="8" xfId="0" applyFont="1" applyFill="1" applyBorder="1"/>
    <xf numFmtId="0" fontId="0" fillId="2" borderId="25" xfId="0" applyFill="1" applyBorder="1"/>
    <xf numFmtId="0" fontId="0" fillId="2" borderId="19" xfId="0" applyFill="1" applyBorder="1"/>
    <xf numFmtId="0" fontId="12" fillId="0" borderId="13" xfId="0" applyFont="1" applyBorder="1"/>
    <xf numFmtId="0" fontId="12" fillId="3" borderId="13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1" fillId="4" borderId="13" xfId="0" applyFont="1" applyFill="1" applyBorder="1"/>
    <xf numFmtId="0" fontId="12" fillId="2" borderId="13" xfId="0" applyFont="1" applyFill="1" applyBorder="1"/>
    <xf numFmtId="0" fontId="11" fillId="0" borderId="13" xfId="0" applyFont="1" applyBorder="1"/>
    <xf numFmtId="0" fontId="11" fillId="4" borderId="0" xfId="0" applyFont="1" applyFill="1" applyAlignment="1">
      <alignment horizontal="left" indent="1"/>
    </xf>
    <xf numFmtId="0" fontId="0" fillId="5" borderId="13" xfId="0" applyFill="1" applyBorder="1"/>
    <xf numFmtId="0" fontId="0" fillId="5" borderId="15" xfId="0" applyFill="1" applyBorder="1"/>
    <xf numFmtId="0" fontId="16" fillId="5" borderId="0" xfId="0" applyFont="1" applyFill="1"/>
    <xf numFmtId="0" fontId="0" fillId="4" borderId="13" xfId="0" applyFill="1" applyBorder="1"/>
    <xf numFmtId="0" fontId="15" fillId="5" borderId="0" xfId="0" applyFont="1" applyFill="1"/>
    <xf numFmtId="0" fontId="17" fillId="5" borderId="0" xfId="0" applyFont="1" applyFill="1"/>
    <xf numFmtId="0" fontId="11" fillId="6" borderId="0" xfId="0" applyFont="1" applyFill="1" applyAlignment="1">
      <alignment horizontal="left" indent="1"/>
    </xf>
    <xf numFmtId="0" fontId="4" fillId="4" borderId="13" xfId="0" applyFont="1" applyFill="1" applyBorder="1"/>
    <xf numFmtId="0" fontId="4" fillId="4" borderId="23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/>
    </xf>
    <xf numFmtId="0" fontId="4" fillId="4" borderId="0" xfId="0" applyFont="1" applyFill="1" applyAlignment="1">
      <alignment horizontal="left" indent="1"/>
    </xf>
    <xf numFmtId="0" fontId="4" fillId="4" borderId="22" xfId="0" applyFont="1" applyFill="1" applyBorder="1"/>
    <xf numFmtId="0" fontId="4" fillId="4" borderId="23" xfId="0" applyFont="1" applyFill="1" applyBorder="1"/>
    <xf numFmtId="0" fontId="4" fillId="4" borderId="24" xfId="0" applyFont="1" applyFill="1" applyBorder="1"/>
    <xf numFmtId="0" fontId="11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right"/>
    </xf>
    <xf numFmtId="0" fontId="11" fillId="2" borderId="26" xfId="0" applyFont="1" applyFill="1" applyBorder="1"/>
    <xf numFmtId="0" fontId="11" fillId="2" borderId="2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/>
    <xf numFmtId="0" fontId="12" fillId="2" borderId="4" xfId="0" applyFont="1" applyFill="1" applyBorder="1"/>
    <xf numFmtId="0" fontId="0" fillId="2" borderId="4" xfId="0" applyFill="1" applyBorder="1"/>
    <xf numFmtId="0" fontId="12" fillId="0" borderId="0" xfId="0" applyFont="1"/>
    <xf numFmtId="0" fontId="12" fillId="0" borderId="15" xfId="0" applyFont="1" applyBorder="1"/>
    <xf numFmtId="0" fontId="0" fillId="2" borderId="5" xfId="0" applyFill="1" applyBorder="1"/>
    <xf numFmtId="0" fontId="0" fillId="2" borderId="0" xfId="0" applyFill="1" applyAlignment="1">
      <alignment horizontal="left" indent="1"/>
    </xf>
    <xf numFmtId="0" fontId="0" fillId="2" borderId="28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32" xfId="0" applyFill="1" applyBorder="1"/>
    <xf numFmtId="0" fontId="0" fillId="2" borderId="34" xfId="0" applyFill="1" applyBorder="1"/>
    <xf numFmtId="0" fontId="0" fillId="2" borderId="35" xfId="0" applyFill="1" applyBorder="1"/>
    <xf numFmtId="0" fontId="0" fillId="3" borderId="0" xfId="0" applyFill="1"/>
    <xf numFmtId="0" fontId="18" fillId="3" borderId="27" xfId="0" applyFont="1" applyFill="1" applyBorder="1" applyAlignment="1">
      <alignment horizontal="left" indent="2"/>
    </xf>
    <xf numFmtId="0" fontId="4" fillId="4" borderId="34" xfId="0" applyFont="1" applyFill="1" applyBorder="1"/>
    <xf numFmtId="0" fontId="4" fillId="4" borderId="10" xfId="0" applyFont="1" applyFill="1" applyBorder="1"/>
    <xf numFmtId="0" fontId="0" fillId="3" borderId="10" xfId="0" applyFill="1" applyBorder="1"/>
    <xf numFmtId="0" fontId="0" fillId="3" borderId="35" xfId="0" applyFill="1" applyBorder="1"/>
    <xf numFmtId="0" fontId="4" fillId="4" borderId="5" xfId="0" applyFont="1" applyFill="1" applyBorder="1"/>
    <xf numFmtId="0" fontId="21" fillId="4" borderId="0" xfId="0" applyFont="1" applyFill="1"/>
    <xf numFmtId="0" fontId="18" fillId="3" borderId="0" xfId="0" applyFont="1" applyFill="1" applyAlignment="1">
      <alignment horizontal="left" indent="1"/>
    </xf>
    <xf numFmtId="0" fontId="18" fillId="3" borderId="0" xfId="0" applyFont="1" applyFill="1"/>
    <xf numFmtId="0" fontId="0" fillId="3" borderId="28" xfId="0" applyFill="1" applyBorder="1"/>
    <xf numFmtId="0" fontId="0" fillId="4" borderId="0" xfId="0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19" fillId="3" borderId="0" xfId="0" applyFont="1" applyFill="1"/>
    <xf numFmtId="0" fontId="11" fillId="0" borderId="28" xfId="0" applyFont="1" applyBorder="1"/>
    <xf numFmtId="0" fontId="12" fillId="3" borderId="28" xfId="0" applyFont="1" applyFill="1" applyBorder="1"/>
    <xf numFmtId="0" fontId="12" fillId="2" borderId="28" xfId="0" applyFont="1" applyFill="1" applyBorder="1"/>
    <xf numFmtId="0" fontId="4" fillId="5" borderId="5" xfId="0" applyFont="1" applyFill="1" applyBorder="1"/>
    <xf numFmtId="0" fontId="4" fillId="5" borderId="0" xfId="0" applyFont="1" applyFill="1"/>
    <xf numFmtId="0" fontId="0" fillId="5" borderId="28" xfId="0" applyFill="1" applyBorder="1"/>
    <xf numFmtId="0" fontId="12" fillId="2" borderId="10" xfId="0" applyFont="1" applyFill="1" applyBorder="1" applyAlignment="1">
      <alignment horizontal="left"/>
    </xf>
    <xf numFmtId="0" fontId="11" fillId="2" borderId="10" xfId="0" applyFont="1" applyFill="1" applyBorder="1"/>
    <xf numFmtId="0" fontId="12" fillId="2" borderId="34" xfId="0" applyFont="1" applyFill="1" applyBorder="1"/>
    <xf numFmtId="0" fontId="11" fillId="2" borderId="35" xfId="0" applyFont="1" applyFill="1" applyBorder="1"/>
    <xf numFmtId="0" fontId="0" fillId="0" borderId="31" xfId="0" quotePrefix="1" applyBorder="1" applyAlignment="1">
      <alignment horizontal="center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left"/>
    </xf>
    <xf numFmtId="0" fontId="4" fillId="4" borderId="38" xfId="0" applyFont="1" applyFill="1" applyBorder="1"/>
    <xf numFmtId="0" fontId="4" fillId="4" borderId="1" xfId="0" applyFont="1" applyFill="1" applyBorder="1"/>
    <xf numFmtId="0" fontId="0" fillId="3" borderId="1" xfId="0" applyFill="1" applyBorder="1"/>
    <xf numFmtId="0" fontId="0" fillId="3" borderId="39" xfId="0" applyFill="1" applyBorder="1"/>
    <xf numFmtId="0" fontId="4" fillId="4" borderId="44" xfId="0" applyFont="1" applyFill="1" applyBorder="1"/>
    <xf numFmtId="0" fontId="0" fillId="3" borderId="43" xfId="0" applyFill="1" applyBorder="1"/>
    <xf numFmtId="0" fontId="8" fillId="3" borderId="0" xfId="0" applyFont="1" applyFill="1" applyAlignment="1">
      <alignment horizontal="center" vertical="top"/>
    </xf>
    <xf numFmtId="0" fontId="12" fillId="0" borderId="44" xfId="0" applyFont="1" applyBorder="1"/>
    <xf numFmtId="0" fontId="11" fillId="0" borderId="43" xfId="0" applyFont="1" applyBorder="1"/>
    <xf numFmtId="0" fontId="12" fillId="3" borderId="44" xfId="0" applyFont="1" applyFill="1" applyBorder="1" applyAlignment="1">
      <alignment horizontal="left" vertical="center"/>
    </xf>
    <xf numFmtId="0" fontId="12" fillId="3" borderId="43" xfId="0" applyFont="1" applyFill="1" applyBorder="1"/>
    <xf numFmtId="0" fontId="12" fillId="2" borderId="44" xfId="0" applyFont="1" applyFill="1" applyBorder="1" applyAlignment="1">
      <alignment horizontal="left" vertical="center"/>
    </xf>
    <xf numFmtId="0" fontId="12" fillId="2" borderId="43" xfId="0" applyFont="1" applyFill="1" applyBorder="1"/>
    <xf numFmtId="0" fontId="0" fillId="2" borderId="44" xfId="0" applyFill="1" applyBorder="1" applyAlignment="1">
      <alignment horizontal="center"/>
    </xf>
    <xf numFmtId="0" fontId="0" fillId="2" borderId="43" xfId="0" applyFill="1" applyBorder="1" applyAlignment="1">
      <alignment horizontal="center"/>
    </xf>
    <xf numFmtId="0" fontId="12" fillId="2" borderId="44" xfId="0" applyFont="1" applyFill="1" applyBorder="1"/>
    <xf numFmtId="0" fontId="11" fillId="2" borderId="43" xfId="0" applyFont="1" applyFill="1" applyBorder="1"/>
    <xf numFmtId="0" fontId="0" fillId="2" borderId="44" xfId="0" applyFill="1" applyBorder="1"/>
    <xf numFmtId="0" fontId="0" fillId="2" borderId="43" xfId="0" applyFill="1" applyBorder="1"/>
    <xf numFmtId="0" fontId="4" fillId="2" borderId="46" xfId="0" applyFont="1" applyFill="1" applyBorder="1"/>
    <xf numFmtId="0" fontId="4" fillId="2" borderId="47" xfId="0" applyFont="1" applyFill="1" applyBorder="1"/>
    <xf numFmtId="0" fontId="4" fillId="2" borderId="48" xfId="0" applyFont="1" applyFill="1" applyBorder="1"/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27" fillId="3" borderId="27" xfId="0" applyFont="1" applyFill="1" applyBorder="1" applyAlignment="1">
      <alignment horizontal="left" indent="1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2" borderId="37" xfId="0" applyFill="1" applyBorder="1" applyAlignment="1">
      <alignment vertical="center"/>
    </xf>
    <xf numFmtId="0" fontId="4" fillId="8" borderId="2" xfId="0" applyFont="1" applyFill="1" applyBorder="1" applyAlignment="1">
      <alignment vertical="center"/>
    </xf>
    <xf numFmtId="0" fontId="0" fillId="4" borderId="0" xfId="0" applyFill="1" applyAlignment="1">
      <alignment vertical="center"/>
    </xf>
    <xf numFmtId="0" fontId="12" fillId="2" borderId="30" xfId="0" applyFont="1" applyFill="1" applyBorder="1"/>
    <xf numFmtId="0" fontId="12" fillId="2" borderId="37" xfId="0" applyFont="1" applyFill="1" applyBorder="1"/>
    <xf numFmtId="0" fontId="0" fillId="3" borderId="3" xfId="0" applyFill="1" applyBorder="1"/>
    <xf numFmtId="0" fontId="0" fillId="3" borderId="27" xfId="0" applyFill="1" applyBorder="1"/>
    <xf numFmtId="0" fontId="25" fillId="4" borderId="0" xfId="0" applyFont="1" applyFill="1" applyAlignment="1">
      <alignment horizontal="left" vertical="center"/>
    </xf>
    <xf numFmtId="0" fontId="9" fillId="4" borderId="0" xfId="0" applyFont="1" applyFill="1"/>
    <xf numFmtId="0" fontId="25" fillId="4" borderId="0" xfId="0" applyFont="1" applyFill="1"/>
    <xf numFmtId="0" fontId="9" fillId="4" borderId="0" xfId="0" applyFont="1" applyFill="1" applyAlignment="1">
      <alignment horizontal="left" vertical="center"/>
    </xf>
    <xf numFmtId="0" fontId="20" fillId="5" borderId="0" xfId="0" applyFont="1" applyFill="1" applyAlignment="1">
      <alignment vertical="center"/>
    </xf>
    <xf numFmtId="0" fontId="20" fillId="3" borderId="0" xfId="0" applyFont="1" applyFill="1" applyAlignment="1">
      <alignment vertical="center"/>
    </xf>
    <xf numFmtId="0" fontId="28" fillId="3" borderId="0" xfId="0" applyFont="1" applyFill="1" applyAlignment="1">
      <alignment horizontal="left" indent="1"/>
    </xf>
    <xf numFmtId="0" fontId="28" fillId="3" borderId="0" xfId="0" applyFont="1" applyFill="1" applyAlignment="1">
      <alignment horizontal="left"/>
    </xf>
    <xf numFmtId="0" fontId="12" fillId="2" borderId="0" xfId="0" applyFont="1" applyFill="1" applyAlignment="1">
      <alignment vertical="center"/>
    </xf>
    <xf numFmtId="0" fontId="4" fillId="0" borderId="0" xfId="0" applyFont="1" applyAlignment="1">
      <alignment vertical="center" wrapText="1"/>
    </xf>
    <xf numFmtId="0" fontId="4" fillId="8" borderId="0" xfId="0" quotePrefix="1" applyFont="1" applyFill="1" applyAlignment="1">
      <alignment vertical="center"/>
    </xf>
    <xf numFmtId="0" fontId="4" fillId="8" borderId="0" xfId="0" applyFont="1" applyFill="1" applyAlignment="1">
      <alignment vertical="center"/>
    </xf>
    <xf numFmtId="0" fontId="4" fillId="0" borderId="0" xfId="0" applyFont="1" applyAlignment="1">
      <alignment horizontal="left" vertical="center"/>
    </xf>
    <xf numFmtId="0" fontId="10" fillId="4" borderId="0" xfId="0" applyFont="1" applyFill="1" applyAlignment="1">
      <alignment vertical="center"/>
    </xf>
    <xf numFmtId="0" fontId="25" fillId="4" borderId="0" xfId="0" applyFont="1" applyFill="1" applyAlignment="1">
      <alignment horizontal="left" vertical="center" indent="1"/>
    </xf>
    <xf numFmtId="0" fontId="12" fillId="3" borderId="5" xfId="0" applyFont="1" applyFill="1" applyBorder="1" applyAlignment="1">
      <alignment vertical="center"/>
    </xf>
    <xf numFmtId="0" fontId="12" fillId="2" borderId="5" xfId="0" applyFont="1" applyFill="1" applyBorder="1" applyAlignment="1">
      <alignment vertical="center"/>
    </xf>
    <xf numFmtId="0" fontId="0" fillId="2" borderId="5" xfId="0" quotePrefix="1" applyFill="1" applyBorder="1" applyAlignment="1">
      <alignment horizontal="center" vertical="center"/>
    </xf>
    <xf numFmtId="0" fontId="0" fillId="2" borderId="28" xfId="0" applyFill="1" applyBorder="1" applyAlignment="1">
      <alignment horizontal="center"/>
    </xf>
    <xf numFmtId="0" fontId="0" fillId="4" borderId="28" xfId="0" applyFill="1" applyBorder="1"/>
    <xf numFmtId="0" fontId="0" fillId="3" borderId="12" xfId="0" applyFill="1" applyBorder="1"/>
    <xf numFmtId="0" fontId="0" fillId="3" borderId="32" xfId="0" applyFill="1" applyBorder="1"/>
    <xf numFmtId="0" fontId="4" fillId="2" borderId="0" xfId="0" applyFont="1" applyFill="1" applyAlignment="1">
      <alignment horizontal="left" indent="1"/>
    </xf>
    <xf numFmtId="0" fontId="23" fillId="3" borderId="0" xfId="0" applyFont="1" applyFill="1" applyAlignment="1">
      <alignment horizontal="left" vertical="center"/>
    </xf>
    <xf numFmtId="0" fontId="24" fillId="3" borderId="0" xfId="0" applyFont="1" applyFill="1"/>
    <xf numFmtId="0" fontId="24" fillId="3" borderId="0" xfId="0" applyFont="1" applyFill="1" applyAlignment="1">
      <alignment vertical="top"/>
    </xf>
    <xf numFmtId="0" fontId="18" fillId="3" borderId="0" xfId="0" applyFont="1" applyFill="1" applyAlignment="1">
      <alignment vertical="top"/>
    </xf>
    <xf numFmtId="0" fontId="0" fillId="2" borderId="53" xfId="0" applyFill="1" applyBorder="1"/>
    <xf numFmtId="0" fontId="0" fillId="2" borderId="2" xfId="0" applyFill="1" applyBorder="1"/>
    <xf numFmtId="0" fontId="4" fillId="2" borderId="2" xfId="0" applyFont="1" applyFill="1" applyBorder="1"/>
    <xf numFmtId="0" fontId="0" fillId="0" borderId="2" xfId="0" applyBorder="1"/>
    <xf numFmtId="0" fontId="0" fillId="2" borderId="54" xfId="0" applyFill="1" applyBorder="1"/>
    <xf numFmtId="0" fontId="0" fillId="0" borderId="37" xfId="0" quotePrefix="1" applyBorder="1" applyAlignment="1">
      <alignment horizontal="center" vertical="center"/>
    </xf>
    <xf numFmtId="0" fontId="4" fillId="3" borderId="1" xfId="0" applyFont="1" applyFill="1" applyBorder="1"/>
    <xf numFmtId="0" fontId="4" fillId="3" borderId="0" xfId="0" applyFont="1" applyFill="1"/>
    <xf numFmtId="0" fontId="9" fillId="3" borderId="0" xfId="0" applyFont="1" applyFill="1"/>
    <xf numFmtId="0" fontId="9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0" fillId="0" borderId="37" xfId="0" applyBorder="1"/>
    <xf numFmtId="0" fontId="0" fillId="0" borderId="38" xfId="0" applyBorder="1"/>
    <xf numFmtId="0" fontId="0" fillId="0" borderId="1" xfId="0" applyBorder="1"/>
    <xf numFmtId="0" fontId="0" fillId="0" borderId="39" xfId="0" applyBorder="1"/>
    <xf numFmtId="0" fontId="0" fillId="0" borderId="44" xfId="0" applyBorder="1"/>
    <xf numFmtId="0" fontId="0" fillId="0" borderId="43" xfId="0" applyBorder="1"/>
    <xf numFmtId="0" fontId="0" fillId="0" borderId="53" xfId="0" applyBorder="1"/>
    <xf numFmtId="0" fontId="0" fillId="0" borderId="54" xfId="0" applyBorder="1"/>
    <xf numFmtId="0" fontId="0" fillId="2" borderId="38" xfId="0" applyFill="1" applyBorder="1"/>
    <xf numFmtId="0" fontId="0" fillId="2" borderId="1" xfId="0" applyFill="1" applyBorder="1"/>
    <xf numFmtId="0" fontId="0" fillId="2" borderId="39" xfId="0" applyFill="1" applyBorder="1"/>
    <xf numFmtId="0" fontId="0" fillId="4" borderId="46" xfId="0" applyFill="1" applyBorder="1"/>
    <xf numFmtId="0" fontId="0" fillId="4" borderId="47" xfId="0" applyFill="1" applyBorder="1"/>
    <xf numFmtId="0" fontId="0" fillId="0" borderId="37" xfId="0" quotePrefix="1" applyBorder="1" applyAlignment="1">
      <alignment horizontal="center"/>
    </xf>
    <xf numFmtId="0" fontId="32" fillId="3" borderId="0" xfId="0" applyFont="1" applyFill="1" applyAlignment="1">
      <alignment vertical="center"/>
    </xf>
    <xf numFmtId="0" fontId="34" fillId="4" borderId="0" xfId="0" applyFont="1" applyFill="1"/>
    <xf numFmtId="0" fontId="24" fillId="3" borderId="0" xfId="0" applyFont="1" applyFill="1" applyAlignment="1">
      <alignment vertical="center"/>
    </xf>
    <xf numFmtId="0" fontId="23" fillId="3" borderId="0" xfId="0" applyFont="1" applyFill="1" applyAlignment="1">
      <alignment vertical="center"/>
    </xf>
    <xf numFmtId="0" fontId="26" fillId="3" borderId="0" xfId="0" applyFont="1" applyFill="1" applyAlignment="1">
      <alignment vertical="center"/>
    </xf>
    <xf numFmtId="0" fontId="26" fillId="5" borderId="0" xfId="0" applyFont="1" applyFill="1" applyAlignment="1">
      <alignment vertical="center"/>
    </xf>
    <xf numFmtId="0" fontId="12" fillId="4" borderId="5" xfId="0" applyFont="1" applyFill="1" applyBorder="1"/>
    <xf numFmtId="0" fontId="33" fillId="5" borderId="0" xfId="0" applyFont="1" applyFill="1" applyAlignment="1">
      <alignment horizontal="center" vertical="center"/>
    </xf>
    <xf numFmtId="0" fontId="0" fillId="4" borderId="5" xfId="0" applyFill="1" applyBorder="1"/>
    <xf numFmtId="0" fontId="0" fillId="4" borderId="0" xfId="0" applyFill="1" applyAlignment="1">
      <alignment horizontal="right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left"/>
    </xf>
    <xf numFmtId="0" fontId="4" fillId="5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5" xfId="0" applyFill="1" applyBorder="1"/>
    <xf numFmtId="0" fontId="27" fillId="3" borderId="0" xfId="0" applyFont="1" applyFill="1"/>
    <xf numFmtId="0" fontId="0" fillId="3" borderId="11" xfId="0" applyFill="1" applyBorder="1"/>
    <xf numFmtId="0" fontId="30" fillId="3" borderId="0" xfId="0" applyFont="1" applyFill="1" applyAlignment="1">
      <alignment vertical="center"/>
    </xf>
    <xf numFmtId="0" fontId="12" fillId="0" borderId="12" xfId="0" applyFont="1" applyBorder="1"/>
    <xf numFmtId="0" fontId="0" fillId="4" borderId="34" xfId="0" applyFill="1" applyBorder="1" applyAlignment="1">
      <alignment vertical="center"/>
    </xf>
    <xf numFmtId="0" fontId="33" fillId="4" borderId="10" xfId="0" applyFont="1" applyFill="1" applyBorder="1" applyAlignment="1">
      <alignment vertical="center"/>
    </xf>
    <xf numFmtId="0" fontId="33" fillId="4" borderId="35" xfId="0" applyFont="1" applyFill="1" applyBorder="1" applyAlignment="1">
      <alignment vertical="center"/>
    </xf>
    <xf numFmtId="0" fontId="33" fillId="4" borderId="10" xfId="0" applyFont="1" applyFill="1" applyBorder="1" applyAlignment="1">
      <alignment horizontal="left" vertical="center"/>
    </xf>
    <xf numFmtId="0" fontId="33" fillId="4" borderId="35" xfId="0" applyFont="1" applyFill="1" applyBorder="1" applyAlignment="1">
      <alignment horizontal="left" vertical="center"/>
    </xf>
    <xf numFmtId="0" fontId="33" fillId="4" borderId="34" xfId="0" applyFont="1" applyFill="1" applyBorder="1" applyAlignment="1">
      <alignment vertical="center"/>
    </xf>
    <xf numFmtId="0" fontId="33" fillId="4" borderId="0" xfId="0" applyFont="1" applyFill="1" applyAlignment="1">
      <alignment vertical="center"/>
    </xf>
    <xf numFmtId="0" fontId="33" fillId="2" borderId="4" xfId="0" applyFont="1" applyFill="1" applyBorder="1" applyAlignment="1">
      <alignment vertical="center"/>
    </xf>
    <xf numFmtId="0" fontId="33" fillId="2" borderId="4" xfId="0" applyFont="1" applyFill="1" applyBorder="1" applyAlignment="1">
      <alignment horizontal="left" vertical="center"/>
    </xf>
    <xf numFmtId="0" fontId="33" fillId="4" borderId="28" xfId="0" applyFont="1" applyFill="1" applyBorder="1" applyAlignment="1">
      <alignment horizontal="left" vertical="center"/>
    </xf>
    <xf numFmtId="0" fontId="33" fillId="4" borderId="5" xfId="0" applyFont="1" applyFill="1" applyBorder="1" applyAlignment="1">
      <alignment vertical="center"/>
    </xf>
    <xf numFmtId="0" fontId="33" fillId="4" borderId="11" xfId="0" applyFont="1" applyFill="1" applyBorder="1" applyAlignment="1">
      <alignment vertical="center"/>
    </xf>
    <xf numFmtId="0" fontId="33" fillId="4" borderId="12" xfId="0" applyFont="1" applyFill="1" applyBorder="1" applyAlignment="1">
      <alignment vertical="center"/>
    </xf>
    <xf numFmtId="0" fontId="33" fillId="4" borderId="32" xfId="0" applyFont="1" applyFill="1" applyBorder="1" applyAlignment="1">
      <alignment vertical="center"/>
    </xf>
    <xf numFmtId="0" fontId="33" fillId="4" borderId="12" xfId="0" applyFont="1" applyFill="1" applyBorder="1" applyAlignment="1">
      <alignment horizontal="left" vertical="center"/>
    </xf>
    <xf numFmtId="0" fontId="33" fillId="4" borderId="32" xfId="0" applyFont="1" applyFill="1" applyBorder="1" applyAlignment="1">
      <alignment horizontal="left" vertical="center"/>
    </xf>
    <xf numFmtId="0" fontId="33" fillId="4" borderId="4" xfId="0" quotePrefix="1" applyFont="1" applyFill="1" applyBorder="1" applyAlignment="1">
      <alignment horizontal="center"/>
    </xf>
    <xf numFmtId="0" fontId="33" fillId="2" borderId="0" xfId="0" applyFont="1" applyFill="1" applyAlignment="1">
      <alignment horizontal="left"/>
    </xf>
    <xf numFmtId="0" fontId="33" fillId="2" borderId="0" xfId="0" applyFont="1" applyFill="1"/>
    <xf numFmtId="0" fontId="19" fillId="3" borderId="27" xfId="0" applyFont="1" applyFill="1" applyBorder="1" applyAlignment="1">
      <alignment horizontal="left" indent="1"/>
    </xf>
    <xf numFmtId="0" fontId="5" fillId="2" borderId="8" xfId="0" applyFont="1" applyFill="1" applyBorder="1" applyAlignment="1">
      <alignment horizontal="center"/>
    </xf>
    <xf numFmtId="0" fontId="18" fillId="3" borderId="0" xfId="0" applyFont="1" applyFill="1" applyAlignment="1">
      <alignment vertical="center"/>
    </xf>
    <xf numFmtId="0" fontId="21" fillId="5" borderId="0" xfId="0" applyFont="1" applyFill="1"/>
    <xf numFmtId="0" fontId="23" fillId="3" borderId="5" xfId="0" applyFont="1" applyFill="1" applyBorder="1"/>
    <xf numFmtId="0" fontId="23" fillId="3" borderId="0" xfId="0" applyFont="1" applyFill="1"/>
    <xf numFmtId="0" fontId="18" fillId="3" borderId="5" xfId="0" applyFont="1" applyFill="1" applyBorder="1" applyAlignment="1">
      <alignment horizontal="left" vertical="center"/>
    </xf>
    <xf numFmtId="0" fontId="23" fillId="3" borderId="5" xfId="0" applyFont="1" applyFill="1" applyBorder="1" applyAlignment="1">
      <alignment horizontal="left" vertical="center"/>
    </xf>
    <xf numFmtId="0" fontId="23" fillId="3" borderId="0" xfId="0" applyFont="1" applyFill="1" applyAlignment="1">
      <alignment horizontal="left" vertical="center" indent="1"/>
    </xf>
    <xf numFmtId="0" fontId="23" fillId="3" borderId="5" xfId="0" applyFont="1" applyFill="1" applyBorder="1" applyAlignment="1">
      <alignment vertical="center"/>
    </xf>
    <xf numFmtId="0" fontId="4" fillId="8" borderId="69" xfId="0" applyFont="1" applyFill="1" applyBorder="1" applyAlignment="1">
      <alignment vertical="center"/>
    </xf>
    <xf numFmtId="0" fontId="4" fillId="8" borderId="70" xfId="0" quotePrefix="1" applyFont="1" applyFill="1" applyBorder="1" applyAlignment="1">
      <alignment vertical="center"/>
    </xf>
    <xf numFmtId="0" fontId="18" fillId="3" borderId="44" xfId="0" applyFont="1" applyFill="1" applyBorder="1" applyAlignment="1">
      <alignment horizontal="left" vertical="center"/>
    </xf>
    <xf numFmtId="0" fontId="18" fillId="3" borderId="0" xfId="0" applyFont="1" applyFill="1" applyAlignment="1">
      <alignment horizontal="left" vertical="center"/>
    </xf>
    <xf numFmtId="0" fontId="23" fillId="3" borderId="44" xfId="0" applyFont="1" applyFill="1" applyBorder="1" applyAlignment="1">
      <alignment horizontal="left" vertical="center"/>
    </xf>
    <xf numFmtId="166" fontId="0" fillId="4" borderId="1" xfId="1" applyNumberFormat="1" applyFont="1" applyFill="1" applyBorder="1" applyAlignment="1">
      <alignment vertical="center"/>
    </xf>
    <xf numFmtId="166" fontId="0" fillId="4" borderId="39" xfId="1" applyNumberFormat="1" applyFont="1" applyFill="1" applyBorder="1" applyAlignment="1">
      <alignment vertical="center"/>
    </xf>
    <xf numFmtId="166" fontId="0" fillId="4" borderId="44" xfId="1" applyNumberFormat="1" applyFont="1" applyFill="1" applyBorder="1" applyAlignment="1">
      <alignment vertical="center"/>
    </xf>
    <xf numFmtId="166" fontId="0" fillId="4" borderId="0" xfId="1" applyNumberFormat="1" applyFont="1" applyFill="1" applyBorder="1" applyAlignment="1">
      <alignment vertical="center"/>
    </xf>
    <xf numFmtId="166" fontId="0" fillId="4" borderId="43" xfId="1" applyNumberFormat="1" applyFont="1" applyFill="1" applyBorder="1" applyAlignment="1">
      <alignment vertical="center"/>
    </xf>
    <xf numFmtId="166" fontId="0" fillId="4" borderId="53" xfId="1" applyNumberFormat="1" applyFont="1" applyFill="1" applyBorder="1" applyAlignment="1">
      <alignment vertical="center"/>
    </xf>
    <xf numFmtId="166" fontId="0" fillId="4" borderId="2" xfId="1" applyNumberFormat="1" applyFont="1" applyFill="1" applyBorder="1" applyAlignment="1">
      <alignment vertical="center"/>
    </xf>
    <xf numFmtId="166" fontId="0" fillId="4" borderId="54" xfId="1" applyNumberFormat="1" applyFont="1" applyFill="1" applyBorder="1" applyAlignment="1">
      <alignment vertical="center"/>
    </xf>
    <xf numFmtId="0" fontId="15" fillId="2" borderId="0" xfId="0" applyFont="1" applyFill="1"/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38" fillId="0" borderId="0" xfId="0" applyFont="1" applyAlignment="1">
      <alignment horizontal="left" vertical="center"/>
    </xf>
    <xf numFmtId="0" fontId="15" fillId="0" borderId="0" xfId="0" applyFont="1"/>
    <xf numFmtId="0" fontId="18" fillId="3" borderId="0" xfId="0" applyFont="1" applyFill="1" applyAlignment="1">
      <alignment horizontal="left"/>
    </xf>
    <xf numFmtId="0" fontId="22" fillId="2" borderId="0" xfId="0" applyFont="1" applyFill="1" applyAlignment="1">
      <alignment horizontal="left"/>
    </xf>
    <xf numFmtId="0" fontId="25" fillId="0" borderId="0" xfId="0" applyFont="1"/>
    <xf numFmtId="0" fontId="12" fillId="2" borderId="2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33" fillId="2" borderId="4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4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6" fillId="3" borderId="5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41" fillId="2" borderId="8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41" fillId="2" borderId="8" xfId="0" applyFont="1" applyFill="1" applyBorder="1" applyAlignment="1">
      <alignment horizontal="center"/>
    </xf>
    <xf numFmtId="0" fontId="33" fillId="2" borderId="8" xfId="0" applyFont="1" applyFill="1" applyBorder="1"/>
    <xf numFmtId="0" fontId="33" fillId="2" borderId="8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33" fillId="2" borderId="37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33" fillId="2" borderId="4" xfId="0" applyFont="1" applyFill="1" applyBorder="1" applyAlignment="1">
      <alignment horizontal="center"/>
    </xf>
    <xf numFmtId="0" fontId="43" fillId="0" borderId="0" xfId="2" applyFont="1" applyAlignment="1">
      <alignment horizontal="left" vertical="center"/>
    </xf>
    <xf numFmtId="0" fontId="42" fillId="0" borderId="0" xfId="2"/>
    <xf numFmtId="0" fontId="42" fillId="0" borderId="0" xfId="2" applyAlignment="1">
      <alignment horizontal="left" vertical="center" wrapText="1"/>
    </xf>
    <xf numFmtId="0" fontId="42" fillId="0" borderId="0" xfId="2" applyAlignment="1">
      <alignment vertical="center" wrapText="1"/>
    </xf>
    <xf numFmtId="0" fontId="44" fillId="0" borderId="0" xfId="2" applyFont="1"/>
    <xf numFmtId="0" fontId="42" fillId="0" borderId="0" xfId="2" applyAlignment="1">
      <alignment horizontal="left"/>
    </xf>
    <xf numFmtId="0" fontId="42" fillId="0" borderId="37" xfId="2" applyBorder="1" applyAlignment="1">
      <alignment horizontal="center" vertical="center"/>
    </xf>
    <xf numFmtId="0" fontId="42" fillId="0" borderId="37" xfId="2" applyBorder="1" applyAlignment="1">
      <alignment horizontal="center" vertical="center" wrapText="1"/>
    </xf>
    <xf numFmtId="0" fontId="42" fillId="0" borderId="37" xfId="2" applyBorder="1"/>
    <xf numFmtId="3" fontId="42" fillId="0" borderId="37" xfId="2" applyNumberFormat="1" applyBorder="1"/>
    <xf numFmtId="0" fontId="42" fillId="0" borderId="37" xfId="2" applyBorder="1" applyAlignment="1">
      <alignment vertical="center" wrapText="1"/>
    </xf>
    <xf numFmtId="166" fontId="42" fillId="0" borderId="37" xfId="3" applyNumberFormat="1" applyFont="1" applyBorder="1" applyAlignment="1">
      <alignment vertical="center"/>
    </xf>
    <xf numFmtId="166" fontId="42" fillId="0" borderId="37" xfId="2" applyNumberFormat="1" applyBorder="1" applyAlignment="1">
      <alignment vertical="center" wrapText="1"/>
    </xf>
    <xf numFmtId="0" fontId="42" fillId="0" borderId="37" xfId="2" applyBorder="1" applyAlignment="1">
      <alignment horizontal="left" vertical="center" wrapText="1"/>
    </xf>
    <xf numFmtId="0" fontId="42" fillId="0" borderId="0" xfId="2" applyAlignment="1">
      <alignment vertical="center"/>
    </xf>
    <xf numFmtId="0" fontId="42" fillId="0" borderId="0" xfId="2" applyAlignment="1">
      <alignment horizontal="center" vertical="center"/>
    </xf>
    <xf numFmtId="0" fontId="42" fillId="0" borderId="0" xfId="2" applyAlignment="1">
      <alignment wrapText="1"/>
    </xf>
    <xf numFmtId="166" fontId="42" fillId="0" borderId="0" xfId="3" applyNumberFormat="1" applyFont="1" applyBorder="1" applyAlignment="1">
      <alignment vertical="center"/>
    </xf>
    <xf numFmtId="166" fontId="42" fillId="0" borderId="0" xfId="2" applyNumberFormat="1" applyAlignment="1">
      <alignment vertical="center" wrapText="1"/>
    </xf>
    <xf numFmtId="0" fontId="44" fillId="0" borderId="0" xfId="2" applyFont="1" applyAlignment="1">
      <alignment horizontal="left" vertical="center"/>
    </xf>
    <xf numFmtId="166" fontId="42" fillId="0" borderId="37" xfId="3" applyNumberFormat="1" applyFont="1" applyBorder="1" applyAlignment="1">
      <alignment horizontal="center" vertical="center"/>
    </xf>
    <xf numFmtId="166" fontId="42" fillId="0" borderId="37" xfId="2" applyNumberFormat="1" applyBorder="1" applyAlignment="1">
      <alignment horizontal="center" vertical="center" wrapText="1"/>
    </xf>
    <xf numFmtId="0" fontId="42" fillId="0" borderId="0" xfId="2" applyAlignment="1">
      <alignment horizontal="center" vertical="center" wrapText="1"/>
    </xf>
    <xf numFmtId="0" fontId="42" fillId="0" borderId="0" xfId="2" applyAlignment="1">
      <alignment horizontal="left" vertical="center"/>
    </xf>
    <xf numFmtId="0" fontId="45" fillId="0" borderId="37" xfId="2" applyFont="1" applyBorder="1" applyAlignment="1">
      <alignment horizontal="center" vertical="center" wrapText="1"/>
    </xf>
    <xf numFmtId="0" fontId="45" fillId="0" borderId="42" xfId="2" applyFont="1" applyBorder="1" applyAlignment="1">
      <alignment horizontal="center" vertical="center" wrapText="1"/>
    </xf>
    <xf numFmtId="0" fontId="45" fillId="0" borderId="37" xfId="2" applyFont="1" applyBorder="1" applyAlignment="1">
      <alignment horizontal="center" vertical="center"/>
    </xf>
    <xf numFmtId="0" fontId="42" fillId="0" borderId="72" xfId="2" applyBorder="1" applyAlignment="1">
      <alignment vertical="center" wrapText="1"/>
    </xf>
    <xf numFmtId="3" fontId="42" fillId="0" borderId="37" xfId="2" applyNumberFormat="1" applyBorder="1" applyAlignment="1">
      <alignment horizontal="right" vertical="center" wrapText="1"/>
    </xf>
    <xf numFmtId="0" fontId="45" fillId="0" borderId="37" xfId="2" applyFont="1" applyBorder="1" applyAlignment="1">
      <alignment vertical="center" wrapText="1"/>
    </xf>
    <xf numFmtId="0" fontId="45" fillId="0" borderId="37" xfId="2" quotePrefix="1" applyFont="1" applyBorder="1" applyAlignment="1">
      <alignment horizontal="center" vertical="center"/>
    </xf>
    <xf numFmtId="0" fontId="42" fillId="0" borderId="73" xfId="2" applyBorder="1" applyAlignment="1">
      <alignment vertical="center" wrapText="1"/>
    </xf>
    <xf numFmtId="0" fontId="45" fillId="0" borderId="42" xfId="2" applyFont="1" applyBorder="1" applyAlignment="1">
      <alignment horizontal="center" vertical="center"/>
    </xf>
    <xf numFmtId="0" fontId="42" fillId="0" borderId="74" xfId="2" applyBorder="1" applyAlignment="1">
      <alignment vertical="center" wrapText="1"/>
    </xf>
    <xf numFmtId="3" fontId="42" fillId="0" borderId="42" xfId="2" applyNumberFormat="1" applyBorder="1" applyAlignment="1">
      <alignment horizontal="right" vertical="center" wrapText="1"/>
    </xf>
    <xf numFmtId="0" fontId="45" fillId="0" borderId="42" xfId="2" applyFont="1" applyBorder="1" applyAlignment="1">
      <alignment vertical="center" wrapText="1"/>
    </xf>
    <xf numFmtId="166" fontId="45" fillId="0" borderId="37" xfId="3" applyNumberFormat="1" applyFont="1" applyBorder="1" applyAlignment="1">
      <alignment vertical="center" wrapText="1"/>
    </xf>
    <xf numFmtId="0" fontId="46" fillId="0" borderId="37" xfId="2" applyFont="1" applyBorder="1"/>
    <xf numFmtId="3" fontId="46" fillId="0" borderId="37" xfId="2" applyNumberFormat="1" applyFont="1" applyBorder="1"/>
    <xf numFmtId="14" fontId="42" fillId="0" borderId="37" xfId="2" applyNumberFormat="1" applyBorder="1"/>
    <xf numFmtId="3" fontId="42" fillId="0" borderId="0" xfId="2" applyNumberFormat="1"/>
    <xf numFmtId="166" fontId="42" fillId="0" borderId="0" xfId="2" applyNumberFormat="1"/>
    <xf numFmtId="0" fontId="42" fillId="0" borderId="0" xfId="2" quotePrefix="1" applyAlignment="1">
      <alignment horizontal="left"/>
    </xf>
    <xf numFmtId="0" fontId="18" fillId="3" borderId="27" xfId="0" applyFont="1" applyFill="1" applyBorder="1" applyAlignment="1">
      <alignment horizontal="center"/>
    </xf>
    <xf numFmtId="0" fontId="19" fillId="3" borderId="0" xfId="0" applyFont="1" applyFill="1" applyAlignment="1">
      <alignment horizontal="center"/>
    </xf>
    <xf numFmtId="0" fontId="34" fillId="2" borderId="4" xfId="0" applyFont="1" applyFill="1" applyBorder="1" applyAlignment="1">
      <alignment horizontal="center"/>
    </xf>
    <xf numFmtId="166" fontId="0" fillId="0" borderId="0" xfId="1" applyNumberFormat="1" applyFont="1"/>
    <xf numFmtId="166" fontId="0" fillId="0" borderId="0" xfId="0" applyNumberFormat="1"/>
    <xf numFmtId="9" fontId="0" fillId="0" borderId="0" xfId="0" applyNumberFormat="1"/>
    <xf numFmtId="0" fontId="33" fillId="2" borderId="4" xfId="0" applyFont="1" applyFill="1" applyBorder="1"/>
    <xf numFmtId="0" fontId="42" fillId="0" borderId="45" xfId="2" applyBorder="1"/>
    <xf numFmtId="3" fontId="42" fillId="0" borderId="45" xfId="2" applyNumberFormat="1" applyBorder="1"/>
    <xf numFmtId="0" fontId="44" fillId="9" borderId="75" xfId="2" applyFont="1" applyFill="1" applyBorder="1" applyAlignment="1">
      <alignment horizontal="center" vertical="center"/>
    </xf>
    <xf numFmtId="0" fontId="44" fillId="9" borderId="75" xfId="2" applyFont="1" applyFill="1" applyBorder="1" applyAlignment="1">
      <alignment horizontal="center" vertical="center" wrapText="1"/>
    </xf>
    <xf numFmtId="0" fontId="44" fillId="9" borderId="37" xfId="2" applyFont="1" applyFill="1" applyBorder="1" applyAlignment="1">
      <alignment horizontal="center" vertical="center"/>
    </xf>
    <xf numFmtId="0" fontId="44" fillId="9" borderId="37" xfId="2" applyFont="1" applyFill="1" applyBorder="1" applyAlignment="1">
      <alignment horizontal="center"/>
    </xf>
    <xf numFmtId="0" fontId="44" fillId="9" borderId="37" xfId="2" applyFont="1" applyFill="1" applyBorder="1"/>
    <xf numFmtId="166" fontId="44" fillId="9" borderId="37" xfId="2" applyNumberFormat="1" applyFont="1" applyFill="1" applyBorder="1" applyAlignment="1">
      <alignment horizontal="center" vertical="center" wrapText="1"/>
    </xf>
    <xf numFmtId="0" fontId="44" fillId="9" borderId="37" xfId="2" applyFont="1" applyFill="1" applyBorder="1" applyAlignment="1">
      <alignment horizontal="center" vertical="center" wrapText="1"/>
    </xf>
    <xf numFmtId="166" fontId="44" fillId="9" borderId="37" xfId="3" applyNumberFormat="1" applyFont="1" applyFill="1" applyBorder="1"/>
    <xf numFmtId="3" fontId="44" fillId="9" borderId="37" xfId="2" applyNumberFormat="1" applyFont="1" applyFill="1" applyBorder="1" applyAlignment="1">
      <alignment horizontal="right" vertical="center" wrapText="1"/>
    </xf>
    <xf numFmtId="0" fontId="43" fillId="9" borderId="37" xfId="2" applyFont="1" applyFill="1" applyBorder="1" applyAlignment="1">
      <alignment vertical="center" wrapText="1"/>
    </xf>
    <xf numFmtId="3" fontId="44" fillId="9" borderId="37" xfId="2" applyNumberFormat="1" applyFont="1" applyFill="1" applyBorder="1"/>
    <xf numFmtId="0" fontId="42" fillId="0" borderId="0" xfId="2" quotePrefix="1"/>
    <xf numFmtId="0" fontId="44" fillId="0" borderId="37" xfId="2" applyFont="1" applyBorder="1" applyAlignment="1">
      <alignment horizontal="center"/>
    </xf>
    <xf numFmtId="0" fontId="42" fillId="0" borderId="37" xfId="2" quotePrefix="1" applyBorder="1"/>
    <xf numFmtId="15" fontId="42" fillId="0" borderId="37" xfId="2" quotePrefix="1" applyNumberFormat="1" applyBorder="1"/>
    <xf numFmtId="0" fontId="42" fillId="0" borderId="37" xfId="2" applyBorder="1" applyAlignment="1">
      <alignment horizontal="center"/>
    </xf>
    <xf numFmtId="0" fontId="48" fillId="2" borderId="38" xfId="10" applyFont="1" applyFill="1" applyBorder="1"/>
    <xf numFmtId="0" fontId="48" fillId="2" borderId="1" xfId="10" applyFont="1" applyFill="1" applyBorder="1"/>
    <xf numFmtId="0" fontId="48" fillId="2" borderId="39" xfId="10" applyFont="1" applyFill="1" applyBorder="1"/>
    <xf numFmtId="0" fontId="48" fillId="0" borderId="0" xfId="10" applyFont="1"/>
    <xf numFmtId="0" fontId="48" fillId="10" borderId="0" xfId="10" applyFont="1" applyFill="1"/>
    <xf numFmtId="0" fontId="48" fillId="2" borderId="44" xfId="10" applyFont="1" applyFill="1" applyBorder="1"/>
    <xf numFmtId="0" fontId="48" fillId="2" borderId="0" xfId="10" applyFont="1" applyFill="1"/>
    <xf numFmtId="0" fontId="49" fillId="2" borderId="0" xfId="10" applyFont="1" applyFill="1"/>
    <xf numFmtId="0" fontId="48" fillId="2" borderId="43" xfId="10" applyFont="1" applyFill="1" applyBorder="1"/>
    <xf numFmtId="0" fontId="49" fillId="0" borderId="0" xfId="10" applyFont="1"/>
    <xf numFmtId="0" fontId="48" fillId="12" borderId="0" xfId="10" applyFont="1" applyFill="1"/>
    <xf numFmtId="0" fontId="49" fillId="12" borderId="0" xfId="10" applyFont="1" applyFill="1" applyAlignment="1">
      <alignment horizontal="center"/>
    </xf>
    <xf numFmtId="0" fontId="49" fillId="2" borderId="0" xfId="10" applyFont="1" applyFill="1" applyAlignment="1">
      <alignment horizontal="center"/>
    </xf>
    <xf numFmtId="0" fontId="48" fillId="2" borderId="0" xfId="10" applyFont="1" applyFill="1" applyAlignment="1">
      <alignment horizontal="center"/>
    </xf>
    <xf numFmtId="0" fontId="51" fillId="3" borderId="0" xfId="10" applyFont="1" applyFill="1"/>
    <xf numFmtId="0" fontId="52" fillId="3" borderId="0" xfId="10" applyFont="1" applyFill="1"/>
    <xf numFmtId="0" fontId="48" fillId="3" borderId="0" xfId="10" applyFont="1" applyFill="1"/>
    <xf numFmtId="0" fontId="48" fillId="2" borderId="0" xfId="10" quotePrefix="1" applyFont="1" applyFill="1" applyProtection="1">
      <protection locked="0"/>
    </xf>
    <xf numFmtId="0" fontId="48" fillId="2" borderId="0" xfId="10" quotePrefix="1" applyFont="1" applyFill="1"/>
    <xf numFmtId="0" fontId="48" fillId="2" borderId="0" xfId="10" applyFont="1" applyFill="1" applyProtection="1">
      <protection locked="0"/>
    </xf>
    <xf numFmtId="0" fontId="49" fillId="13" borderId="0" xfId="10" applyFont="1" applyFill="1"/>
    <xf numFmtId="0" fontId="53" fillId="13" borderId="0" xfId="10" applyFont="1" applyFill="1"/>
    <xf numFmtId="0" fontId="49" fillId="14" borderId="0" xfId="10" applyFont="1" applyFill="1"/>
    <xf numFmtId="0" fontId="48" fillId="14" borderId="0" xfId="10" applyFont="1" applyFill="1"/>
    <xf numFmtId="2" fontId="48" fillId="2" borderId="0" xfId="10" quotePrefix="1" applyNumberFormat="1" applyFont="1" applyFill="1"/>
    <xf numFmtId="20" fontId="48" fillId="2" borderId="0" xfId="10" quotePrefix="1" applyNumberFormat="1" applyFont="1" applyFill="1"/>
    <xf numFmtId="0" fontId="48" fillId="2" borderId="76" xfId="10" applyFont="1" applyFill="1" applyBorder="1"/>
    <xf numFmtId="0" fontId="48" fillId="2" borderId="77" xfId="10" applyFont="1" applyFill="1" applyBorder="1"/>
    <xf numFmtId="0" fontId="48" fillId="2" borderId="78" xfId="10" applyFont="1" applyFill="1" applyBorder="1"/>
    <xf numFmtId="0" fontId="48" fillId="2" borderId="53" xfId="10" applyFont="1" applyFill="1" applyBorder="1"/>
    <xf numFmtId="0" fontId="48" fillId="2" borderId="2" xfId="10" applyFont="1" applyFill="1" applyBorder="1"/>
    <xf numFmtId="0" fontId="48" fillId="2" borderId="54" xfId="10" applyFont="1" applyFill="1" applyBorder="1"/>
    <xf numFmtId="0" fontId="54" fillId="0" borderId="0" xfId="12"/>
    <xf numFmtId="3" fontId="42" fillId="0" borderId="37" xfId="2" applyNumberFormat="1" applyFont="1" applyBorder="1"/>
    <xf numFmtId="0" fontId="42" fillId="0" borderId="37" xfId="2" applyFont="1" applyBorder="1"/>
    <xf numFmtId="166" fontId="46" fillId="0" borderId="37" xfId="1" applyNumberFormat="1" applyFont="1" applyBorder="1"/>
    <xf numFmtId="166" fontId="42" fillId="0" borderId="37" xfId="1" applyNumberFormat="1" applyFont="1" applyBorder="1"/>
    <xf numFmtId="1" fontId="46" fillId="0" borderId="37" xfId="1" applyNumberFormat="1" applyFont="1" applyBorder="1"/>
    <xf numFmtId="14" fontId="42" fillId="0" borderId="37" xfId="2" applyNumberFormat="1" applyFont="1" applyBorder="1"/>
    <xf numFmtId="14" fontId="46" fillId="0" borderId="37" xfId="2" applyNumberFormat="1" applyFont="1" applyBorder="1"/>
    <xf numFmtId="0" fontId="0" fillId="15" borderId="34" xfId="0" applyFill="1" applyBorder="1"/>
    <xf numFmtId="0" fontId="0" fillId="15" borderId="10" xfId="0" applyFill="1" applyBorder="1"/>
    <xf numFmtId="0" fontId="0" fillId="15" borderId="35" xfId="0" applyFill="1" applyBorder="1"/>
    <xf numFmtId="0" fontId="0" fillId="15" borderId="5" xfId="0" applyFill="1" applyBorder="1"/>
    <xf numFmtId="0" fontId="0" fillId="15" borderId="4" xfId="0" applyFill="1" applyBorder="1" applyAlignment="1">
      <alignment horizontal="center"/>
    </xf>
    <xf numFmtId="0" fontId="0" fillId="15" borderId="0" xfId="0" applyFill="1" applyAlignment="1">
      <alignment horizontal="left" indent="1"/>
    </xf>
    <xf numFmtId="0" fontId="0" fillId="15" borderId="0" xfId="0" applyFill="1"/>
    <xf numFmtId="0" fontId="0" fillId="15" borderId="28" xfId="0" applyFill="1" applyBorder="1"/>
    <xf numFmtId="0" fontId="0" fillId="15" borderId="4" xfId="0" applyFill="1" applyBorder="1"/>
    <xf numFmtId="0" fontId="0" fillId="15" borderId="11" xfId="0" applyFill="1" applyBorder="1"/>
    <xf numFmtId="0" fontId="0" fillId="15" borderId="12" xfId="0" applyFill="1" applyBorder="1"/>
    <xf numFmtId="0" fontId="0" fillId="15" borderId="32" xfId="0" applyFill="1" applyBorder="1"/>
    <xf numFmtId="0" fontId="44" fillId="9" borderId="46" xfId="2" applyFont="1" applyFill="1" applyBorder="1" applyAlignment="1">
      <alignment horizontal="center"/>
    </xf>
    <xf numFmtId="0" fontId="44" fillId="9" borderId="48" xfId="2" applyFont="1" applyFill="1" applyBorder="1" applyAlignment="1">
      <alignment horizontal="center"/>
    </xf>
    <xf numFmtId="0" fontId="42" fillId="0" borderId="0" xfId="2" applyAlignment="1">
      <alignment horizontal="left" vertical="center" wrapText="1"/>
    </xf>
    <xf numFmtId="0" fontId="42" fillId="0" borderId="37" xfId="2" applyBorder="1" applyAlignment="1">
      <alignment horizontal="left" vertical="center" wrapText="1"/>
    </xf>
    <xf numFmtId="166" fontId="44" fillId="9" borderId="37" xfId="3" applyNumberFormat="1" applyFont="1" applyFill="1" applyBorder="1" applyAlignment="1">
      <alignment horizontal="center" vertical="center"/>
    </xf>
    <xf numFmtId="166" fontId="42" fillId="0" borderId="37" xfId="3" applyNumberFormat="1" applyFont="1" applyBorder="1" applyAlignment="1">
      <alignment vertical="center" wrapText="1"/>
    </xf>
    <xf numFmtId="0" fontId="42" fillId="0" borderId="46" xfId="2" applyBorder="1" applyAlignment="1">
      <alignment horizontal="center" vertical="center"/>
    </xf>
    <xf numFmtId="0" fontId="42" fillId="0" borderId="48" xfId="2" applyBorder="1" applyAlignment="1">
      <alignment horizontal="center" vertical="center"/>
    </xf>
    <xf numFmtId="0" fontId="43" fillId="9" borderId="37" xfId="2" applyFont="1" applyFill="1" applyBorder="1" applyAlignment="1">
      <alignment horizontal="center" vertical="center" wrapText="1"/>
    </xf>
    <xf numFmtId="0" fontId="43" fillId="9" borderId="42" xfId="2" applyFont="1" applyFill="1" applyBorder="1" applyAlignment="1">
      <alignment horizontal="center" vertical="center" wrapText="1"/>
    </xf>
    <xf numFmtId="0" fontId="43" fillId="9" borderId="45" xfId="2" applyFont="1" applyFill="1" applyBorder="1" applyAlignment="1">
      <alignment horizontal="center" vertical="center" wrapText="1"/>
    </xf>
    <xf numFmtId="0" fontId="43" fillId="9" borderId="46" xfId="2" applyFont="1" applyFill="1" applyBorder="1" applyAlignment="1">
      <alignment horizontal="center" vertical="center"/>
    </xf>
    <xf numFmtId="0" fontId="43" fillId="9" borderId="47" xfId="2" applyFont="1" applyFill="1" applyBorder="1" applyAlignment="1">
      <alignment horizontal="center" vertical="center"/>
    </xf>
    <xf numFmtId="0" fontId="43" fillId="9" borderId="48" xfId="2" applyFont="1" applyFill="1" applyBorder="1" applyAlignment="1">
      <alignment horizontal="center" vertical="center"/>
    </xf>
    <xf numFmtId="0" fontId="44" fillId="9" borderId="37" xfId="2" applyFont="1" applyFill="1" applyBorder="1" applyAlignment="1">
      <alignment horizontal="center" vertical="center"/>
    </xf>
    <xf numFmtId="0" fontId="48" fillId="2" borderId="0" xfId="10" applyFont="1" applyFill="1" applyAlignment="1" applyProtection="1">
      <alignment horizontal="center"/>
      <protection locked="0"/>
    </xf>
    <xf numFmtId="0" fontId="50" fillId="11" borderId="0" xfId="10" applyFont="1" applyFill="1" applyAlignment="1">
      <alignment horizontal="center" vertical="top"/>
    </xf>
    <xf numFmtId="0" fontId="49" fillId="12" borderId="0" xfId="10" applyFont="1" applyFill="1" applyAlignment="1">
      <alignment horizontal="center"/>
    </xf>
    <xf numFmtId="167" fontId="48" fillId="2" borderId="72" xfId="11" applyNumberFormat="1" applyFont="1" applyFill="1" applyBorder="1" applyAlignment="1" applyProtection="1">
      <alignment horizontal="center"/>
      <protection locked="0"/>
    </xf>
    <xf numFmtId="0" fontId="48" fillId="2" borderId="0" xfId="10" applyFont="1" applyFill="1"/>
    <xf numFmtId="0" fontId="49" fillId="13" borderId="0" xfId="10" applyFont="1" applyFill="1" applyAlignment="1">
      <alignment horizontal="center"/>
    </xf>
    <xf numFmtId="0" fontId="53" fillId="13" borderId="0" xfId="10" applyFont="1" applyFill="1" applyAlignment="1">
      <alignment horizontal="center"/>
    </xf>
    <xf numFmtId="0" fontId="49" fillId="14" borderId="0" xfId="10" applyFont="1" applyFill="1" applyAlignment="1">
      <alignment horizontal="center"/>
    </xf>
    <xf numFmtId="0" fontId="49" fillId="14" borderId="0" xfId="10" applyFont="1" applyFill="1"/>
    <xf numFmtId="167" fontId="48" fillId="2" borderId="0" xfId="11" applyNumberFormat="1" applyFont="1" applyFill="1" applyAlignment="1">
      <alignment horizontal="center"/>
    </xf>
    <xf numFmtId="0" fontId="49" fillId="2" borderId="46" xfId="10" applyFont="1" applyFill="1" applyBorder="1" applyAlignment="1" applyProtection="1">
      <alignment horizontal="center"/>
      <protection locked="0"/>
    </xf>
    <xf numFmtId="0" fontId="49" fillId="2" borderId="47" xfId="10" applyFont="1" applyFill="1" applyBorder="1" applyAlignment="1" applyProtection="1">
      <alignment horizontal="center"/>
      <protection locked="0"/>
    </xf>
    <xf numFmtId="0" fontId="49" fillId="2" borderId="48" xfId="10" applyFont="1" applyFill="1" applyBorder="1" applyAlignment="1" applyProtection="1">
      <alignment horizontal="center"/>
      <protection locked="0"/>
    </xf>
    <xf numFmtId="0" fontId="12" fillId="3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/>
    </xf>
    <xf numFmtId="166" fontId="5" fillId="2" borderId="8" xfId="0" applyNumberFormat="1" applyFont="1" applyFill="1" applyBorder="1" applyAlignment="1" applyProtection="1">
      <alignment horizontal="center"/>
      <protection locked="0"/>
    </xf>
    <xf numFmtId="0" fontId="5" fillId="2" borderId="8" xfId="0" applyFont="1" applyFill="1" applyBorder="1" applyAlignment="1" applyProtection="1">
      <alignment horizontal="center"/>
      <protection locked="0"/>
    </xf>
    <xf numFmtId="0" fontId="5" fillId="2" borderId="8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 vertical="top"/>
    </xf>
    <xf numFmtId="166" fontId="5" fillId="2" borderId="8" xfId="1" applyNumberFormat="1" applyFont="1" applyFill="1" applyBorder="1" applyAlignment="1" applyProtection="1">
      <alignment horizontal="center"/>
      <protection locked="0"/>
    </xf>
    <xf numFmtId="0" fontId="8" fillId="2" borderId="0" xfId="0" applyFont="1" applyFill="1" applyAlignment="1">
      <alignment horizontal="left" vertical="top"/>
    </xf>
    <xf numFmtId="0" fontId="7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 vertical="top"/>
    </xf>
    <xf numFmtId="0" fontId="5" fillId="2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1" fillId="2" borderId="4" xfId="0" applyFont="1" applyFill="1" applyBorder="1" applyAlignment="1" applyProtection="1">
      <alignment horizontal="center"/>
      <protection locked="0"/>
    </xf>
    <xf numFmtId="0" fontId="12" fillId="3" borderId="0" xfId="0" applyFont="1" applyFill="1" applyAlignment="1">
      <alignment horizontal="left" vertical="top" indent="1"/>
    </xf>
    <xf numFmtId="0" fontId="12" fillId="3" borderId="0" xfId="0" applyFont="1" applyFill="1" applyAlignment="1">
      <alignment horizontal="left" indent="1"/>
    </xf>
    <xf numFmtId="166" fontId="5" fillId="2" borderId="21" xfId="1" applyNumberFormat="1" applyFont="1" applyFill="1" applyBorder="1" applyAlignment="1" applyProtection="1">
      <alignment horizontal="center"/>
      <protection locked="0"/>
    </xf>
    <xf numFmtId="0" fontId="12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center"/>
    </xf>
    <xf numFmtId="0" fontId="41" fillId="2" borderId="8" xfId="0" applyFont="1" applyFill="1" applyBorder="1" applyAlignment="1">
      <alignment horizontal="left"/>
    </xf>
    <xf numFmtId="0" fontId="41" fillId="2" borderId="8" xfId="0" quotePrefix="1" applyFont="1" applyFill="1" applyBorder="1" applyAlignment="1">
      <alignment horizontal="left"/>
    </xf>
    <xf numFmtId="0" fontId="0" fillId="0" borderId="0" xfId="0" quotePrefix="1"/>
    <xf numFmtId="0" fontId="0" fillId="0" borderId="0" xfId="0"/>
    <xf numFmtId="0" fontId="12" fillId="3" borderId="0" xfId="0" applyFont="1" applyFill="1" applyAlignment="1">
      <alignment horizontal="left"/>
    </xf>
    <xf numFmtId="0" fontId="22" fillId="2" borderId="8" xfId="0" applyFont="1" applyFill="1" applyBorder="1" applyAlignment="1">
      <alignment horizontal="left"/>
    </xf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left"/>
    </xf>
    <xf numFmtId="0" fontId="4" fillId="2" borderId="18" xfId="0" applyFont="1" applyFill="1" applyBorder="1" applyAlignment="1">
      <alignment horizontal="right"/>
    </xf>
    <xf numFmtId="0" fontId="4" fillId="2" borderId="25" xfId="0" applyFont="1" applyFill="1" applyBorder="1" applyAlignment="1">
      <alignment horizontal="right"/>
    </xf>
    <xf numFmtId="0" fontId="4" fillId="2" borderId="19" xfId="0" applyFont="1" applyFill="1" applyBorder="1" applyAlignment="1">
      <alignment horizontal="right"/>
    </xf>
    <xf numFmtId="0" fontId="4" fillId="2" borderId="13" xfId="0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0" fontId="4" fillId="2" borderId="15" xfId="0" applyFont="1" applyFill="1" applyBorder="1" applyAlignment="1">
      <alignment horizontal="right"/>
    </xf>
    <xf numFmtId="0" fontId="4" fillId="2" borderId="22" xfId="0" applyFont="1" applyFill="1" applyBorder="1" applyAlignment="1">
      <alignment horizontal="right"/>
    </xf>
    <xf numFmtId="0" fontId="4" fillId="2" borderId="23" xfId="0" applyFont="1" applyFill="1" applyBorder="1" applyAlignment="1">
      <alignment horizontal="right"/>
    </xf>
    <xf numFmtId="0" fontId="4" fillId="2" borderId="24" xfId="0" applyFont="1" applyFill="1" applyBorder="1" applyAlignment="1">
      <alignment horizontal="right"/>
    </xf>
    <xf numFmtId="166" fontId="11" fillId="2" borderId="8" xfId="1" applyNumberFormat="1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166" fontId="11" fillId="2" borderId="8" xfId="0" applyNumberFormat="1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29" xfId="0" applyFont="1" applyFill="1" applyBorder="1" applyAlignment="1">
      <alignment horizontal="center" vertical="center" wrapText="1"/>
    </xf>
    <xf numFmtId="0" fontId="4" fillId="4" borderId="31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4" borderId="2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32" xfId="0" applyFont="1" applyFill="1" applyBorder="1" applyAlignment="1">
      <alignment horizontal="center" vertical="center" wrapText="1"/>
    </xf>
    <xf numFmtId="0" fontId="15" fillId="0" borderId="4" xfId="0" quotePrefix="1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0" fillId="5" borderId="0" xfId="0" applyFont="1" applyFill="1" applyAlignment="1">
      <alignment horizontal="center"/>
    </xf>
    <xf numFmtId="0" fontId="8" fillId="5" borderId="0" xfId="0" applyFont="1" applyFill="1" applyAlignment="1">
      <alignment horizontal="center" vertical="top"/>
    </xf>
    <xf numFmtId="0" fontId="4" fillId="4" borderId="4" xfId="0" applyFont="1" applyFill="1" applyBorder="1" applyAlignment="1">
      <alignment horizontal="center" vertical="center"/>
    </xf>
    <xf numFmtId="0" fontId="15" fillId="0" borderId="36" xfId="0" quotePrefix="1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4" fillId="4" borderId="34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3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/>
    </xf>
    <xf numFmtId="0" fontId="4" fillId="4" borderId="34" xfId="0" applyFont="1" applyFill="1" applyBorder="1" applyAlignment="1">
      <alignment horizontal="center" vertical="center" wrapText="1"/>
    </xf>
    <xf numFmtId="0" fontId="4" fillId="4" borderId="35" xfId="0" applyFont="1" applyFill="1" applyBorder="1" applyAlignment="1">
      <alignment horizontal="center" vertical="center" wrapText="1"/>
    </xf>
    <xf numFmtId="0" fontId="15" fillId="0" borderId="29" xfId="0" quotePrefix="1" applyFont="1" applyBorder="1" applyAlignment="1">
      <alignment horizontal="center" vertical="center"/>
    </xf>
    <xf numFmtId="0" fontId="15" fillId="0" borderId="33" xfId="0" quotePrefix="1" applyFont="1" applyBorder="1" applyAlignment="1">
      <alignment horizontal="center" vertical="center"/>
    </xf>
    <xf numFmtId="0" fontId="15" fillId="0" borderId="30" xfId="0" quotePrefix="1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0" fillId="15" borderId="4" xfId="0" applyFill="1" applyBorder="1" applyAlignment="1">
      <alignment horizontal="center" vertical="center"/>
    </xf>
    <xf numFmtId="0" fontId="0" fillId="15" borderId="4" xfId="0" quotePrefix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1" xfId="0" applyBorder="1" applyAlignment="1">
      <alignment horizontal="center"/>
    </xf>
    <xf numFmtId="166" fontId="0" fillId="0" borderId="30" xfId="0" applyNumberFormat="1" applyBorder="1" applyAlignment="1">
      <alignment horizontal="center"/>
    </xf>
    <xf numFmtId="0" fontId="0" fillId="4" borderId="4" xfId="0" applyFill="1" applyBorder="1" applyAlignment="1">
      <alignment horizontal="center"/>
    </xf>
    <xf numFmtId="166" fontId="0" fillId="0" borderId="4" xfId="1" applyNumberFormat="1" applyFont="1" applyBorder="1" applyAlignment="1">
      <alignment horizontal="center"/>
    </xf>
    <xf numFmtId="0" fontId="0" fillId="15" borderId="4" xfId="0" quotePrefix="1" applyFill="1" applyBorder="1" applyAlignment="1">
      <alignment horizontal="center"/>
    </xf>
    <xf numFmtId="0" fontId="0" fillId="15" borderId="4" xfId="0" applyFill="1" applyBorder="1" applyAlignment="1">
      <alignment horizontal="center"/>
    </xf>
    <xf numFmtId="166" fontId="0" fillId="15" borderId="4" xfId="1" applyNumberFormat="1" applyFont="1" applyFill="1" applyBorder="1" applyAlignment="1">
      <alignment horizontal="center" vertical="center"/>
    </xf>
    <xf numFmtId="0" fontId="0" fillId="0" borderId="4" xfId="0" quotePrefix="1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0" fillId="4" borderId="33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0" fontId="0" fillId="2" borderId="34" xfId="0" applyFill="1" applyBorder="1" applyAlignment="1">
      <alignment horizontal="left" vertical="top"/>
    </xf>
    <xf numFmtId="0" fontId="0" fillId="2" borderId="10" xfId="0" applyFill="1" applyBorder="1" applyAlignment="1">
      <alignment horizontal="left" vertical="top"/>
    </xf>
    <xf numFmtId="0" fontId="0" fillId="2" borderId="11" xfId="0" applyFill="1" applyBorder="1" applyAlignment="1">
      <alignment horizontal="left" vertical="top"/>
    </xf>
    <xf numFmtId="0" fontId="0" fillId="2" borderId="12" xfId="0" applyFill="1" applyBorder="1" applyAlignment="1">
      <alignment horizontal="left" vertical="top"/>
    </xf>
    <xf numFmtId="0" fontId="0" fillId="15" borderId="34" xfId="0" quotePrefix="1" applyFill="1" applyBorder="1" applyAlignment="1">
      <alignment horizontal="center" vertical="center"/>
    </xf>
    <xf numFmtId="0" fontId="0" fillId="15" borderId="10" xfId="0" applyFill="1" applyBorder="1" applyAlignment="1">
      <alignment horizontal="center" vertical="center"/>
    </xf>
    <xf numFmtId="0" fontId="0" fillId="15" borderId="35" xfId="0" applyFill="1" applyBorder="1" applyAlignment="1">
      <alignment horizontal="center" vertical="center"/>
    </xf>
    <xf numFmtId="0" fontId="0" fillId="15" borderId="11" xfId="0" applyFill="1" applyBorder="1" applyAlignment="1">
      <alignment horizontal="center" vertical="center"/>
    </xf>
    <xf numFmtId="0" fontId="0" fillId="15" borderId="12" xfId="0" applyFill="1" applyBorder="1" applyAlignment="1">
      <alignment horizontal="center" vertical="center"/>
    </xf>
    <xf numFmtId="0" fontId="0" fillId="15" borderId="32" xfId="0" applyFill="1" applyBorder="1" applyAlignment="1">
      <alignment horizontal="center" vertical="center"/>
    </xf>
    <xf numFmtId="0" fontId="0" fillId="15" borderId="34" xfId="0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 wrapText="1"/>
    </xf>
    <xf numFmtId="0" fontId="0" fillId="15" borderId="34" xfId="0" applyFill="1" applyBorder="1" applyAlignment="1">
      <alignment horizontal="center" vertical="center" wrapText="1"/>
    </xf>
    <xf numFmtId="0" fontId="0" fillId="15" borderId="35" xfId="0" applyFill="1" applyBorder="1" applyAlignment="1">
      <alignment horizontal="center" vertical="center" wrapText="1"/>
    </xf>
    <xf numFmtId="0" fontId="0" fillId="15" borderId="11" xfId="0" applyFill="1" applyBorder="1" applyAlignment="1">
      <alignment horizontal="center" vertical="center" wrapText="1"/>
    </xf>
    <xf numFmtId="0" fontId="0" fillId="15" borderId="32" xfId="0" applyFill="1" applyBorder="1" applyAlignment="1">
      <alignment horizontal="center" vertical="center" wrapText="1"/>
    </xf>
    <xf numFmtId="0" fontId="4" fillId="4" borderId="57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67" xfId="0" applyFont="1" applyFill="1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15" borderId="4" xfId="0" applyFill="1" applyBorder="1" applyAlignment="1">
      <alignment horizontal="center" vertical="center" wrapText="1"/>
    </xf>
    <xf numFmtId="0" fontId="0" fillId="15" borderId="29" xfId="0" applyFill="1" applyBorder="1" applyAlignment="1">
      <alignment horizontal="center" vertical="center"/>
    </xf>
    <xf numFmtId="0" fontId="0" fillId="15" borderId="30" xfId="0" applyFill="1" applyBorder="1" applyAlignment="1">
      <alignment horizontal="center" vertical="center"/>
    </xf>
    <xf numFmtId="0" fontId="0" fillId="2" borderId="35" xfId="0" applyFill="1" applyBorder="1" applyAlignment="1">
      <alignment horizontal="left" vertical="top"/>
    </xf>
    <xf numFmtId="0" fontId="0" fillId="2" borderId="32" xfId="0" applyFill="1" applyBorder="1" applyAlignment="1">
      <alignment horizontal="left" vertical="top"/>
    </xf>
    <xf numFmtId="0" fontId="0" fillId="15" borderId="34" xfId="0" applyFill="1" applyBorder="1" applyAlignment="1">
      <alignment horizontal="left" vertical="center"/>
    </xf>
    <xf numFmtId="0" fontId="0" fillId="15" borderId="10" xfId="0" applyFill="1" applyBorder="1" applyAlignment="1">
      <alignment horizontal="left" vertical="center"/>
    </xf>
    <xf numFmtId="0" fontId="0" fillId="15" borderId="35" xfId="0" applyFill="1" applyBorder="1" applyAlignment="1">
      <alignment horizontal="left" vertical="center"/>
    </xf>
    <xf numFmtId="0" fontId="0" fillId="15" borderId="11" xfId="0" applyFill="1" applyBorder="1" applyAlignment="1">
      <alignment horizontal="left" vertical="center"/>
    </xf>
    <xf numFmtId="0" fontId="0" fillId="15" borderId="12" xfId="0" applyFill="1" applyBorder="1" applyAlignment="1">
      <alignment horizontal="left" vertical="center"/>
    </xf>
    <xf numFmtId="0" fontId="0" fillId="15" borderId="32" xfId="0" applyFill="1" applyBorder="1" applyAlignment="1">
      <alignment horizontal="left" vertical="center"/>
    </xf>
    <xf numFmtId="0" fontId="0" fillId="4" borderId="36" xfId="0" applyFill="1" applyBorder="1" applyAlignment="1">
      <alignment horizontal="center"/>
    </xf>
    <xf numFmtId="166" fontId="0" fillId="2" borderId="29" xfId="0" applyNumberFormat="1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4" fillId="4" borderId="36" xfId="0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4" borderId="34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3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15" borderId="5" xfId="0" applyFill="1" applyBorder="1" applyAlignment="1">
      <alignment horizontal="left" vertical="center"/>
    </xf>
    <xf numFmtId="0" fontId="0" fillId="15" borderId="0" xfId="0" applyFill="1" applyAlignment="1">
      <alignment horizontal="left" vertical="center"/>
    </xf>
    <xf numFmtId="0" fontId="0" fillId="15" borderId="28" xfId="0" applyFill="1" applyBorder="1" applyAlignment="1">
      <alignment horizontal="left" vertical="center"/>
    </xf>
    <xf numFmtId="0" fontId="4" fillId="4" borderId="51" xfId="0" applyFont="1" applyFill="1" applyBorder="1" applyAlignment="1">
      <alignment horizontal="center" vertical="center"/>
    </xf>
    <xf numFmtId="0" fontId="4" fillId="4" borderId="43" xfId="0" applyFont="1" applyFill="1" applyBorder="1" applyAlignment="1">
      <alignment horizontal="center" vertical="center"/>
    </xf>
    <xf numFmtId="0" fontId="4" fillId="4" borderId="52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2" borderId="34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35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28" xfId="0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32" xfId="0" applyFill="1" applyBorder="1" applyAlignment="1">
      <alignment horizontal="left" vertical="center"/>
    </xf>
    <xf numFmtId="0" fontId="0" fillId="0" borderId="4" xfId="0" quotePrefix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6" fontId="0" fillId="0" borderId="29" xfId="0" applyNumberFormat="1" applyBorder="1" applyAlignment="1">
      <alignment horizontal="center"/>
    </xf>
    <xf numFmtId="166" fontId="0" fillId="0" borderId="4" xfId="1" applyNumberFormat="1" applyFont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0" fontId="0" fillId="4" borderId="68" xfId="0" applyFill="1" applyBorder="1" applyAlignment="1">
      <alignment horizontal="center" vertical="center"/>
    </xf>
    <xf numFmtId="166" fontId="0" fillId="2" borderId="33" xfId="0" applyNumberFormat="1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15" borderId="5" xfId="0" applyFill="1" applyBorder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5" borderId="28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22" fillId="4" borderId="4" xfId="0" applyFont="1" applyFill="1" applyBorder="1" applyAlignment="1">
      <alignment horizontal="center" vertical="center" wrapText="1"/>
    </xf>
    <xf numFmtId="166" fontId="0" fillId="0" borderId="4" xfId="0" applyNumberFormat="1" applyBorder="1" applyAlignment="1">
      <alignment horizontal="center"/>
    </xf>
    <xf numFmtId="166" fontId="0" fillId="2" borderId="4" xfId="1" applyNumberFormat="1" applyFont="1" applyFill="1" applyBorder="1" applyAlignment="1">
      <alignment horizontal="center" vertical="center"/>
    </xf>
    <xf numFmtId="0" fontId="4" fillId="2" borderId="4" xfId="0" quotePrefix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166" fontId="4" fillId="2" borderId="31" xfId="0" quotePrefix="1" applyNumberFormat="1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/>
    </xf>
    <xf numFmtId="0" fontId="0" fillId="0" borderId="31" xfId="0" quotePrefix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28" xfId="0" applyFont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 vertical="center"/>
    </xf>
    <xf numFmtId="14" fontId="0" fillId="15" borderId="4" xfId="0" quotePrefix="1" applyNumberFormat="1" applyFill="1" applyBorder="1" applyAlignment="1">
      <alignment horizontal="center"/>
    </xf>
    <xf numFmtId="166" fontId="0" fillId="15" borderId="34" xfId="1" applyNumberFormat="1" applyFont="1" applyFill="1" applyBorder="1" applyAlignment="1">
      <alignment horizontal="center" vertical="center"/>
    </xf>
    <xf numFmtId="166" fontId="0" fillId="15" borderId="10" xfId="1" applyNumberFormat="1" applyFont="1" applyFill="1" applyBorder="1" applyAlignment="1">
      <alignment horizontal="center" vertical="center"/>
    </xf>
    <xf numFmtId="166" fontId="0" fillId="15" borderId="35" xfId="1" applyNumberFormat="1" applyFont="1" applyFill="1" applyBorder="1" applyAlignment="1">
      <alignment horizontal="center" vertical="center"/>
    </xf>
    <xf numFmtId="166" fontId="0" fillId="15" borderId="11" xfId="1" applyNumberFormat="1" applyFont="1" applyFill="1" applyBorder="1" applyAlignment="1">
      <alignment horizontal="center" vertical="center"/>
    </xf>
    <xf numFmtId="166" fontId="0" fillId="15" borderId="12" xfId="1" applyNumberFormat="1" applyFont="1" applyFill="1" applyBorder="1" applyAlignment="1">
      <alignment horizontal="center" vertical="center"/>
    </xf>
    <xf numFmtId="166" fontId="0" fillId="15" borderId="32" xfId="1" applyNumberFormat="1" applyFont="1" applyFill="1" applyBorder="1" applyAlignment="1">
      <alignment horizontal="center" vertical="center"/>
    </xf>
    <xf numFmtId="0" fontId="0" fillId="0" borderId="29" xfId="0" quotePrefix="1" applyBorder="1" applyAlignment="1">
      <alignment horizontal="center"/>
    </xf>
    <xf numFmtId="0" fontId="0" fillId="2" borderId="5" xfId="0" applyFill="1" applyBorder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2" borderId="28" xfId="0" applyFill="1" applyBorder="1" applyAlignment="1">
      <alignment horizontal="left" vertical="top"/>
    </xf>
    <xf numFmtId="0" fontId="0" fillId="0" borderId="11" xfId="0" quotePrefix="1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0" fillId="0" borderId="32" xfId="0" quotePrefix="1" applyBorder="1" applyAlignment="1">
      <alignment horizontal="center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32" xfId="0" applyFill="1" applyBorder="1" applyAlignment="1">
      <alignment horizontal="left"/>
    </xf>
    <xf numFmtId="166" fontId="4" fillId="0" borderId="4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4" borderId="37" xfId="0" applyFont="1" applyFill="1" applyBorder="1" applyAlignment="1">
      <alignment horizontal="center" vertical="center"/>
    </xf>
    <xf numFmtId="0" fontId="0" fillId="15" borderId="5" xfId="0" applyFill="1" applyBorder="1" applyAlignment="1">
      <alignment horizontal="left" vertical="top"/>
    </xf>
    <xf numFmtId="0" fontId="0" fillId="15" borderId="0" xfId="0" applyFill="1" applyAlignment="1">
      <alignment horizontal="left" vertical="top"/>
    </xf>
    <xf numFmtId="0" fontId="0" fillId="15" borderId="28" xfId="0" applyFill="1" applyBorder="1" applyAlignment="1">
      <alignment horizontal="left" vertical="top"/>
    </xf>
    <xf numFmtId="0" fontId="0" fillId="15" borderId="11" xfId="0" applyFill="1" applyBorder="1" applyAlignment="1">
      <alignment horizontal="left" vertical="top"/>
    </xf>
    <xf numFmtId="0" fontId="0" fillId="15" borderId="12" xfId="0" applyFill="1" applyBorder="1" applyAlignment="1">
      <alignment horizontal="left" vertical="top"/>
    </xf>
    <xf numFmtId="0" fontId="0" fillId="15" borderId="32" xfId="0" applyFill="1" applyBorder="1" applyAlignment="1">
      <alignment horizontal="left" vertical="top"/>
    </xf>
    <xf numFmtId="0" fontId="0" fillId="15" borderId="34" xfId="0" applyFill="1" applyBorder="1" applyAlignment="1">
      <alignment horizontal="left" vertical="top"/>
    </xf>
    <xf numFmtId="0" fontId="0" fillId="15" borderId="10" xfId="0" applyFill="1" applyBorder="1" applyAlignment="1">
      <alignment horizontal="left" vertical="top"/>
    </xf>
    <xf numFmtId="0" fontId="0" fillId="15" borderId="35" xfId="0" applyFill="1" applyBorder="1" applyAlignment="1">
      <alignment horizontal="left" vertical="top"/>
    </xf>
    <xf numFmtId="0" fontId="0" fillId="15" borderId="11" xfId="0" applyFill="1" applyBorder="1" applyAlignment="1">
      <alignment horizontal="left"/>
    </xf>
    <xf numFmtId="0" fontId="0" fillId="15" borderId="12" xfId="0" applyFill="1" applyBorder="1" applyAlignment="1">
      <alignment horizontal="left"/>
    </xf>
    <xf numFmtId="0" fontId="0" fillId="15" borderId="32" xfId="0" applyFill="1" applyBorder="1" applyAlignment="1">
      <alignment horizontal="left"/>
    </xf>
    <xf numFmtId="0" fontId="20" fillId="5" borderId="0" xfId="0" applyFont="1" applyFill="1" applyAlignment="1">
      <alignment horizontal="center" vertical="center"/>
    </xf>
    <xf numFmtId="0" fontId="22" fillId="4" borderId="40" xfId="0" applyFont="1" applyFill="1" applyBorder="1" applyAlignment="1">
      <alignment horizontal="center" vertical="center" wrapText="1"/>
    </xf>
    <xf numFmtId="0" fontId="22" fillId="4" borderId="35" xfId="0" applyFont="1" applyFill="1" applyBorder="1" applyAlignment="1">
      <alignment horizontal="center" vertical="center" wrapText="1"/>
    </xf>
    <xf numFmtId="0" fontId="22" fillId="4" borderId="44" xfId="0" applyFont="1" applyFill="1" applyBorder="1" applyAlignment="1">
      <alignment horizontal="center" vertical="center" wrapText="1"/>
    </xf>
    <xf numFmtId="0" fontId="22" fillId="4" borderId="28" xfId="0" applyFont="1" applyFill="1" applyBorder="1" applyAlignment="1">
      <alignment horizontal="center" vertical="center" wrapText="1"/>
    </xf>
    <xf numFmtId="0" fontId="22" fillId="4" borderId="34" xfId="0" applyFont="1" applyFill="1" applyBorder="1" applyAlignment="1">
      <alignment horizontal="center" vertical="center" wrapText="1"/>
    </xf>
    <xf numFmtId="0" fontId="22" fillId="4" borderId="10" xfId="0" applyFont="1" applyFill="1" applyBorder="1" applyAlignment="1">
      <alignment horizontal="center" vertical="center" wrapText="1"/>
    </xf>
    <xf numFmtId="0" fontId="22" fillId="4" borderId="5" xfId="0" applyFont="1" applyFill="1" applyBorder="1" applyAlignment="1">
      <alignment horizontal="center" vertical="center" wrapText="1"/>
    </xf>
    <xf numFmtId="0" fontId="22" fillId="4" borderId="0" xfId="0" applyFont="1" applyFill="1" applyAlignment="1">
      <alignment horizontal="center" vertical="center" wrapText="1"/>
    </xf>
    <xf numFmtId="0" fontId="22" fillId="4" borderId="11" xfId="0" applyFont="1" applyFill="1" applyBorder="1" applyAlignment="1">
      <alignment horizontal="center" vertical="center" wrapText="1"/>
    </xf>
    <xf numFmtId="0" fontId="22" fillId="4" borderId="12" xfId="0" applyFont="1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top"/>
    </xf>
    <xf numFmtId="0" fontId="0" fillId="0" borderId="37" xfId="0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37" xfId="0" quotePrefix="1" applyBorder="1" applyAlignment="1">
      <alignment horizontal="center"/>
    </xf>
    <xf numFmtId="0" fontId="0" fillId="0" borderId="42" xfId="0" quotePrefix="1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15" borderId="37" xfId="0" quotePrefix="1" applyFill="1" applyBorder="1" applyAlignment="1">
      <alignment horizontal="center" vertical="center"/>
    </xf>
    <xf numFmtId="0" fontId="0" fillId="15" borderId="1" xfId="0" applyFill="1" applyBorder="1" applyAlignment="1">
      <alignment horizontal="left" vertical="center"/>
    </xf>
    <xf numFmtId="0" fontId="0" fillId="15" borderId="2" xfId="0" applyFill="1" applyBorder="1" applyAlignment="1">
      <alignment horizontal="left" vertical="center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22" fillId="4" borderId="37" xfId="0" applyFont="1" applyFill="1" applyBorder="1" applyAlignment="1">
      <alignment horizontal="center" vertical="center" wrapText="1"/>
    </xf>
    <xf numFmtId="0" fontId="0" fillId="15" borderId="37" xfId="0" applyFill="1" applyBorder="1" applyAlignment="1">
      <alignment horizontal="center" vertical="center"/>
    </xf>
    <xf numFmtId="166" fontId="0" fillId="15" borderId="37" xfId="1" applyNumberFormat="1" applyFont="1" applyFill="1" applyBorder="1" applyAlignment="1">
      <alignment horizontal="center" vertical="center"/>
    </xf>
    <xf numFmtId="166" fontId="0" fillId="0" borderId="37" xfId="1" applyNumberFormat="1" applyFon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0" fontId="0" fillId="4" borderId="37" xfId="0" applyFill="1" applyBorder="1" applyAlignment="1">
      <alignment horizontal="center"/>
    </xf>
    <xf numFmtId="0" fontId="0" fillId="4" borderId="45" xfId="0" applyFill="1" applyBorder="1" applyAlignment="1">
      <alignment horizontal="center"/>
    </xf>
    <xf numFmtId="0" fontId="0" fillId="4" borderId="50" xfId="0" applyFill="1" applyBorder="1" applyAlignment="1">
      <alignment horizontal="center"/>
    </xf>
    <xf numFmtId="0" fontId="0" fillId="4" borderId="49" xfId="0" applyFill="1" applyBorder="1" applyAlignment="1">
      <alignment horizontal="center"/>
    </xf>
    <xf numFmtId="0" fontId="0" fillId="15" borderId="46" xfId="0" applyFill="1" applyBorder="1" applyAlignment="1">
      <alignment horizontal="center" vertical="center"/>
    </xf>
    <xf numFmtId="0" fontId="0" fillId="0" borderId="46" xfId="0" applyBorder="1" applyAlignment="1">
      <alignment horizontal="center"/>
    </xf>
    <xf numFmtId="0" fontId="4" fillId="4" borderId="51" xfId="0" applyFont="1" applyFill="1" applyBorder="1" applyAlignment="1">
      <alignment horizontal="center" vertical="center" wrapText="1"/>
    </xf>
    <xf numFmtId="0" fontId="4" fillId="4" borderId="43" xfId="0" applyFont="1" applyFill="1" applyBorder="1" applyAlignment="1">
      <alignment horizontal="center" vertical="center" wrapText="1"/>
    </xf>
    <xf numFmtId="0" fontId="4" fillId="4" borderId="52" xfId="0" applyFont="1" applyFill="1" applyBorder="1" applyAlignment="1">
      <alignment horizontal="center" vertical="center" wrapText="1"/>
    </xf>
    <xf numFmtId="0" fontId="0" fillId="0" borderId="40" xfId="0" quotePrefix="1" applyBorder="1" applyAlignment="1">
      <alignment horizontal="center"/>
    </xf>
    <xf numFmtId="0" fontId="0" fillId="0" borderId="34" xfId="0" quotePrefix="1" applyBorder="1" applyAlignment="1">
      <alignment horizontal="center"/>
    </xf>
    <xf numFmtId="0" fontId="0" fillId="0" borderId="35" xfId="0" quotePrefix="1" applyBorder="1" applyAlignment="1">
      <alignment horizontal="center"/>
    </xf>
    <xf numFmtId="0" fontId="0" fillId="0" borderId="34" xfId="0" quotePrefix="1" applyBorder="1" applyAlignment="1">
      <alignment horizontal="center" vertical="center"/>
    </xf>
    <xf numFmtId="0" fontId="0" fillId="0" borderId="10" xfId="0" quotePrefix="1" applyBorder="1" applyAlignment="1">
      <alignment horizontal="center" vertical="center"/>
    </xf>
    <xf numFmtId="0" fontId="0" fillId="0" borderId="35" xfId="0" quotePrefix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4" fillId="4" borderId="40" xfId="0" applyFont="1" applyFill="1" applyBorder="1" applyAlignment="1">
      <alignment horizontal="center" vertical="center"/>
    </xf>
    <xf numFmtId="0" fontId="4" fillId="4" borderId="44" xfId="0" applyFont="1" applyFill="1" applyBorder="1" applyAlignment="1">
      <alignment horizontal="center" vertical="center"/>
    </xf>
    <xf numFmtId="0" fontId="4" fillId="4" borderId="41" xfId="0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4" fillId="4" borderId="36" xfId="0" applyFont="1" applyFill="1" applyBorder="1" applyAlignment="1">
      <alignment horizontal="center" vertical="center"/>
    </xf>
    <xf numFmtId="0" fontId="4" fillId="4" borderId="37" xfId="0" applyFont="1" applyFill="1" applyBorder="1" applyAlignment="1">
      <alignment horizontal="center"/>
    </xf>
    <xf numFmtId="0" fontId="4" fillId="2" borderId="37" xfId="0" applyFont="1" applyFill="1" applyBorder="1" applyAlignment="1">
      <alignment horizontal="center"/>
    </xf>
    <xf numFmtId="0" fontId="0" fillId="0" borderId="0" xfId="0" quotePrefix="1" applyAlignment="1">
      <alignment horizontal="center"/>
    </xf>
    <xf numFmtId="0" fontId="22" fillId="4" borderId="57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2" fillId="4" borderId="58" xfId="0" applyFont="1" applyFill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center" vertical="center" wrapText="1"/>
    </xf>
    <xf numFmtId="0" fontId="0" fillId="3" borderId="11" xfId="0" quotePrefix="1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5" xfId="0" quotePrefix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12" fillId="2" borderId="29" xfId="0" applyFont="1" applyFill="1" applyBorder="1" applyAlignment="1">
      <alignment horizontal="center"/>
    </xf>
    <xf numFmtId="0" fontId="12" fillId="2" borderId="33" xfId="0" applyFont="1" applyFill="1" applyBorder="1" applyAlignment="1">
      <alignment horizontal="center"/>
    </xf>
    <xf numFmtId="0" fontId="12" fillId="2" borderId="30" xfId="0" applyFont="1" applyFill="1" applyBorder="1" applyAlignment="1">
      <alignment horizontal="center"/>
    </xf>
    <xf numFmtId="0" fontId="0" fillId="4" borderId="5" xfId="0" quotePrefix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5" xfId="0" quotePrefix="1" applyFill="1" applyBorder="1" applyAlignment="1">
      <alignment horizontal="center" vertical="center"/>
    </xf>
    <xf numFmtId="0" fontId="0" fillId="2" borderId="5" xfId="0" quotePrefix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56" xfId="0" quotePrefix="1" applyBorder="1" applyAlignment="1">
      <alignment horizontal="center" vertical="center"/>
    </xf>
    <xf numFmtId="0" fontId="0" fillId="0" borderId="48" xfId="0" quotePrefix="1" applyBorder="1" applyAlignment="1">
      <alignment horizontal="center" vertical="center"/>
    </xf>
    <xf numFmtId="0" fontId="4" fillId="0" borderId="46" xfId="0" applyFont="1" applyBorder="1" applyAlignment="1">
      <alignment vertical="center"/>
    </xf>
    <xf numFmtId="0" fontId="4" fillId="0" borderId="47" xfId="0" applyFont="1" applyBorder="1" applyAlignment="1">
      <alignment vertical="center"/>
    </xf>
    <xf numFmtId="0" fontId="4" fillId="0" borderId="48" xfId="0" applyFont="1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47" xfId="0" applyBorder="1" applyAlignment="1">
      <alignment vertical="center"/>
    </xf>
    <xf numFmtId="0" fontId="0" fillId="0" borderId="48" xfId="0" applyBorder="1" applyAlignment="1">
      <alignment vertical="center"/>
    </xf>
    <xf numFmtId="0" fontId="4" fillId="0" borderId="37" xfId="0" applyFont="1" applyBorder="1" applyAlignment="1">
      <alignment horizontal="left" vertical="center"/>
    </xf>
    <xf numFmtId="0" fontId="0" fillId="0" borderId="55" xfId="0" applyBorder="1" applyAlignment="1">
      <alignment horizontal="center"/>
    </xf>
    <xf numFmtId="0" fontId="0" fillId="0" borderId="37" xfId="0" applyBorder="1" applyAlignment="1">
      <alignment horizontal="left" vertical="center"/>
    </xf>
    <xf numFmtId="0" fontId="0" fillId="8" borderId="37" xfId="0" applyFill="1" applyBorder="1" applyAlignment="1">
      <alignment horizontal="center" vertical="center"/>
    </xf>
    <xf numFmtId="0" fontId="4" fillId="8" borderId="37" xfId="0" applyFont="1" applyFill="1" applyBorder="1" applyAlignment="1">
      <alignment horizontal="left" vertical="center"/>
    </xf>
    <xf numFmtId="0" fontId="0" fillId="8" borderId="37" xfId="0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0" borderId="37" xfId="0" applyBorder="1" applyAlignment="1">
      <alignment horizontal="left" vertical="center" wrapText="1"/>
    </xf>
    <xf numFmtId="0" fontId="0" fillId="8" borderId="56" xfId="0" quotePrefix="1" applyFill="1" applyBorder="1" applyAlignment="1">
      <alignment horizontal="center" vertical="center"/>
    </xf>
    <xf numFmtId="0" fontId="0" fillId="8" borderId="48" xfId="0" quotePrefix="1" applyFill="1" applyBorder="1" applyAlignment="1">
      <alignment horizontal="center" vertical="center"/>
    </xf>
    <xf numFmtId="0" fontId="4" fillId="8" borderId="46" xfId="0" applyFont="1" applyFill="1" applyBorder="1" applyAlignment="1">
      <alignment vertical="center"/>
    </xf>
    <xf numFmtId="0" fontId="4" fillId="8" borderId="47" xfId="0" applyFont="1" applyFill="1" applyBorder="1" applyAlignment="1">
      <alignment vertical="center"/>
    </xf>
    <xf numFmtId="0" fontId="4" fillId="8" borderId="48" xfId="0" applyFont="1" applyFill="1" applyBorder="1" applyAlignment="1">
      <alignment vertical="center"/>
    </xf>
    <xf numFmtId="0" fontId="0" fillId="0" borderId="46" xfId="0" applyBorder="1" applyAlignment="1">
      <alignment vertical="center" wrapText="1"/>
    </xf>
    <xf numFmtId="0" fontId="0" fillId="0" borderId="47" xfId="0" applyBorder="1" applyAlignment="1">
      <alignment vertical="center" wrapText="1"/>
    </xf>
    <xf numFmtId="0" fontId="0" fillId="0" borderId="48" xfId="0" applyBorder="1" applyAlignment="1">
      <alignment vertical="center" wrapText="1"/>
    </xf>
    <xf numFmtId="0" fontId="0" fillId="0" borderId="46" xfId="0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0" fillId="0" borderId="48" xfId="0" applyBorder="1" applyAlignment="1">
      <alignment horizontal="left" vertical="center"/>
    </xf>
    <xf numFmtId="0" fontId="0" fillId="0" borderId="31" xfId="0" quotePrefix="1" applyBorder="1" applyAlignment="1">
      <alignment horizontal="center" vertical="center"/>
    </xf>
    <xf numFmtId="0" fontId="0" fillId="8" borderId="37" xfId="0" quotePrefix="1" applyFill="1" applyBorder="1" applyAlignment="1">
      <alignment horizontal="center" vertical="center"/>
    </xf>
    <xf numFmtId="0" fontId="4" fillId="8" borderId="45" xfId="0" quotePrefix="1" applyFont="1" applyFill="1" applyBorder="1" applyAlignment="1">
      <alignment horizontal="left" vertical="center"/>
    </xf>
    <xf numFmtId="0" fontId="4" fillId="8" borderId="45" xfId="0" applyFont="1" applyFill="1" applyBorder="1" applyAlignment="1">
      <alignment horizontal="left" vertical="center"/>
    </xf>
    <xf numFmtId="0" fontId="4" fillId="8" borderId="45" xfId="0" quotePrefix="1" applyFont="1" applyFill="1" applyBorder="1" applyAlignment="1">
      <alignment horizontal="center" vertical="center"/>
    </xf>
    <xf numFmtId="0" fontId="4" fillId="8" borderId="60" xfId="0" quotePrefix="1" applyFont="1" applyFill="1" applyBorder="1" applyAlignment="1">
      <alignment horizontal="center" vertical="center"/>
    </xf>
    <xf numFmtId="0" fontId="0" fillId="7" borderId="37" xfId="0" quotePrefix="1" applyFill="1" applyBorder="1" applyAlignment="1">
      <alignment horizontal="center"/>
    </xf>
    <xf numFmtId="0" fontId="0" fillId="0" borderId="55" xfId="0" quotePrefix="1" applyBorder="1" applyAlignment="1">
      <alignment horizontal="center"/>
    </xf>
    <xf numFmtId="0" fontId="4" fillId="4" borderId="57" xfId="0" applyFont="1" applyFill="1" applyBorder="1" applyAlignment="1">
      <alignment horizontal="center" vertical="center" wrapText="1"/>
    </xf>
    <xf numFmtId="0" fontId="4" fillId="4" borderId="39" xfId="0" applyFont="1" applyFill="1" applyBorder="1" applyAlignment="1">
      <alignment horizontal="center" vertical="center" wrapText="1"/>
    </xf>
    <xf numFmtId="0" fontId="4" fillId="4" borderId="38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44" xfId="0" applyFont="1" applyFill="1" applyBorder="1" applyAlignment="1">
      <alignment horizontal="center" vertical="center" wrapText="1"/>
    </xf>
    <xf numFmtId="0" fontId="4" fillId="4" borderId="37" xfId="0" applyFont="1" applyFill="1" applyBorder="1" applyAlignment="1">
      <alignment horizontal="center" vertical="center" wrapText="1"/>
    </xf>
    <xf numFmtId="0" fontId="4" fillId="4" borderId="42" xfId="0" applyFont="1" applyFill="1" applyBorder="1" applyAlignment="1">
      <alignment horizontal="center" vertical="center" wrapText="1"/>
    </xf>
    <xf numFmtId="0" fontId="4" fillId="4" borderId="55" xfId="0" applyFont="1" applyFill="1" applyBorder="1" applyAlignment="1">
      <alignment horizontal="center" vertical="center" wrapText="1"/>
    </xf>
    <xf numFmtId="0" fontId="4" fillId="4" borderId="59" xfId="0" applyFont="1" applyFill="1" applyBorder="1" applyAlignment="1">
      <alignment horizontal="center" vertical="center" wrapText="1"/>
    </xf>
    <xf numFmtId="0" fontId="4" fillId="8" borderId="56" xfId="0" quotePrefix="1" applyFont="1" applyFill="1" applyBorder="1" applyAlignment="1">
      <alignment horizontal="center"/>
    </xf>
    <xf numFmtId="0" fontId="4" fillId="8" borderId="48" xfId="0" quotePrefix="1" applyFont="1" applyFill="1" applyBorder="1" applyAlignment="1">
      <alignment horizontal="center"/>
    </xf>
    <xf numFmtId="0" fontId="4" fillId="8" borderId="46" xfId="0" quotePrefix="1" applyFont="1" applyFill="1" applyBorder="1" applyAlignment="1">
      <alignment vertical="center" wrapText="1"/>
    </xf>
    <xf numFmtId="0" fontId="4" fillId="8" borderId="47" xfId="0" quotePrefix="1" applyFont="1" applyFill="1" applyBorder="1" applyAlignment="1">
      <alignment vertical="center" wrapText="1"/>
    </xf>
    <xf numFmtId="0" fontId="4" fillId="8" borderId="48" xfId="0" quotePrefix="1" applyFont="1" applyFill="1" applyBorder="1" applyAlignment="1">
      <alignment vertical="center" wrapText="1"/>
    </xf>
    <xf numFmtId="0" fontId="0" fillId="0" borderId="46" xfId="0" quotePrefix="1" applyBorder="1"/>
    <xf numFmtId="0" fontId="0" fillId="0" borderId="47" xfId="0" quotePrefix="1" applyBorder="1"/>
    <xf numFmtId="0" fontId="0" fillId="0" borderId="48" xfId="0" quotePrefix="1" applyBorder="1"/>
    <xf numFmtId="0" fontId="0" fillId="0" borderId="46" xfId="0" quotePrefix="1" applyBorder="1" applyAlignment="1">
      <alignment horizontal="center"/>
    </xf>
    <xf numFmtId="0" fontId="0" fillId="0" borderId="47" xfId="0" quotePrefix="1" applyBorder="1" applyAlignment="1">
      <alignment horizontal="center"/>
    </xf>
    <xf numFmtId="0" fontId="0" fillId="0" borderId="48" xfId="0" quotePrefix="1" applyBorder="1" applyAlignment="1">
      <alignment horizontal="center"/>
    </xf>
    <xf numFmtId="0" fontId="0" fillId="0" borderId="46" xfId="0" quotePrefix="1" applyBorder="1" applyAlignment="1">
      <alignment vertical="center" wrapText="1"/>
    </xf>
    <xf numFmtId="0" fontId="0" fillId="0" borderId="47" xfId="0" quotePrefix="1" applyBorder="1" applyAlignment="1">
      <alignment vertical="center" wrapText="1"/>
    </xf>
    <xf numFmtId="0" fontId="0" fillId="0" borderId="48" xfId="0" quotePrefix="1" applyBorder="1" applyAlignment="1">
      <alignment vertical="center" wrapText="1"/>
    </xf>
    <xf numFmtId="0" fontId="0" fillId="7" borderId="46" xfId="0" quotePrefix="1" applyFill="1" applyBorder="1"/>
    <xf numFmtId="0" fontId="0" fillId="7" borderId="47" xfId="0" quotePrefix="1" applyFill="1" applyBorder="1"/>
    <xf numFmtId="0" fontId="0" fillId="7" borderId="48" xfId="0" quotePrefix="1" applyFill="1" applyBorder="1"/>
    <xf numFmtId="0" fontId="0" fillId="7" borderId="46" xfId="0" quotePrefix="1" applyFill="1" applyBorder="1" applyAlignment="1">
      <alignment horizontal="center"/>
    </xf>
    <xf numFmtId="0" fontId="0" fillId="7" borderId="47" xfId="0" quotePrefix="1" applyFill="1" applyBorder="1" applyAlignment="1">
      <alignment horizontal="center"/>
    </xf>
    <xf numFmtId="0" fontId="0" fillId="7" borderId="48" xfId="0" quotePrefix="1" applyFill="1" applyBorder="1" applyAlignment="1">
      <alignment horizontal="center"/>
    </xf>
    <xf numFmtId="0" fontId="0" fillId="7" borderId="55" xfId="0" quotePrefix="1" applyFill="1" applyBorder="1" applyAlignment="1">
      <alignment horizontal="center"/>
    </xf>
    <xf numFmtId="0" fontId="16" fillId="0" borderId="46" xfId="0" quotePrefix="1" applyFont="1" applyBorder="1" applyAlignment="1">
      <alignment vertical="top" wrapText="1"/>
    </xf>
    <xf numFmtId="0" fontId="16" fillId="0" borderId="47" xfId="0" quotePrefix="1" applyFont="1" applyBorder="1" applyAlignment="1">
      <alignment vertical="top" wrapText="1"/>
    </xf>
    <xf numFmtId="0" fontId="16" fillId="0" borderId="48" xfId="0" quotePrefix="1" applyFont="1" applyBorder="1" applyAlignment="1">
      <alignment vertical="top" wrapText="1"/>
    </xf>
    <xf numFmtId="0" fontId="0" fillId="8" borderId="56" xfId="0" quotePrefix="1" applyFill="1" applyBorder="1" applyAlignment="1">
      <alignment horizontal="center"/>
    </xf>
    <xf numFmtId="0" fontId="0" fillId="8" borderId="48" xfId="0" quotePrefix="1" applyFill="1" applyBorder="1" applyAlignment="1">
      <alignment horizontal="center"/>
    </xf>
    <xf numFmtId="0" fontId="4" fillId="8" borderId="46" xfId="0" quotePrefix="1" applyFont="1" applyFill="1" applyBorder="1" applyAlignment="1">
      <alignment horizontal="left" vertical="top"/>
    </xf>
    <xf numFmtId="0" fontId="4" fillId="8" borderId="47" xfId="0" quotePrefix="1" applyFont="1" applyFill="1" applyBorder="1" applyAlignment="1">
      <alignment horizontal="left" vertical="top"/>
    </xf>
    <xf numFmtId="0" fontId="4" fillId="8" borderId="48" xfId="0" quotePrefix="1" applyFont="1" applyFill="1" applyBorder="1" applyAlignment="1">
      <alignment horizontal="left" vertical="top"/>
    </xf>
    <xf numFmtId="0" fontId="0" fillId="0" borderId="56" xfId="0" quotePrefix="1" applyBorder="1" applyAlignment="1">
      <alignment horizontal="center"/>
    </xf>
    <xf numFmtId="0" fontId="0" fillId="0" borderId="53" xfId="0" quotePrefix="1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54" xfId="0" quotePrefix="1" applyBorder="1" applyAlignment="1">
      <alignment horizontal="center"/>
    </xf>
    <xf numFmtId="0" fontId="24" fillId="3" borderId="0" xfId="0" applyFont="1" applyFill="1" applyAlignment="1">
      <alignment horizontal="center"/>
    </xf>
    <xf numFmtId="0" fontId="26" fillId="5" borderId="0" xfId="0" applyFont="1" applyFill="1" applyAlignment="1">
      <alignment horizontal="center" vertical="center"/>
    </xf>
    <xf numFmtId="0" fontId="24" fillId="3" borderId="0" xfId="0" applyFont="1" applyFill="1" applyAlignment="1">
      <alignment horizontal="center" vertical="top"/>
    </xf>
    <xf numFmtId="0" fontId="22" fillId="4" borderId="39" xfId="0" applyFont="1" applyFill="1" applyBorder="1" applyAlignment="1">
      <alignment horizontal="center" vertical="center" wrapText="1"/>
    </xf>
    <xf numFmtId="0" fontId="22" fillId="4" borderId="43" xfId="0" applyFont="1" applyFill="1" applyBorder="1" applyAlignment="1">
      <alignment horizontal="center" vertical="center" wrapText="1"/>
    </xf>
    <xf numFmtId="0" fontId="22" fillId="4" borderId="54" xfId="0" applyFont="1" applyFill="1" applyBorder="1" applyAlignment="1">
      <alignment horizontal="center" vertical="center" wrapText="1"/>
    </xf>
    <xf numFmtId="0" fontId="22" fillId="4" borderId="38" xfId="0" applyFont="1" applyFill="1" applyBorder="1" applyAlignment="1">
      <alignment horizontal="center" vertical="center" wrapText="1"/>
    </xf>
    <xf numFmtId="0" fontId="22" fillId="4" borderId="53" xfId="0" applyFont="1" applyFill="1" applyBorder="1" applyAlignment="1">
      <alignment horizontal="center" vertical="center" wrapText="1"/>
    </xf>
    <xf numFmtId="0" fontId="22" fillId="4" borderId="55" xfId="0" applyFont="1" applyFill="1" applyBorder="1" applyAlignment="1">
      <alignment horizontal="center" vertical="center" wrapText="1"/>
    </xf>
    <xf numFmtId="0" fontId="0" fillId="8" borderId="58" xfId="0" quotePrefix="1" applyFill="1" applyBorder="1" applyAlignment="1">
      <alignment horizontal="center" vertical="center"/>
    </xf>
    <xf numFmtId="0" fontId="0" fillId="8" borderId="2" xfId="0" quotePrefix="1" applyFill="1" applyBorder="1" applyAlignment="1">
      <alignment horizontal="center" vertical="center"/>
    </xf>
    <xf numFmtId="0" fontId="0" fillId="2" borderId="37" xfId="0" quotePrefix="1" applyFill="1" applyBorder="1" applyAlignment="1">
      <alignment horizontal="center"/>
    </xf>
    <xf numFmtId="0" fontId="0" fillId="2" borderId="55" xfId="0" quotePrefix="1" applyFill="1" applyBorder="1" applyAlignment="1">
      <alignment horizontal="center"/>
    </xf>
    <xf numFmtId="0" fontId="0" fillId="2" borderId="46" xfId="0" quotePrefix="1" applyFill="1" applyBorder="1" applyAlignment="1">
      <alignment vertical="center" wrapText="1"/>
    </xf>
    <xf numFmtId="0" fontId="0" fillId="2" borderId="47" xfId="0" quotePrefix="1" applyFill="1" applyBorder="1" applyAlignment="1">
      <alignment vertical="center" wrapText="1"/>
    </xf>
    <xf numFmtId="0" fontId="0" fillId="2" borderId="48" xfId="0" quotePrefix="1" applyFill="1" applyBorder="1" applyAlignment="1">
      <alignment vertical="center" wrapText="1"/>
    </xf>
    <xf numFmtId="0" fontId="0" fillId="2" borderId="46" xfId="0" quotePrefix="1" applyFill="1" applyBorder="1"/>
    <xf numFmtId="0" fontId="0" fillId="2" borderId="47" xfId="0" quotePrefix="1" applyFill="1" applyBorder="1"/>
    <xf numFmtId="0" fontId="0" fillId="2" borderId="48" xfId="0" quotePrefix="1" applyFill="1" applyBorder="1"/>
    <xf numFmtId="0" fontId="0" fillId="2" borderId="46" xfId="0" quotePrefix="1" applyFill="1" applyBorder="1" applyAlignment="1">
      <alignment horizontal="center"/>
    </xf>
    <xf numFmtId="0" fontId="0" fillId="2" borderId="47" xfId="0" quotePrefix="1" applyFill="1" applyBorder="1" applyAlignment="1">
      <alignment horizontal="center"/>
    </xf>
    <xf numFmtId="0" fontId="0" fillId="2" borderId="48" xfId="0" quotePrefix="1" applyFill="1" applyBorder="1" applyAlignment="1">
      <alignment horizontal="center"/>
    </xf>
    <xf numFmtId="0" fontId="4" fillId="8" borderId="46" xfId="0" quotePrefix="1" applyFont="1" applyFill="1" applyBorder="1" applyAlignment="1">
      <alignment vertical="top" wrapText="1"/>
    </xf>
    <xf numFmtId="0" fontId="4" fillId="8" borderId="47" xfId="0" quotePrefix="1" applyFont="1" applyFill="1" applyBorder="1" applyAlignment="1">
      <alignment vertical="top" wrapText="1"/>
    </xf>
    <xf numFmtId="0" fontId="4" fillId="8" borderId="48" xfId="0" quotePrefix="1" applyFont="1" applyFill="1" applyBorder="1" applyAlignment="1">
      <alignment vertical="top" wrapText="1"/>
    </xf>
    <xf numFmtId="0" fontId="4" fillId="0" borderId="4" xfId="0" applyFont="1" applyBorder="1" applyAlignment="1">
      <alignment horizontal="left" vertical="center"/>
    </xf>
    <xf numFmtId="0" fontId="0" fillId="0" borderId="42" xfId="0" applyBorder="1" applyAlignment="1">
      <alignment horizontal="center" vertical="center"/>
    </xf>
    <xf numFmtId="0" fontId="0" fillId="0" borderId="42" xfId="0" applyBorder="1" applyAlignment="1">
      <alignment horizontal="left" vertical="center"/>
    </xf>
    <xf numFmtId="0" fontId="0" fillId="0" borderId="42" xfId="0" applyBorder="1" applyAlignment="1">
      <alignment horizontal="center"/>
    </xf>
    <xf numFmtId="0" fontId="0" fillId="0" borderId="59" xfId="0" applyBorder="1" applyAlignment="1">
      <alignment horizontal="center"/>
    </xf>
    <xf numFmtId="0" fontId="25" fillId="8" borderId="56" xfId="0" quotePrefix="1" applyFont="1" applyFill="1" applyBorder="1" applyAlignment="1">
      <alignment horizontal="center" vertical="center"/>
    </xf>
    <xf numFmtId="0" fontId="25" fillId="8" borderId="48" xfId="0" quotePrefix="1" applyFont="1" applyFill="1" applyBorder="1" applyAlignment="1">
      <alignment horizontal="center" vertical="center"/>
    </xf>
    <xf numFmtId="0" fontId="0" fillId="4" borderId="61" xfId="0" applyFill="1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1" xfId="0" quotePrefix="1" applyBorder="1" applyAlignment="1">
      <alignment horizontal="center"/>
    </xf>
    <xf numFmtId="0" fontId="22" fillId="4" borderId="61" xfId="0" applyFont="1" applyFill="1" applyBorder="1" applyAlignment="1">
      <alignment horizontal="center" vertical="center" wrapText="1"/>
    </xf>
    <xf numFmtId="0" fontId="22" fillId="4" borderId="29" xfId="0" applyFont="1" applyFill="1" applyBorder="1" applyAlignment="1">
      <alignment horizontal="center" vertical="center" wrapText="1"/>
    </xf>
    <xf numFmtId="0" fontId="22" fillId="4" borderId="63" xfId="0" applyFont="1" applyFill="1" applyBorder="1" applyAlignment="1">
      <alignment horizontal="center" vertical="center" wrapText="1"/>
    </xf>
    <xf numFmtId="0" fontId="4" fillId="4" borderId="42" xfId="0" applyFont="1" applyFill="1" applyBorder="1" applyAlignment="1">
      <alignment horizontal="center" vertical="center"/>
    </xf>
    <xf numFmtId="0" fontId="22" fillId="4" borderId="62" xfId="0" applyFont="1" applyFill="1" applyBorder="1" applyAlignment="1">
      <alignment horizontal="center" vertical="center" wrapText="1"/>
    </xf>
    <xf numFmtId="166" fontId="0" fillId="2" borderId="37" xfId="1" applyNumberFormat="1" applyFont="1" applyFill="1" applyBorder="1" applyAlignment="1">
      <alignment horizontal="center"/>
    </xf>
    <xf numFmtId="0" fontId="0" fillId="15" borderId="38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5" borderId="39" xfId="0" applyFill="1" applyBorder="1" applyAlignment="1">
      <alignment horizontal="center" vertical="center"/>
    </xf>
    <xf numFmtId="0" fontId="0" fillId="15" borderId="53" xfId="0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  <xf numFmtId="0" fontId="0" fillId="15" borderId="54" xfId="0" applyFill="1" applyBorder="1" applyAlignment="1">
      <alignment horizontal="center" vertical="center"/>
    </xf>
    <xf numFmtId="0" fontId="22" fillId="4" borderId="42" xfId="0" applyFont="1" applyFill="1" applyBorder="1" applyAlignment="1">
      <alignment horizontal="center" vertical="center" wrapText="1"/>
    </xf>
    <xf numFmtId="0" fontId="22" fillId="4" borderId="45" xfId="0" applyFont="1" applyFill="1" applyBorder="1" applyAlignment="1">
      <alignment horizontal="center" vertical="center" wrapText="1"/>
    </xf>
    <xf numFmtId="0" fontId="4" fillId="4" borderId="38" xfId="0" applyFont="1" applyFill="1" applyBorder="1" applyAlignment="1">
      <alignment horizontal="center" vertical="center"/>
    </xf>
    <xf numFmtId="0" fontId="4" fillId="4" borderId="39" xfId="0" applyFont="1" applyFill="1" applyBorder="1" applyAlignment="1">
      <alignment horizontal="center" vertical="center"/>
    </xf>
    <xf numFmtId="0" fontId="4" fillId="4" borderId="5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54" xfId="0" applyFont="1" applyFill="1" applyBorder="1" applyAlignment="1">
      <alignment horizontal="center" vertical="center"/>
    </xf>
    <xf numFmtId="0" fontId="0" fillId="0" borderId="46" xfId="0" quotePrefix="1" applyBorder="1" applyAlignment="1">
      <alignment horizontal="center" vertical="center"/>
    </xf>
    <xf numFmtId="0" fontId="0" fillId="0" borderId="47" xfId="0" quotePrefix="1" applyBorder="1" applyAlignment="1">
      <alignment horizontal="center" vertical="center"/>
    </xf>
    <xf numFmtId="0" fontId="0" fillId="0" borderId="37" xfId="0" quotePrefix="1" applyBorder="1" applyAlignment="1">
      <alignment horizontal="center" vertical="center"/>
    </xf>
    <xf numFmtId="0" fontId="4" fillId="4" borderId="37" xfId="0" applyFont="1" applyFill="1" applyBorder="1" applyAlignment="1">
      <alignment horizontal="left" vertical="center" wrapText="1"/>
    </xf>
    <xf numFmtId="166" fontId="0" fillId="15" borderId="37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4" xfId="0" applyBorder="1" applyAlignment="1">
      <alignment horizontal="center"/>
    </xf>
    <xf numFmtId="166" fontId="0" fillId="15" borderId="38" xfId="1" applyNumberFormat="1" applyFont="1" applyFill="1" applyBorder="1" applyAlignment="1">
      <alignment horizontal="center" vertical="center"/>
    </xf>
    <xf numFmtId="166" fontId="0" fillId="15" borderId="1" xfId="1" applyNumberFormat="1" applyFont="1" applyFill="1" applyBorder="1" applyAlignment="1">
      <alignment horizontal="center" vertical="center"/>
    </xf>
    <xf numFmtId="166" fontId="0" fillId="15" borderId="39" xfId="1" applyNumberFormat="1" applyFont="1" applyFill="1" applyBorder="1" applyAlignment="1">
      <alignment horizontal="center" vertical="center"/>
    </xf>
    <xf numFmtId="166" fontId="0" fillId="15" borderId="53" xfId="1" applyNumberFormat="1" applyFont="1" applyFill="1" applyBorder="1" applyAlignment="1">
      <alignment horizontal="center" vertical="center"/>
    </xf>
    <xf numFmtId="166" fontId="0" fillId="15" borderId="2" xfId="1" applyNumberFormat="1" applyFont="1" applyFill="1" applyBorder="1" applyAlignment="1">
      <alignment horizontal="center" vertical="center"/>
    </xf>
    <xf numFmtId="166" fontId="0" fillId="15" borderId="54" xfId="1" applyNumberFormat="1" applyFont="1" applyFill="1" applyBorder="1" applyAlignment="1">
      <alignment horizontal="center" vertical="center"/>
    </xf>
    <xf numFmtId="166" fontId="0" fillId="0" borderId="38" xfId="1" applyNumberFormat="1" applyFont="1" applyBorder="1" applyAlignment="1">
      <alignment horizontal="center"/>
    </xf>
    <xf numFmtId="166" fontId="0" fillId="0" borderId="1" xfId="1" applyNumberFormat="1" applyFont="1" applyBorder="1" applyAlignment="1">
      <alignment horizontal="center"/>
    </xf>
    <xf numFmtId="166" fontId="0" fillId="0" borderId="39" xfId="1" applyNumberFormat="1" applyFont="1" applyBorder="1" applyAlignment="1">
      <alignment horizontal="center"/>
    </xf>
    <xf numFmtId="166" fontId="0" fillId="0" borderId="44" xfId="1" applyNumberFormat="1" applyFont="1" applyBorder="1" applyAlignment="1">
      <alignment horizontal="center"/>
    </xf>
    <xf numFmtId="166" fontId="0" fillId="0" borderId="0" xfId="1" applyNumberFormat="1" applyFont="1" applyAlignment="1">
      <alignment horizontal="center"/>
    </xf>
    <xf numFmtId="166" fontId="0" fillId="0" borderId="43" xfId="1" applyNumberFormat="1" applyFont="1" applyBorder="1" applyAlignment="1">
      <alignment horizontal="center"/>
    </xf>
    <xf numFmtId="166" fontId="0" fillId="0" borderId="53" xfId="1" applyNumberFormat="1" applyFont="1" applyBorder="1" applyAlignment="1">
      <alignment horizontal="center"/>
    </xf>
    <xf numFmtId="166" fontId="0" fillId="0" borderId="2" xfId="1" applyNumberFormat="1" applyFont="1" applyBorder="1" applyAlignment="1">
      <alignment horizontal="center"/>
    </xf>
    <xf numFmtId="166" fontId="0" fillId="0" borderId="54" xfId="1" applyNumberFormat="1" applyFont="1" applyBorder="1" applyAlignment="1">
      <alignment horizontal="center"/>
    </xf>
    <xf numFmtId="0" fontId="0" fillId="4" borderId="38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39" xfId="0" applyFill="1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43" xfId="0" applyFill="1" applyBorder="1" applyAlignment="1">
      <alignment horizontal="center"/>
    </xf>
    <xf numFmtId="0" fontId="0" fillId="4" borderId="53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54" xfId="0" applyFill="1" applyBorder="1" applyAlignment="1">
      <alignment horizontal="center"/>
    </xf>
    <xf numFmtId="166" fontId="0" fillId="15" borderId="38" xfId="1" applyNumberFormat="1" applyFont="1" applyFill="1" applyBorder="1" applyAlignment="1">
      <alignment horizontal="center"/>
    </xf>
    <xf numFmtId="166" fontId="0" fillId="15" borderId="1" xfId="1" applyNumberFormat="1" applyFont="1" applyFill="1" applyBorder="1" applyAlignment="1">
      <alignment horizontal="center"/>
    </xf>
    <xf numFmtId="166" fontId="0" fillId="15" borderId="39" xfId="1" applyNumberFormat="1" applyFont="1" applyFill="1" applyBorder="1" applyAlignment="1">
      <alignment horizontal="center"/>
    </xf>
    <xf numFmtId="166" fontId="0" fillId="15" borderId="44" xfId="1" applyNumberFormat="1" applyFont="1" applyFill="1" applyBorder="1" applyAlignment="1">
      <alignment horizontal="center"/>
    </xf>
    <xf numFmtId="166" fontId="0" fillId="15" borderId="0" xfId="1" applyNumberFormat="1" applyFont="1" applyFill="1" applyAlignment="1">
      <alignment horizontal="center"/>
    </xf>
    <xf numFmtId="166" fontId="0" fillId="15" borderId="43" xfId="1" applyNumberFormat="1" applyFont="1" applyFill="1" applyBorder="1" applyAlignment="1">
      <alignment horizontal="center"/>
    </xf>
    <xf numFmtId="166" fontId="0" fillId="15" borderId="53" xfId="1" applyNumberFormat="1" applyFont="1" applyFill="1" applyBorder="1" applyAlignment="1">
      <alignment horizontal="center"/>
    </xf>
    <xf numFmtId="166" fontId="0" fillId="15" borderId="2" xfId="1" applyNumberFormat="1" applyFont="1" applyFill="1" applyBorder="1" applyAlignment="1">
      <alignment horizontal="center"/>
    </xf>
    <xf numFmtId="166" fontId="0" fillId="15" borderId="54" xfId="1" applyNumberFormat="1" applyFont="1" applyFill="1" applyBorder="1" applyAlignment="1">
      <alignment horizontal="center"/>
    </xf>
    <xf numFmtId="0" fontId="0" fillId="15" borderId="37" xfId="0" applyFill="1" applyBorder="1" applyAlignment="1">
      <alignment horizontal="center" vertical="center" wrapText="1"/>
    </xf>
    <xf numFmtId="0" fontId="30" fillId="3" borderId="0" xfId="0" applyFont="1" applyFill="1" applyAlignment="1">
      <alignment horizontal="center" vertical="center"/>
    </xf>
    <xf numFmtId="0" fontId="0" fillId="4" borderId="37" xfId="0" applyFill="1" applyBorder="1" applyAlignment="1">
      <alignment horizontal="left" indent="1"/>
    </xf>
    <xf numFmtId="166" fontId="26" fillId="4" borderId="1" xfId="1" applyNumberFormat="1" applyFont="1" applyFill="1" applyBorder="1" applyAlignment="1">
      <alignment horizontal="center" vertical="center"/>
    </xf>
    <xf numFmtId="166" fontId="26" fillId="4" borderId="0" xfId="1" applyNumberFormat="1" applyFont="1" applyFill="1" applyBorder="1" applyAlignment="1">
      <alignment horizontal="center" vertical="center"/>
    </xf>
    <xf numFmtId="166" fontId="26" fillId="4" borderId="2" xfId="1" applyNumberFormat="1" applyFont="1" applyFill="1" applyBorder="1" applyAlignment="1">
      <alignment horizontal="center" vertical="center"/>
    </xf>
    <xf numFmtId="166" fontId="0" fillId="0" borderId="37" xfId="1" applyNumberFormat="1" applyFont="1" applyBorder="1" applyAlignment="1">
      <alignment horizontal="center" vertical="center"/>
    </xf>
    <xf numFmtId="166" fontId="4" fillId="4" borderId="37" xfId="0" applyNumberFormat="1" applyFont="1" applyFill="1" applyBorder="1" applyAlignment="1">
      <alignment horizontal="center" vertical="center"/>
    </xf>
    <xf numFmtId="0" fontId="24" fillId="3" borderId="0" xfId="0" applyFont="1" applyFill="1" applyAlignment="1">
      <alignment horizontal="center" vertical="center"/>
    </xf>
    <xf numFmtId="0" fontId="0" fillId="4" borderId="46" xfId="0" applyFill="1" applyBorder="1"/>
    <xf numFmtId="0" fontId="0" fillId="4" borderId="47" xfId="0" applyFill="1" applyBorder="1"/>
    <xf numFmtId="0" fontId="0" fillId="4" borderId="48" xfId="0" applyFill="1" applyBorder="1"/>
    <xf numFmtId="0" fontId="4" fillId="2" borderId="37" xfId="0" applyFont="1" applyFill="1" applyBorder="1" applyAlignment="1">
      <alignment horizontal="center" vertical="center" wrapText="1"/>
    </xf>
    <xf numFmtId="0" fontId="4" fillId="2" borderId="37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5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54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39" xfId="0" applyFont="1" applyFill="1" applyBorder="1" applyAlignment="1">
      <alignment horizontal="center" vertical="center" wrapText="1"/>
    </xf>
    <xf numFmtId="0" fontId="4" fillId="2" borderId="5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54" xfId="0" applyFont="1" applyFill="1" applyBorder="1" applyAlignment="1">
      <alignment horizontal="center" vertical="center" wrapText="1"/>
    </xf>
    <xf numFmtId="0" fontId="0" fillId="2" borderId="44" xfId="0" quotePrefix="1" applyFill="1" applyBorder="1" applyAlignment="1">
      <alignment horizontal="center"/>
    </xf>
    <xf numFmtId="0" fontId="0" fillId="2" borderId="37" xfId="0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2" borderId="45" xfId="0" applyFill="1" applyBorder="1" applyAlignment="1">
      <alignment horizontal="center"/>
    </xf>
    <xf numFmtId="0" fontId="4" fillId="4" borderId="53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5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/>
    </xf>
    <xf numFmtId="0" fontId="0" fillId="2" borderId="64" xfId="0" applyFill="1" applyBorder="1" applyAlignment="1">
      <alignment horizontal="center"/>
    </xf>
    <xf numFmtId="0" fontId="0" fillId="2" borderId="65" xfId="0" applyFill="1" applyBorder="1" applyAlignment="1">
      <alignment horizontal="center"/>
    </xf>
    <xf numFmtId="0" fontId="0" fillId="2" borderId="66" xfId="0" applyFill="1" applyBorder="1" applyAlignment="1">
      <alignment horizontal="center"/>
    </xf>
    <xf numFmtId="0" fontId="19" fillId="3" borderId="8" xfId="0" applyFont="1" applyFill="1" applyBorder="1" applyAlignment="1">
      <alignment horizontal="center"/>
    </xf>
    <xf numFmtId="0" fontId="34" fillId="2" borderId="8" xfId="0" applyFont="1" applyFill="1" applyBorder="1" applyAlignment="1">
      <alignment horizontal="center"/>
    </xf>
    <xf numFmtId="0" fontId="22" fillId="2" borderId="34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center" vertical="center"/>
    </xf>
    <xf numFmtId="0" fontId="22" fillId="2" borderId="35" xfId="0" applyFont="1" applyFill="1" applyBorder="1" applyAlignment="1">
      <alignment horizontal="center" vertical="center"/>
    </xf>
    <xf numFmtId="0" fontId="22" fillId="2" borderId="11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0" fillId="0" borderId="33" xfId="0" quotePrefix="1" applyBorder="1" applyAlignment="1">
      <alignment horizontal="center"/>
    </xf>
    <xf numFmtId="0" fontId="0" fillId="0" borderId="30" xfId="0" quotePrefix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33" fillId="2" borderId="4" xfId="0" applyFont="1" applyFill="1" applyBorder="1" applyAlignment="1">
      <alignment horizontal="center"/>
    </xf>
    <xf numFmtId="0" fontId="33" fillId="4" borderId="71" xfId="0" applyFont="1" applyFill="1" applyBorder="1" applyAlignment="1">
      <alignment horizontal="center"/>
    </xf>
    <xf numFmtId="0" fontId="33" fillId="2" borderId="4" xfId="0" applyFont="1" applyFill="1" applyBorder="1" applyAlignment="1">
      <alignment horizontal="center" vertical="center"/>
    </xf>
    <xf numFmtId="0" fontId="33" fillId="4" borderId="4" xfId="0" quotePrefix="1" applyFont="1" applyFill="1" applyBorder="1" applyAlignment="1">
      <alignment horizontal="center"/>
    </xf>
    <xf numFmtId="0" fontId="33" fillId="4" borderId="4" xfId="0" applyFont="1" applyFill="1" applyBorder="1" applyAlignment="1">
      <alignment horizontal="center"/>
    </xf>
    <xf numFmtId="0" fontId="33" fillId="4" borderId="5" xfId="0" applyFont="1" applyFill="1" applyBorder="1" applyAlignment="1">
      <alignment horizontal="center" vertical="center"/>
    </xf>
    <xf numFmtId="0" fontId="33" fillId="4" borderId="0" xfId="0" applyFont="1" applyFill="1" applyAlignment="1">
      <alignment horizontal="center" vertical="center"/>
    </xf>
    <xf numFmtId="0" fontId="33" fillId="4" borderId="28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40" fillId="4" borderId="35" xfId="0" applyFont="1" applyFill="1" applyBorder="1" applyAlignment="1">
      <alignment horizontal="center" vertical="center"/>
    </xf>
    <xf numFmtId="0" fontId="40" fillId="4" borderId="31" xfId="0" applyFont="1" applyFill="1" applyBorder="1" applyAlignment="1">
      <alignment horizontal="center" vertical="center"/>
    </xf>
    <xf numFmtId="0" fontId="33" fillId="4" borderId="36" xfId="0" applyFont="1" applyFill="1" applyBorder="1" applyAlignment="1">
      <alignment horizontal="center" vertical="center"/>
    </xf>
    <xf numFmtId="0" fontId="33" fillId="4" borderId="4" xfId="0" applyFont="1" applyFill="1" applyBorder="1" applyAlignment="1">
      <alignment horizontal="center" vertical="center"/>
    </xf>
    <xf numFmtId="0" fontId="33" fillId="4" borderId="34" xfId="0" applyFont="1" applyFill="1" applyBorder="1" applyAlignment="1">
      <alignment horizontal="center" vertical="center"/>
    </xf>
    <xf numFmtId="0" fontId="33" fillId="4" borderId="10" xfId="0" applyFont="1" applyFill="1" applyBorder="1" applyAlignment="1">
      <alignment horizontal="center" vertical="center"/>
    </xf>
    <xf numFmtId="0" fontId="33" fillId="4" borderId="35" xfId="0" applyFont="1" applyFill="1" applyBorder="1" applyAlignment="1">
      <alignment horizontal="center" vertical="center"/>
    </xf>
    <xf numFmtId="0" fontId="33" fillId="4" borderId="11" xfId="0" applyFont="1" applyFill="1" applyBorder="1" applyAlignment="1">
      <alignment horizontal="center" vertical="center"/>
    </xf>
    <xf numFmtId="0" fontId="33" fillId="4" borderId="12" xfId="0" applyFont="1" applyFill="1" applyBorder="1" applyAlignment="1">
      <alignment horizontal="center" vertical="center"/>
    </xf>
    <xf numFmtId="0" fontId="33" fillId="4" borderId="32" xfId="0" applyFont="1" applyFill="1" applyBorder="1" applyAlignment="1">
      <alignment horizontal="center" vertical="center"/>
    </xf>
    <xf numFmtId="0" fontId="33" fillId="4" borderId="29" xfId="0" applyFont="1" applyFill="1" applyBorder="1" applyAlignment="1">
      <alignment horizontal="center" vertical="center"/>
    </xf>
    <xf numFmtId="0" fontId="0" fillId="15" borderId="29" xfId="0" applyFill="1" applyBorder="1" applyAlignment="1">
      <alignment horizontal="center" vertical="center" wrapText="1"/>
    </xf>
    <xf numFmtId="11" fontId="0" fillId="15" borderId="37" xfId="0" quotePrefix="1" applyNumberFormat="1" applyFill="1" applyBorder="1" applyAlignment="1">
      <alignment horizontal="center" vertical="center"/>
    </xf>
  </cellXfs>
  <cellStyles count="13">
    <cellStyle name="Comma" xfId="1" builtinId="3"/>
    <cellStyle name="Comma [0] 2 6" xfId="7" xr:uid="{4EA11872-8DC2-4CC0-9FA7-8F756650453E}"/>
    <cellStyle name="Comma [0] 3 4" xfId="5" xr:uid="{11F0D633-011F-4626-A6A0-46EA6B325C71}"/>
    <cellStyle name="Comma 2" xfId="3" xr:uid="{BE758113-A189-401E-87CD-C36A1D0CB931}"/>
    <cellStyle name="Comma 3" xfId="9" xr:uid="{6DF22180-C39A-4E8B-B374-EFD08312A6FC}"/>
    <cellStyle name="Comma 3 2" xfId="11" xr:uid="{09791F94-0626-46F4-9BDC-C81B1758AE37}"/>
    <cellStyle name="Comma 8" xfId="6" xr:uid="{1548CB7A-58A3-4E85-B2DB-BA173EFBBE8F}"/>
    <cellStyle name="Hyperlink" xfId="12" builtinId="8"/>
    <cellStyle name="Normal" xfId="0" builtinId="0"/>
    <cellStyle name="Normal 2" xfId="2" xr:uid="{78BCA3C2-99ED-4FB0-B0A5-DFEF42FEF8AF}"/>
    <cellStyle name="Normal 3" xfId="8" xr:uid="{833C1BA8-101A-49A2-B42D-554DD7F6E8BC}"/>
    <cellStyle name="Normal 3 2" xfId="10" xr:uid="{3DC9BA12-A0CD-4519-8BFD-2B1412C33634}"/>
    <cellStyle name="Normal 3 3" xfId="4" xr:uid="{404117A3-A32B-4D3F-B9E0-44DFE606A9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externalLink" Target="externalLinks/externalLink9.xml"/><Relationship Id="rId39" Type="http://schemas.openxmlformats.org/officeDocument/2006/relationships/externalLink" Target="externalLinks/externalLink22.xml"/><Relationship Id="rId21" Type="http://schemas.openxmlformats.org/officeDocument/2006/relationships/externalLink" Target="externalLinks/externalLink4.xml"/><Relationship Id="rId34" Type="http://schemas.openxmlformats.org/officeDocument/2006/relationships/externalLink" Target="externalLinks/externalLink17.xml"/><Relationship Id="rId42" Type="http://schemas.openxmlformats.org/officeDocument/2006/relationships/externalLink" Target="externalLinks/externalLink25.xml"/><Relationship Id="rId47" Type="http://schemas.openxmlformats.org/officeDocument/2006/relationships/externalLink" Target="externalLinks/externalLink30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2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32" Type="http://schemas.openxmlformats.org/officeDocument/2006/relationships/externalLink" Target="externalLinks/externalLink15.xml"/><Relationship Id="rId37" Type="http://schemas.openxmlformats.org/officeDocument/2006/relationships/externalLink" Target="externalLinks/externalLink20.xml"/><Relationship Id="rId40" Type="http://schemas.openxmlformats.org/officeDocument/2006/relationships/externalLink" Target="externalLinks/externalLink23.xml"/><Relationship Id="rId45" Type="http://schemas.openxmlformats.org/officeDocument/2006/relationships/externalLink" Target="externalLinks/externalLink2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externalLink" Target="externalLinks/externalLink11.xml"/><Relationship Id="rId36" Type="http://schemas.openxmlformats.org/officeDocument/2006/relationships/externalLink" Target="externalLinks/externalLink19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31" Type="http://schemas.openxmlformats.org/officeDocument/2006/relationships/externalLink" Target="externalLinks/externalLink14.xml"/><Relationship Id="rId44" Type="http://schemas.openxmlformats.org/officeDocument/2006/relationships/externalLink" Target="externalLinks/externalLink27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externalLink" Target="externalLinks/externalLink10.xml"/><Relationship Id="rId30" Type="http://schemas.openxmlformats.org/officeDocument/2006/relationships/externalLink" Target="externalLinks/externalLink13.xml"/><Relationship Id="rId35" Type="http://schemas.openxmlformats.org/officeDocument/2006/relationships/externalLink" Target="externalLinks/externalLink18.xml"/><Relationship Id="rId43" Type="http://schemas.openxmlformats.org/officeDocument/2006/relationships/externalLink" Target="externalLinks/externalLink26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sheetMetadata" Target="metadata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8.xml"/><Relationship Id="rId33" Type="http://schemas.openxmlformats.org/officeDocument/2006/relationships/externalLink" Target="externalLinks/externalLink16.xml"/><Relationship Id="rId38" Type="http://schemas.openxmlformats.org/officeDocument/2006/relationships/externalLink" Target="externalLinks/externalLink21.xml"/><Relationship Id="rId46" Type="http://schemas.openxmlformats.org/officeDocument/2006/relationships/externalLink" Target="externalLinks/externalLink29.xml"/><Relationship Id="rId20" Type="http://schemas.openxmlformats.org/officeDocument/2006/relationships/externalLink" Target="externalLinks/externalLink3.xml"/><Relationship Id="rId41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322222</xdr:colOff>
      <xdr:row>1</xdr:row>
      <xdr:rowOff>129541</xdr:rowOff>
    </xdr:from>
    <xdr:to>
      <xdr:col>4</xdr:col>
      <xdr:colOff>834544</xdr:colOff>
      <xdr:row>5</xdr:row>
      <xdr:rowOff>155164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E79804-64D4-4917-90B6-576A3FD77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6562" y="320041"/>
          <a:ext cx="931422" cy="7876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143774</xdr:colOff>
      <xdr:row>2</xdr:row>
      <xdr:rowOff>88568</xdr:rowOff>
    </xdr:from>
    <xdr:to>
      <xdr:col>8</xdr:col>
      <xdr:colOff>232634</xdr:colOff>
      <xdr:row>8</xdr:row>
      <xdr:rowOff>101799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893CD5-AABB-4533-8A5A-6FB92CBBA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9503" y="458985"/>
          <a:ext cx="1028131" cy="85989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35407</xdr:colOff>
      <xdr:row>2</xdr:row>
      <xdr:rowOff>102922</xdr:rowOff>
    </xdr:from>
    <xdr:to>
      <xdr:col>10</xdr:col>
      <xdr:colOff>54041</xdr:colOff>
      <xdr:row>8</xdr:row>
      <xdr:rowOff>179701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E9D13B-D0EF-4B4C-95FB-DC29DE2EB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875" y="481220"/>
          <a:ext cx="1099485" cy="92794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87159</xdr:colOff>
      <xdr:row>39</xdr:row>
      <xdr:rowOff>49805</xdr:rowOff>
    </xdr:from>
    <xdr:to>
      <xdr:col>28</xdr:col>
      <xdr:colOff>186766</xdr:colOff>
      <xdr:row>39</xdr:row>
      <xdr:rowOff>174315</xdr:rowOff>
    </xdr:to>
    <xdr:sp macro="" textlink="">
      <xdr:nvSpPr>
        <xdr:cNvPr id="5" name="Arrow: Pentagon 4">
          <a:extLst>
            <a:ext uri="{FF2B5EF4-FFF2-40B4-BE49-F238E27FC236}">
              <a16:creationId xmlns:a16="http://schemas.microsoft.com/office/drawing/2014/main" id="{AC77137B-6B5D-DE44-E683-D042A41CD25E}"/>
            </a:ext>
          </a:extLst>
        </xdr:cNvPr>
        <xdr:cNvSpPr/>
      </xdr:nvSpPr>
      <xdr:spPr>
        <a:xfrm>
          <a:off x="11280590" y="7445687"/>
          <a:ext cx="385980" cy="124510"/>
        </a:xfrm>
        <a:prstGeom prst="homePlate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27</xdr:col>
      <xdr:colOff>99610</xdr:colOff>
      <xdr:row>59</xdr:row>
      <xdr:rowOff>24903</xdr:rowOff>
    </xdr:from>
    <xdr:to>
      <xdr:col>28</xdr:col>
      <xdr:colOff>199217</xdr:colOff>
      <xdr:row>59</xdr:row>
      <xdr:rowOff>149413</xdr:rowOff>
    </xdr:to>
    <xdr:sp macro="" textlink="">
      <xdr:nvSpPr>
        <xdr:cNvPr id="6" name="Arrow: Pentagon 5">
          <a:extLst>
            <a:ext uri="{FF2B5EF4-FFF2-40B4-BE49-F238E27FC236}">
              <a16:creationId xmlns:a16="http://schemas.microsoft.com/office/drawing/2014/main" id="{6A1521E2-4FDB-4195-9A38-E62BE0843105}"/>
            </a:ext>
          </a:extLst>
        </xdr:cNvPr>
        <xdr:cNvSpPr/>
      </xdr:nvSpPr>
      <xdr:spPr>
        <a:xfrm>
          <a:off x="11479806" y="10969315"/>
          <a:ext cx="385980" cy="124510"/>
        </a:xfrm>
        <a:prstGeom prst="homePlate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19</xdr:col>
      <xdr:colOff>85224</xdr:colOff>
      <xdr:row>79</xdr:row>
      <xdr:rowOff>30080</xdr:rowOff>
    </xdr:from>
    <xdr:to>
      <xdr:col>20</xdr:col>
      <xdr:colOff>245643</xdr:colOff>
      <xdr:row>79</xdr:row>
      <xdr:rowOff>139916</xdr:rowOff>
    </xdr:to>
    <xdr:sp macro="" textlink="">
      <xdr:nvSpPr>
        <xdr:cNvPr id="8" name="Arrow: Pentagon 7">
          <a:extLst>
            <a:ext uri="{FF2B5EF4-FFF2-40B4-BE49-F238E27FC236}">
              <a16:creationId xmlns:a16="http://schemas.microsoft.com/office/drawing/2014/main" id="{4988BFD1-3820-4805-892B-A7E824BAAE44}"/>
            </a:ext>
          </a:extLst>
        </xdr:cNvPr>
        <xdr:cNvSpPr/>
      </xdr:nvSpPr>
      <xdr:spPr>
        <a:xfrm>
          <a:off x="8311816" y="12928935"/>
          <a:ext cx="436143" cy="109836"/>
        </a:xfrm>
        <a:prstGeom prst="homePlate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n-ID" sz="1100">
              <a:solidFill>
                <a:schemeClr val="tx1"/>
              </a:solidFill>
            </a:rPr>
            <a:t>3.6</a:t>
          </a:r>
        </a:p>
      </xdr:txBody>
    </xdr:sp>
    <xdr:clientData/>
  </xdr:twoCellAnchor>
  <xdr:twoCellAnchor>
    <xdr:from>
      <xdr:col>29</xdr:col>
      <xdr:colOff>75197</xdr:colOff>
      <xdr:row>79</xdr:row>
      <xdr:rowOff>20054</xdr:rowOff>
    </xdr:from>
    <xdr:to>
      <xdr:col>30</xdr:col>
      <xdr:colOff>234880</xdr:colOff>
      <xdr:row>79</xdr:row>
      <xdr:rowOff>136538</xdr:rowOff>
    </xdr:to>
    <xdr:sp macro="" textlink="">
      <xdr:nvSpPr>
        <xdr:cNvPr id="9" name="Arrow: Pentagon 8">
          <a:extLst>
            <a:ext uri="{FF2B5EF4-FFF2-40B4-BE49-F238E27FC236}">
              <a16:creationId xmlns:a16="http://schemas.microsoft.com/office/drawing/2014/main" id="{C7D4BBB0-CB05-4634-9904-2A6DAB08AF93}"/>
            </a:ext>
          </a:extLst>
        </xdr:cNvPr>
        <xdr:cNvSpPr/>
      </xdr:nvSpPr>
      <xdr:spPr>
        <a:xfrm>
          <a:off x="11059026" y="12918909"/>
          <a:ext cx="435407" cy="116484"/>
        </a:xfrm>
        <a:prstGeom prst="homePlate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n-ID" sz="1100">
              <a:solidFill>
                <a:schemeClr val="tx1"/>
              </a:solidFill>
            </a:rPr>
            <a:t>3.8</a:t>
          </a:r>
        </a:p>
      </xdr:txBody>
    </xdr:sp>
    <xdr:clientData/>
  </xdr:twoCellAnchor>
  <xdr:twoCellAnchor>
    <xdr:from>
      <xdr:col>23</xdr:col>
      <xdr:colOff>147534</xdr:colOff>
      <xdr:row>117</xdr:row>
      <xdr:rowOff>24903</xdr:rowOff>
    </xdr:from>
    <xdr:to>
      <xdr:col>24</xdr:col>
      <xdr:colOff>247142</xdr:colOff>
      <xdr:row>117</xdr:row>
      <xdr:rowOff>149413</xdr:rowOff>
    </xdr:to>
    <xdr:sp macro="" textlink="">
      <xdr:nvSpPr>
        <xdr:cNvPr id="10" name="Arrow: Pentagon 9">
          <a:extLst>
            <a:ext uri="{FF2B5EF4-FFF2-40B4-BE49-F238E27FC236}">
              <a16:creationId xmlns:a16="http://schemas.microsoft.com/office/drawing/2014/main" id="{3FF048F4-6FB2-4C9E-B380-3B5BF28C2969}"/>
            </a:ext>
          </a:extLst>
        </xdr:cNvPr>
        <xdr:cNvSpPr/>
      </xdr:nvSpPr>
      <xdr:spPr>
        <a:xfrm>
          <a:off x="9732440" y="19014997"/>
          <a:ext cx="387155" cy="124510"/>
        </a:xfrm>
        <a:prstGeom prst="homePlate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4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143773</xdr:colOff>
      <xdr:row>41</xdr:row>
      <xdr:rowOff>23963</xdr:rowOff>
    </xdr:from>
    <xdr:to>
      <xdr:col>22</xdr:col>
      <xdr:colOff>243381</xdr:colOff>
      <xdr:row>41</xdr:row>
      <xdr:rowOff>148473</xdr:rowOff>
    </xdr:to>
    <xdr:sp macro="" textlink="">
      <xdr:nvSpPr>
        <xdr:cNvPr id="7" name="Arrow: Pentagon 6">
          <a:extLst>
            <a:ext uri="{FF2B5EF4-FFF2-40B4-BE49-F238E27FC236}">
              <a16:creationId xmlns:a16="http://schemas.microsoft.com/office/drawing/2014/main" id="{08ED2750-A560-4A3A-9F49-D84EA0996B83}"/>
            </a:ext>
          </a:extLst>
        </xdr:cNvPr>
        <xdr:cNvSpPr/>
      </xdr:nvSpPr>
      <xdr:spPr>
        <a:xfrm>
          <a:off x="9417169" y="6170284"/>
          <a:ext cx="387155" cy="124510"/>
        </a:xfrm>
        <a:prstGeom prst="homePlate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19</xdr:col>
      <xdr:colOff>143773</xdr:colOff>
      <xdr:row>89</xdr:row>
      <xdr:rowOff>35943</xdr:rowOff>
    </xdr:from>
    <xdr:to>
      <xdr:col>20</xdr:col>
      <xdr:colOff>243380</xdr:colOff>
      <xdr:row>89</xdr:row>
      <xdr:rowOff>160453</xdr:rowOff>
    </xdr:to>
    <xdr:sp macro="" textlink="">
      <xdr:nvSpPr>
        <xdr:cNvPr id="8" name="Arrow: Pentagon 7">
          <a:extLst>
            <a:ext uri="{FF2B5EF4-FFF2-40B4-BE49-F238E27FC236}">
              <a16:creationId xmlns:a16="http://schemas.microsoft.com/office/drawing/2014/main" id="{294119B1-D4EB-4E6C-9265-0D7E9E761EAF}"/>
            </a:ext>
          </a:extLst>
        </xdr:cNvPr>
        <xdr:cNvSpPr/>
      </xdr:nvSpPr>
      <xdr:spPr>
        <a:xfrm>
          <a:off x="8985848" y="14485188"/>
          <a:ext cx="387155" cy="124510"/>
        </a:xfrm>
        <a:prstGeom prst="homePlate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8</xdr:col>
      <xdr:colOff>83868</xdr:colOff>
      <xdr:row>95</xdr:row>
      <xdr:rowOff>23962</xdr:rowOff>
    </xdr:from>
    <xdr:to>
      <xdr:col>8</xdr:col>
      <xdr:colOff>471023</xdr:colOff>
      <xdr:row>95</xdr:row>
      <xdr:rowOff>148472</xdr:rowOff>
    </xdr:to>
    <xdr:sp macro="" textlink="">
      <xdr:nvSpPr>
        <xdr:cNvPr id="9" name="Arrow: Pentagon 8">
          <a:extLst>
            <a:ext uri="{FF2B5EF4-FFF2-40B4-BE49-F238E27FC236}">
              <a16:creationId xmlns:a16="http://schemas.microsoft.com/office/drawing/2014/main" id="{63E187D5-C8D4-4F88-B8D1-1A769A76D135}"/>
            </a:ext>
          </a:extLst>
        </xdr:cNvPr>
        <xdr:cNvSpPr/>
      </xdr:nvSpPr>
      <xdr:spPr>
        <a:xfrm>
          <a:off x="4792453" y="15287924"/>
          <a:ext cx="387155" cy="124510"/>
        </a:xfrm>
        <a:prstGeom prst="homePlate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25</xdr:col>
      <xdr:colOff>143774</xdr:colOff>
      <xdr:row>121</xdr:row>
      <xdr:rowOff>35944</xdr:rowOff>
    </xdr:from>
    <xdr:to>
      <xdr:col>26</xdr:col>
      <xdr:colOff>243381</xdr:colOff>
      <xdr:row>121</xdr:row>
      <xdr:rowOff>160454</xdr:rowOff>
    </xdr:to>
    <xdr:sp macro="" textlink="">
      <xdr:nvSpPr>
        <xdr:cNvPr id="10" name="Arrow: Pentagon 9">
          <a:extLst>
            <a:ext uri="{FF2B5EF4-FFF2-40B4-BE49-F238E27FC236}">
              <a16:creationId xmlns:a16="http://schemas.microsoft.com/office/drawing/2014/main" id="{2ACB4C81-5DE9-4F02-8546-2D4027D1E6EB}"/>
            </a:ext>
          </a:extLst>
        </xdr:cNvPr>
        <xdr:cNvSpPr/>
      </xdr:nvSpPr>
      <xdr:spPr>
        <a:xfrm>
          <a:off x="10711132" y="19756887"/>
          <a:ext cx="387155" cy="124510"/>
        </a:xfrm>
        <a:prstGeom prst="homePlate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B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119811</xdr:colOff>
      <xdr:row>58</xdr:row>
      <xdr:rowOff>23962</xdr:rowOff>
    </xdr:from>
    <xdr:to>
      <xdr:col>31</xdr:col>
      <xdr:colOff>219418</xdr:colOff>
      <xdr:row>58</xdr:row>
      <xdr:rowOff>148472</xdr:rowOff>
    </xdr:to>
    <xdr:sp macro="" textlink="">
      <xdr:nvSpPr>
        <xdr:cNvPr id="6" name="Arrow: Pentagon 5">
          <a:extLst>
            <a:ext uri="{FF2B5EF4-FFF2-40B4-BE49-F238E27FC236}">
              <a16:creationId xmlns:a16="http://schemas.microsoft.com/office/drawing/2014/main" id="{C8F823B1-DB36-48E6-97E7-5E5E767385E7}"/>
            </a:ext>
          </a:extLst>
        </xdr:cNvPr>
        <xdr:cNvSpPr/>
      </xdr:nvSpPr>
      <xdr:spPr>
        <a:xfrm>
          <a:off x="12124905" y="9249434"/>
          <a:ext cx="387155" cy="124510"/>
        </a:xfrm>
        <a:prstGeom prst="homePlate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D</a:t>
          </a:r>
        </a:p>
      </xdr:txBody>
    </xdr:sp>
    <xdr:clientData/>
  </xdr:twoCellAnchor>
  <xdr:twoCellAnchor>
    <xdr:from>
      <xdr:col>30</xdr:col>
      <xdr:colOff>143774</xdr:colOff>
      <xdr:row>97</xdr:row>
      <xdr:rowOff>23962</xdr:rowOff>
    </xdr:from>
    <xdr:to>
      <xdr:col>31</xdr:col>
      <xdr:colOff>243381</xdr:colOff>
      <xdr:row>97</xdr:row>
      <xdr:rowOff>148472</xdr:rowOff>
    </xdr:to>
    <xdr:sp macro="" textlink="">
      <xdr:nvSpPr>
        <xdr:cNvPr id="7" name="Arrow: Pentagon 6">
          <a:extLst>
            <a:ext uri="{FF2B5EF4-FFF2-40B4-BE49-F238E27FC236}">
              <a16:creationId xmlns:a16="http://schemas.microsoft.com/office/drawing/2014/main" id="{C479BE6B-0272-41EF-8605-6C80FF90F29F}"/>
            </a:ext>
          </a:extLst>
        </xdr:cNvPr>
        <xdr:cNvSpPr/>
      </xdr:nvSpPr>
      <xdr:spPr>
        <a:xfrm>
          <a:off x="12148868" y="16006792"/>
          <a:ext cx="387155" cy="124510"/>
        </a:xfrm>
        <a:prstGeom prst="homePlate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16</a:t>
          </a:r>
        </a:p>
      </xdr:txBody>
    </xdr:sp>
    <xdr:clientData/>
  </xdr:twoCellAnchor>
  <xdr:twoCellAnchor>
    <xdr:from>
      <xdr:col>30</xdr:col>
      <xdr:colOff>140419</xdr:colOff>
      <xdr:row>98</xdr:row>
      <xdr:rowOff>20607</xdr:rowOff>
    </xdr:from>
    <xdr:to>
      <xdr:col>31</xdr:col>
      <xdr:colOff>240026</xdr:colOff>
      <xdr:row>98</xdr:row>
      <xdr:rowOff>145117</xdr:rowOff>
    </xdr:to>
    <xdr:sp macro="" textlink="">
      <xdr:nvSpPr>
        <xdr:cNvPr id="8" name="Arrow: Pentagon 7">
          <a:extLst>
            <a:ext uri="{FF2B5EF4-FFF2-40B4-BE49-F238E27FC236}">
              <a16:creationId xmlns:a16="http://schemas.microsoft.com/office/drawing/2014/main" id="{C51D7468-BF7A-4647-B42A-5FED3891A627}"/>
            </a:ext>
          </a:extLst>
        </xdr:cNvPr>
        <xdr:cNvSpPr/>
      </xdr:nvSpPr>
      <xdr:spPr>
        <a:xfrm>
          <a:off x="12145513" y="16183154"/>
          <a:ext cx="387155" cy="124510"/>
        </a:xfrm>
        <a:prstGeom prst="homePlate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17</a:t>
          </a:r>
        </a:p>
      </xdr:txBody>
    </xdr:sp>
    <xdr:clientData/>
  </xdr:twoCellAnchor>
  <xdr:twoCellAnchor>
    <xdr:from>
      <xdr:col>30</xdr:col>
      <xdr:colOff>149045</xdr:colOff>
      <xdr:row>99</xdr:row>
      <xdr:rowOff>29233</xdr:rowOff>
    </xdr:from>
    <xdr:to>
      <xdr:col>31</xdr:col>
      <xdr:colOff>248652</xdr:colOff>
      <xdr:row>99</xdr:row>
      <xdr:rowOff>153743</xdr:rowOff>
    </xdr:to>
    <xdr:sp macro="" textlink="">
      <xdr:nvSpPr>
        <xdr:cNvPr id="9" name="Arrow: Pentagon 8">
          <a:extLst>
            <a:ext uri="{FF2B5EF4-FFF2-40B4-BE49-F238E27FC236}">
              <a16:creationId xmlns:a16="http://schemas.microsoft.com/office/drawing/2014/main" id="{4D44B046-7FEB-4C9C-8374-AB454D66FAB9}"/>
            </a:ext>
          </a:extLst>
        </xdr:cNvPr>
        <xdr:cNvSpPr/>
      </xdr:nvSpPr>
      <xdr:spPr>
        <a:xfrm>
          <a:off x="12154139" y="16371497"/>
          <a:ext cx="387155" cy="124510"/>
        </a:xfrm>
        <a:prstGeom prst="homePlate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239622</xdr:colOff>
      <xdr:row>79</xdr:row>
      <xdr:rowOff>23962</xdr:rowOff>
    </xdr:from>
    <xdr:to>
      <xdr:col>34</xdr:col>
      <xdr:colOff>15738</xdr:colOff>
      <xdr:row>79</xdr:row>
      <xdr:rowOff>148472</xdr:rowOff>
    </xdr:to>
    <xdr:sp macro="" textlink="">
      <xdr:nvSpPr>
        <xdr:cNvPr id="2" name="Arrow: Pentagon 1">
          <a:extLst>
            <a:ext uri="{FF2B5EF4-FFF2-40B4-BE49-F238E27FC236}">
              <a16:creationId xmlns:a16="http://schemas.microsoft.com/office/drawing/2014/main" id="{2F5B604D-ADCE-4A6F-9550-6718242CFD9F}"/>
            </a:ext>
          </a:extLst>
        </xdr:cNvPr>
        <xdr:cNvSpPr/>
      </xdr:nvSpPr>
      <xdr:spPr>
        <a:xfrm>
          <a:off x="13766320" y="12831792"/>
          <a:ext cx="387154" cy="124510"/>
        </a:xfrm>
        <a:prstGeom prst="homePlate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B</a:t>
          </a:r>
        </a:p>
      </xdr:txBody>
    </xdr:sp>
    <xdr:clientData/>
  </xdr:twoCellAnchor>
  <xdr:twoCellAnchor>
    <xdr:from>
      <xdr:col>11</xdr:col>
      <xdr:colOff>23963</xdr:colOff>
      <xdr:row>101</xdr:row>
      <xdr:rowOff>23960</xdr:rowOff>
    </xdr:from>
    <xdr:to>
      <xdr:col>11</xdr:col>
      <xdr:colOff>443301</xdr:colOff>
      <xdr:row>101</xdr:row>
      <xdr:rowOff>167735</xdr:rowOff>
    </xdr:to>
    <xdr:sp macro="" textlink="">
      <xdr:nvSpPr>
        <xdr:cNvPr id="3" name="Arrow: Pentagon 2">
          <a:extLst>
            <a:ext uri="{FF2B5EF4-FFF2-40B4-BE49-F238E27FC236}">
              <a16:creationId xmlns:a16="http://schemas.microsoft.com/office/drawing/2014/main" id="{49C59928-FC7B-4536-99F4-7284C26D7C5E}"/>
            </a:ext>
          </a:extLst>
        </xdr:cNvPr>
        <xdr:cNvSpPr/>
      </xdr:nvSpPr>
      <xdr:spPr>
        <a:xfrm>
          <a:off x="6409906" y="16665752"/>
          <a:ext cx="419338" cy="143775"/>
        </a:xfrm>
        <a:prstGeom prst="homePlate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C.6</a:t>
          </a:r>
        </a:p>
      </xdr:txBody>
    </xdr:sp>
    <xdr:clientData/>
  </xdr:twoCellAnchor>
  <xdr:twoCellAnchor>
    <xdr:from>
      <xdr:col>20</xdr:col>
      <xdr:colOff>155753</xdr:colOff>
      <xdr:row>58</xdr:row>
      <xdr:rowOff>23962</xdr:rowOff>
    </xdr:from>
    <xdr:to>
      <xdr:col>21</xdr:col>
      <xdr:colOff>255360</xdr:colOff>
      <xdr:row>58</xdr:row>
      <xdr:rowOff>148472</xdr:rowOff>
    </xdr:to>
    <xdr:sp macro="" textlink="">
      <xdr:nvSpPr>
        <xdr:cNvPr id="6" name="Arrow: Pentagon 5">
          <a:extLst>
            <a:ext uri="{FF2B5EF4-FFF2-40B4-BE49-F238E27FC236}">
              <a16:creationId xmlns:a16="http://schemas.microsoft.com/office/drawing/2014/main" id="{A2C841ED-32E0-47BA-9D27-FDBFAAE4B275}"/>
            </a:ext>
          </a:extLst>
        </xdr:cNvPr>
        <xdr:cNvSpPr/>
      </xdr:nvSpPr>
      <xdr:spPr>
        <a:xfrm>
          <a:off x="9728678" y="9381226"/>
          <a:ext cx="387154" cy="124510"/>
        </a:xfrm>
        <a:prstGeom prst="homePlate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A</a:t>
          </a:r>
        </a:p>
      </xdr:txBody>
    </xdr:sp>
    <xdr:clientData/>
  </xdr:twoCellAnchor>
  <xdr:twoCellAnchor>
    <xdr:from>
      <xdr:col>21</xdr:col>
      <xdr:colOff>128438</xdr:colOff>
      <xdr:row>101</xdr:row>
      <xdr:rowOff>20606</xdr:rowOff>
    </xdr:from>
    <xdr:to>
      <xdr:col>22</xdr:col>
      <xdr:colOff>260229</xdr:colOff>
      <xdr:row>101</xdr:row>
      <xdr:rowOff>164381</xdr:rowOff>
    </xdr:to>
    <xdr:sp macro="" textlink="">
      <xdr:nvSpPr>
        <xdr:cNvPr id="7" name="Arrow: Pentagon 6">
          <a:extLst>
            <a:ext uri="{FF2B5EF4-FFF2-40B4-BE49-F238E27FC236}">
              <a16:creationId xmlns:a16="http://schemas.microsoft.com/office/drawing/2014/main" id="{9C1D2B41-D839-4375-9739-94E692FB9367}"/>
            </a:ext>
          </a:extLst>
        </xdr:cNvPr>
        <xdr:cNvSpPr/>
      </xdr:nvSpPr>
      <xdr:spPr>
        <a:xfrm>
          <a:off x="9881080" y="16662398"/>
          <a:ext cx="419338" cy="143775"/>
        </a:xfrm>
        <a:prstGeom prst="homePlate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C.8</a:t>
          </a:r>
        </a:p>
      </xdr:txBody>
    </xdr:sp>
    <xdr:clientData/>
  </xdr:twoCellAnchor>
  <xdr:twoCellAnchor>
    <xdr:from>
      <xdr:col>33</xdr:col>
      <xdr:colOff>467264</xdr:colOff>
      <xdr:row>101</xdr:row>
      <xdr:rowOff>29232</xdr:rowOff>
    </xdr:from>
    <xdr:to>
      <xdr:col>35</xdr:col>
      <xdr:colOff>280836</xdr:colOff>
      <xdr:row>101</xdr:row>
      <xdr:rowOff>155755</xdr:rowOff>
    </xdr:to>
    <xdr:sp macro="" textlink="">
      <xdr:nvSpPr>
        <xdr:cNvPr id="8" name="Arrow: Pentagon 7">
          <a:extLst>
            <a:ext uri="{FF2B5EF4-FFF2-40B4-BE49-F238E27FC236}">
              <a16:creationId xmlns:a16="http://schemas.microsoft.com/office/drawing/2014/main" id="{C65D2322-6F44-4B23-B591-001037A97CB8}"/>
            </a:ext>
          </a:extLst>
        </xdr:cNvPr>
        <xdr:cNvSpPr/>
      </xdr:nvSpPr>
      <xdr:spPr>
        <a:xfrm>
          <a:off x="13993962" y="16671024"/>
          <a:ext cx="484516" cy="126523"/>
        </a:xfrm>
        <a:prstGeom prst="homePlate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C.10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72260</xdr:colOff>
      <xdr:row>45</xdr:row>
      <xdr:rowOff>35943</xdr:rowOff>
    </xdr:from>
    <xdr:to>
      <xdr:col>18</xdr:col>
      <xdr:colOff>267345</xdr:colOff>
      <xdr:row>45</xdr:row>
      <xdr:rowOff>164224</xdr:rowOff>
    </xdr:to>
    <xdr:sp macro="" textlink="">
      <xdr:nvSpPr>
        <xdr:cNvPr id="2" name="Arrow: Pentagon 1">
          <a:extLst>
            <a:ext uri="{FF2B5EF4-FFF2-40B4-BE49-F238E27FC236}">
              <a16:creationId xmlns:a16="http://schemas.microsoft.com/office/drawing/2014/main" id="{68500340-B98C-49A0-949C-33D49DDB8187}"/>
            </a:ext>
          </a:extLst>
        </xdr:cNvPr>
        <xdr:cNvSpPr/>
      </xdr:nvSpPr>
      <xdr:spPr>
        <a:xfrm>
          <a:off x="5603329" y="7478581"/>
          <a:ext cx="470982" cy="128281"/>
        </a:xfrm>
        <a:prstGeom prst="homePlate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A.4</a:t>
          </a:r>
        </a:p>
      </xdr:txBody>
    </xdr:sp>
    <xdr:clientData/>
  </xdr:twoCellAnchor>
  <xdr:twoCellAnchor>
    <xdr:from>
      <xdr:col>33</xdr:col>
      <xdr:colOff>170793</xdr:colOff>
      <xdr:row>45</xdr:row>
      <xdr:rowOff>24737</xdr:rowOff>
    </xdr:from>
    <xdr:to>
      <xdr:col>34</xdr:col>
      <xdr:colOff>339229</xdr:colOff>
      <xdr:row>45</xdr:row>
      <xdr:rowOff>172725</xdr:rowOff>
    </xdr:to>
    <xdr:sp macro="" textlink="">
      <xdr:nvSpPr>
        <xdr:cNvPr id="3" name="Arrow: Pentagon 2">
          <a:extLst>
            <a:ext uri="{FF2B5EF4-FFF2-40B4-BE49-F238E27FC236}">
              <a16:creationId xmlns:a16="http://schemas.microsoft.com/office/drawing/2014/main" id="{BEB044C1-33C4-4EA1-86CB-77E3C3A2657B}"/>
            </a:ext>
          </a:extLst>
        </xdr:cNvPr>
        <xdr:cNvSpPr/>
      </xdr:nvSpPr>
      <xdr:spPr>
        <a:xfrm>
          <a:off x="10188852" y="7499061"/>
          <a:ext cx="448583" cy="147988"/>
        </a:xfrm>
        <a:prstGeom prst="homePlate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A.6</a:t>
          </a:r>
        </a:p>
      </xdr:txBody>
    </xdr:sp>
    <xdr:clientData/>
  </xdr:twoCellAnchor>
  <xdr:twoCellAnchor>
    <xdr:from>
      <xdr:col>28</xdr:col>
      <xdr:colOff>131791</xdr:colOff>
      <xdr:row>91</xdr:row>
      <xdr:rowOff>23962</xdr:rowOff>
    </xdr:from>
    <xdr:to>
      <xdr:col>29</xdr:col>
      <xdr:colOff>255361</xdr:colOff>
      <xdr:row>91</xdr:row>
      <xdr:rowOff>143773</xdr:rowOff>
    </xdr:to>
    <xdr:sp macro="" textlink="">
      <xdr:nvSpPr>
        <xdr:cNvPr id="4" name="Arrow: Pentagon 3">
          <a:extLst>
            <a:ext uri="{FF2B5EF4-FFF2-40B4-BE49-F238E27FC236}">
              <a16:creationId xmlns:a16="http://schemas.microsoft.com/office/drawing/2014/main" id="{2DEB276F-F00C-42F1-B1DF-C56C6F661CC2}"/>
            </a:ext>
          </a:extLst>
        </xdr:cNvPr>
        <xdr:cNvSpPr/>
      </xdr:nvSpPr>
      <xdr:spPr>
        <a:xfrm>
          <a:off x="9081697" y="15180094"/>
          <a:ext cx="411117" cy="119811"/>
        </a:xfrm>
        <a:prstGeom prst="homePlate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B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298061</xdr:colOff>
      <xdr:row>46</xdr:row>
      <xdr:rowOff>38878</xdr:rowOff>
    </xdr:from>
    <xdr:to>
      <xdr:col>8</xdr:col>
      <xdr:colOff>333362</xdr:colOff>
      <xdr:row>46</xdr:row>
      <xdr:rowOff>158689</xdr:rowOff>
    </xdr:to>
    <xdr:sp macro="" textlink="">
      <xdr:nvSpPr>
        <xdr:cNvPr id="2" name="Arrow: Pentagon 1">
          <a:extLst>
            <a:ext uri="{FF2B5EF4-FFF2-40B4-BE49-F238E27FC236}">
              <a16:creationId xmlns:a16="http://schemas.microsoft.com/office/drawing/2014/main" id="{53C324EA-E9CC-4CEB-960D-CD3CF975B4C5}"/>
            </a:ext>
          </a:extLst>
        </xdr:cNvPr>
        <xdr:cNvSpPr/>
      </xdr:nvSpPr>
      <xdr:spPr>
        <a:xfrm>
          <a:off x="3408265" y="7347858"/>
          <a:ext cx="411117" cy="119811"/>
        </a:xfrm>
        <a:prstGeom prst="homePlate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A</a:t>
          </a:r>
        </a:p>
      </xdr:txBody>
    </xdr:sp>
    <xdr:clientData/>
  </xdr:twoCellAnchor>
  <xdr:twoCellAnchor>
    <xdr:from>
      <xdr:col>18</xdr:col>
      <xdr:colOff>38878</xdr:colOff>
      <xdr:row>63</xdr:row>
      <xdr:rowOff>77755</xdr:rowOff>
    </xdr:from>
    <xdr:to>
      <xdr:col>19</xdr:col>
      <xdr:colOff>259183</xdr:colOff>
      <xdr:row>64</xdr:row>
      <xdr:rowOff>90714</xdr:rowOff>
    </xdr:to>
    <xdr:sp macro="" textlink="">
      <xdr:nvSpPr>
        <xdr:cNvPr id="3" name="Arrow: Pentagon 2">
          <a:extLst>
            <a:ext uri="{FF2B5EF4-FFF2-40B4-BE49-F238E27FC236}">
              <a16:creationId xmlns:a16="http://schemas.microsoft.com/office/drawing/2014/main" id="{92597703-789E-4A21-B781-0728C1C71E49}"/>
            </a:ext>
          </a:extLst>
        </xdr:cNvPr>
        <xdr:cNvSpPr/>
      </xdr:nvSpPr>
      <xdr:spPr>
        <a:xfrm>
          <a:off x="6557347" y="10172959"/>
          <a:ext cx="518367" cy="194388"/>
        </a:xfrm>
        <a:prstGeom prst="homePlate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B.5</a:t>
          </a:r>
        </a:p>
      </xdr:txBody>
    </xdr:sp>
    <xdr:clientData/>
  </xdr:twoCellAnchor>
  <xdr:twoCellAnchor>
    <xdr:from>
      <xdr:col>18</xdr:col>
      <xdr:colOff>35768</xdr:colOff>
      <xdr:row>65</xdr:row>
      <xdr:rowOff>87604</xdr:rowOff>
    </xdr:from>
    <xdr:to>
      <xdr:col>19</xdr:col>
      <xdr:colOff>256073</xdr:colOff>
      <xdr:row>66</xdr:row>
      <xdr:rowOff>100563</xdr:rowOff>
    </xdr:to>
    <xdr:sp macro="" textlink="">
      <xdr:nvSpPr>
        <xdr:cNvPr id="4" name="Arrow: Pentagon 3">
          <a:extLst>
            <a:ext uri="{FF2B5EF4-FFF2-40B4-BE49-F238E27FC236}">
              <a16:creationId xmlns:a16="http://schemas.microsoft.com/office/drawing/2014/main" id="{A17C39C1-4761-40F0-B072-379D10731440}"/>
            </a:ext>
          </a:extLst>
        </xdr:cNvPr>
        <xdr:cNvSpPr/>
      </xdr:nvSpPr>
      <xdr:spPr>
        <a:xfrm>
          <a:off x="6554237" y="10545665"/>
          <a:ext cx="518367" cy="194388"/>
        </a:xfrm>
        <a:prstGeom prst="homePlate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B.6</a:t>
          </a:r>
        </a:p>
      </xdr:txBody>
    </xdr:sp>
    <xdr:clientData/>
  </xdr:twoCellAnchor>
  <xdr:twoCellAnchor>
    <xdr:from>
      <xdr:col>18</xdr:col>
      <xdr:colOff>32658</xdr:colOff>
      <xdr:row>67</xdr:row>
      <xdr:rowOff>71535</xdr:rowOff>
    </xdr:from>
    <xdr:to>
      <xdr:col>19</xdr:col>
      <xdr:colOff>252963</xdr:colOff>
      <xdr:row>68</xdr:row>
      <xdr:rowOff>84494</xdr:rowOff>
    </xdr:to>
    <xdr:sp macro="" textlink="">
      <xdr:nvSpPr>
        <xdr:cNvPr id="5" name="Arrow: Pentagon 4">
          <a:extLst>
            <a:ext uri="{FF2B5EF4-FFF2-40B4-BE49-F238E27FC236}">
              <a16:creationId xmlns:a16="http://schemas.microsoft.com/office/drawing/2014/main" id="{633B3B3D-14AC-478C-ABC4-99AADFAACB3F}"/>
            </a:ext>
          </a:extLst>
        </xdr:cNvPr>
        <xdr:cNvSpPr/>
      </xdr:nvSpPr>
      <xdr:spPr>
        <a:xfrm>
          <a:off x="6551127" y="10892453"/>
          <a:ext cx="518367" cy="194388"/>
        </a:xfrm>
        <a:prstGeom prst="homePlate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B.7</a:t>
          </a:r>
        </a:p>
      </xdr:txBody>
    </xdr:sp>
    <xdr:clientData/>
  </xdr:twoCellAnchor>
  <xdr:twoCellAnchor>
    <xdr:from>
      <xdr:col>51</xdr:col>
      <xdr:colOff>272143</xdr:colOff>
      <xdr:row>67</xdr:row>
      <xdr:rowOff>77756</xdr:rowOff>
    </xdr:from>
    <xdr:to>
      <xdr:col>53</xdr:col>
      <xdr:colOff>220306</xdr:colOff>
      <xdr:row>68</xdr:row>
      <xdr:rowOff>90715</xdr:rowOff>
    </xdr:to>
    <xdr:sp macro="" textlink="">
      <xdr:nvSpPr>
        <xdr:cNvPr id="6" name="Arrow: Pentagon 5">
          <a:extLst>
            <a:ext uri="{FF2B5EF4-FFF2-40B4-BE49-F238E27FC236}">
              <a16:creationId xmlns:a16="http://schemas.microsoft.com/office/drawing/2014/main" id="{AC543F90-645D-4558-9A33-62B79AC8B742}"/>
            </a:ext>
          </a:extLst>
        </xdr:cNvPr>
        <xdr:cNvSpPr/>
      </xdr:nvSpPr>
      <xdr:spPr>
        <a:xfrm>
          <a:off x="16445204" y="10898674"/>
          <a:ext cx="518367" cy="194388"/>
        </a:xfrm>
        <a:prstGeom prst="homePlate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C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s%20Ka%20Be\SKB%2025\Aruki\Lampiran%20net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%2329%20(k)\Documents%20and%20Settings\PKT\My%20Documents\PT.%20Bank%20Sulut%2030September2005%20dan%202004\Bank%20Sulut%20-%20Juni%202005\JURNAL%20INVEN%20U.O%20-%20K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Blangko01~Mau%20diedit\LPP~Dagang~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udit%202009\PPN\KMI\KMI_12\1sppp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DESKTOP\Wegig%20Wicaksono\Pemeriksaan\la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istrator/My%20Documents/Adm%20Seksi%20Pemeriksaan/Laporan/oriental%20asahi%20lyman/restitusi/juli%202006/0706-a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ANIMATE\SECURE\Production\2D_REPNew2.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%5e_%5e%20NOVITA%20RAHMA\8.%20BREVET\20.%20PASCA%20BREVET%20ONLINE%20-%20PPH%20BADAN%20JASA\ARINDINA\PELATIHAN%20KERJA\PELATIHAN%20KERJA%201%20TH\Penghit%20Penyusutan%20GL%20V20051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OVITA_RAHMA\NOVITA_RAHMA\PPH%20TAHUNAN\3.%202014\OP\2.%20R.%20HENDRO\Pak%20Hendro\Penghit%20Penyusutan%20GL%20V20051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bs1\dbs1b\Iwan\PT.%20Jasuindo.%20coba-cob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5\2.%20Ngajar\Brevet%20UGM%2025%2008%202025%20Teori%20PPh%2021\2.%20Form%20SPT%20PPh%2021%20Versi%20Coretax%20-%20Jawaban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%23PUTRI\LHPt%2015%20WP%20Tahap%20I\OP%20WIMENGGARTAKA\Kertas%20Xerja%20-%200.3.2.1%20Wimenggartaka.xlsb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NOVIANA%20KHOIRU%20NISA'\01.%20MITRANATA\01.%20PENGERJAAN%20MASA\04%20-%20CV%20KARYA%20PRIMA%20SEJAHTERA\2017\PPH%2021\Lembar%20Penolong%20Pembuatan%201721-A1%20NGU%202017%20-%20KP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AppData/Local/Temp/Rar$DIa0.605/Lembar%20Penolong%20Pembuatan%201721-A1%20Gross%20Up%202015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%5e_%5e%20NOVITA_RAHMA%202016%20%5e_%5e\13.%20FORM%20KANTOR%20ISI\SOP%202018%20PRESENTASI\PPh%20OP\Kasus\SPT%20PPh%20OP%20(SS)%202018%20Riza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EBINAR%20PPH%20OP\PRAKTIK%201770%20SS\Lembar%20Penolong%20Pembuatan%201721-A1%20GU%202014%20Siap%20Lapor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SGspbuGabungan200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Excel\Mamat%20R\Emp2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microsoft.com/office/2019/04/relationships/externalLinkLongPath" Target="file:///F:\1.%20RIKA%20ARINDINA\1.%20KERJA\2.%20PENGERJAAN%20SPT%20TAHUNAN\2016\BADAN\10.%20BPR%20PANCA%20ARTA%20MONJALI\1.%20RIKA%20ARINDINA\1.%20KERJA\2.%20PENGERJAAN%20SPT%20TAHUNAN\2015\TAHUNAN%20BADAN\14.%20PT%20BPR%20LESTARI%20DARMO%20MULYO\Penghit%20Penyusutan%20SM%20V200512.xls?196D8F83" TargetMode="External"/><Relationship Id="rId1" Type="http://schemas.openxmlformats.org/officeDocument/2006/relationships/externalLinkPath" Target="file:///\\196D8F83\Penghit%20Penyusutan%20SM%20V20051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DMIN\SPT%20TAHUNAN\3.Winoto%20Sastro\1.%20RIKA%20ARINDINA\PELATIHAN%20KERJA%201%20TH\Aplikasi%20Penyusutan\Penghit%20Penyusutan%20SM%20V20051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060105369/Downloads/Kertas%20Xerja%20-%20Konkrit%20OK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1.%20NOVIANA%20KHOIRU%20NISA'\01.%20MITRANATA\07.%20DATA%20DAN%20APLIKASI\16.%20Aplikasi%20Pajak%20(Baru)%202015\Form%20SPT%20PPh%2021_2014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Toshiba\My%20Documents\Supriyanto's%20files\SPT\PAJAK%20cd%20contoh\SSP\BAB8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Ph%20Pasal%2021%20(For%20sale)\Main%20Version%20(New)\Stock\Standard\Th%202014\Aplikasi%20PPh%2021_2014%20Non%20Gross%20U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-audit%20Utilities\KKP%20Integrasi%20Badjoe%202016\1%20KKP_LHP_PHP_Nothit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Toshiba\My%20Documents\File%20Pribadi\Urusan%20Ngajar\SPT\PPh%20Pasal%2021\2002%20TAHUNAN\Latihan%20isi%20SPT%20PPh%20Pasal%2021%20Baru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%2329%20(j)\Documents%20and%20Settings\PKT\My%20Documents\PT.%20Bank%20Sulut%2030September2005%20dan%202004\Bank%20Sulut%20-%20Juni%202005\JURNAL%20INVEN%20U.O%20-%20KP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AppData/Roaming/Microsoft/Excel/SPT%20PPh%20OP%202014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engger\dnejengger\Documents%20and%20Settings\Inspiron\My%20Documents\FINAL-TIMOHOGROUP-2003(hasildiskusi)\SPBU%20Jatiroto-Gombong\Data%20PBC\GLMASTER_AUDITOR.xls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Fembi\KPP%20Bontang\Waskon\Profil\020394987-724.000%20Virantha%20344\20101112%20Potensi%202007\Documents%20and%20Settings\Administrator\My%20Documents\Adm%20Seksi%20Pemeriksaan\Laporan\oriental%20asahi%20lyman\restitusi\juli%202006\0706-a1.xls?EB8FCAC7" TargetMode="External"/><Relationship Id="rId1" Type="http://schemas.openxmlformats.org/officeDocument/2006/relationships/externalLinkPath" Target="file:///\\EB8FCAC7\0706-a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BANK-USD"/>
      <sheetName val="Identitas"/>
      <sheetName val="kary21"/>
      <sheetName val="Sheet1"/>
      <sheetName val="SPPP"/>
      <sheetName val="Permanent info"/>
      <sheetName val="Trading Statement"/>
      <sheetName val="Marshal"/>
      <sheetName val="KKP_INDUK"/>
      <sheetName val="kkp_umum"/>
      <sheetName val="General Info"/>
      <sheetName val="penyusutan_1"/>
      <sheetName val="CF WORKSHEET"/>
      <sheetName val="N.5"/>
      <sheetName val="Daftar SPP"/>
      <sheetName val="rekap impor"/>
      <sheetName val="STANDAR"/>
      <sheetName val="COA"/>
      <sheetName val="Data WP"/>
      <sheetName val="MATERIALFINAL"/>
      <sheetName val="LPP"/>
      <sheetName val="PP"/>
      <sheetName val="RK1"/>
      <sheetName val="Isi Data"/>
      <sheetName val="MENU"/>
      <sheetName val="source_mailmerge"/>
      <sheetName val="kata_bijak"/>
      <sheetName val="link"/>
      <sheetName val="KLU-baru"/>
      <sheetName val="hitpph"/>
      <sheetName val="resume"/>
      <sheetName val="Lem-was"/>
      <sheetName val="RevLHP"/>
      <sheetName val="Cover"/>
      <sheetName val="Daf-Isi-LHP"/>
      <sheetName val="LHP"/>
      <sheetName val="Rev-KKP"/>
      <sheetName val="Indeks-KKP"/>
      <sheetName val="Induk"/>
      <sheetName val="B1"/>
      <sheetName val="B.1.1"/>
      <sheetName val="B1.1"/>
      <sheetName val="B2"/>
      <sheetName val="B2-"/>
      <sheetName val="B3"/>
      <sheetName val="B3-"/>
      <sheetName val="B4"/>
      <sheetName val="B5"/>
      <sheetName val="B5-"/>
      <sheetName val="Lamp-PHP"/>
      <sheetName val="B6 "/>
      <sheetName val="B7"/>
      <sheetName val="B8"/>
      <sheetName val="B9"/>
      <sheetName val="B10"/>
      <sheetName val="B 11"/>
      <sheetName val="B 12"/>
      <sheetName val="B12.1_dst"/>
      <sheetName val="B13"/>
      <sheetName val="C.1"/>
      <sheetName val="C.1.1"/>
      <sheetName val="C .2"/>
      <sheetName val="C.2.1"/>
      <sheetName val="C.3"/>
      <sheetName val="D. Ps. 21 F"/>
      <sheetName val="D.1"/>
      <sheetName val="D.1.1"/>
      <sheetName val="E. Ps. 22"/>
      <sheetName val="E.1"/>
      <sheetName val="F. Ps. 22 F"/>
      <sheetName val="F.1"/>
      <sheetName val="G Ps.23"/>
      <sheetName val="G.1"/>
      <sheetName val="G.2"/>
      <sheetName val="G.3"/>
      <sheetName val="J. Ps. 26"/>
      <sheetName val="J.1 "/>
      <sheetName val="K"/>
      <sheetName val="K.1"/>
      <sheetName val="K2"/>
      <sheetName val="K.3"/>
      <sheetName val="L. Ps. 15"/>
      <sheetName val="L.1 "/>
      <sheetName val="N"/>
      <sheetName val="N1"/>
      <sheetName val="N.2 "/>
      <sheetName val="N.3"/>
      <sheetName val="N3.1"/>
      <sheetName val="N.3.2"/>
      <sheetName val="N.3.3"/>
      <sheetName val="N.4"/>
      <sheetName val="N.4.1"/>
      <sheetName val="N.5 "/>
      <sheetName val="N.6 "/>
      <sheetName val="N.7"/>
      <sheetName val="N7.1"/>
      <sheetName val="N7.1.1"/>
      <sheetName val="N.8"/>
      <sheetName val="N.9"/>
      <sheetName val="N.10"/>
      <sheetName val="BA-uji"/>
      <sheetName val="L-uji"/>
      <sheetName val="O"/>
      <sheetName val="P"/>
      <sheetName val="Q"/>
      <sheetName val="R"/>
      <sheetName val="S"/>
      <sheetName val="V"/>
      <sheetName val="W"/>
      <sheetName val="S-PHP"/>
      <sheetName val="S-PHPjabatan"/>
      <sheetName val="LPPHP"/>
      <sheetName val="BA-TDTT"/>
      <sheetName val="Und"/>
      <sheetName val="Panggil"/>
      <sheetName val="BATH"/>
      <sheetName val="PPN_cfm SPT"/>
      <sheetName val="PPN_cfm pemeriksa-SPHP"/>
      <sheetName val="PPN_Kor-cfmSPHP"/>
      <sheetName val="PPN cfm pemeriksa-akhir"/>
      <sheetName val="PPN_Kor-cfm-WP"/>
      <sheetName val="PPN_Kor-cfm-pemb_rik"/>
      <sheetName val="PPN YgDisetujuiWP"/>
      <sheetName val="BAPAHP"/>
      <sheetName val="Ris-Pem"/>
      <sheetName val="IHPA"/>
      <sheetName val="SKP-25"/>
      <sheetName val="SKP-21"/>
      <sheetName val="SKP-21F"/>
      <sheetName val="SKP-22"/>
      <sheetName val="SKP-23"/>
      <sheetName val="SKP-26"/>
      <sheetName val="SKP- 4 (2)"/>
      <sheetName val="SKP-PPN"/>
      <sheetName val="SKP-PPnBM"/>
      <sheetName val="dbRp"/>
      <sheetName val="STP-25"/>
      <sheetName val="STP-21"/>
      <sheetName val="STP-22"/>
      <sheetName val="STP-23"/>
      <sheetName val="STP-26"/>
      <sheetName val="STP 4(2)"/>
      <sheetName val="STP PPN"/>
      <sheetName val="B1KOREKSI (2)"/>
      <sheetName val="Lampiran nett"/>
      <sheetName val="laporan"/>
      <sheetName val="LHA"/>
      <sheetName val="N4.1"/>
      <sheetName val="N.4.2"/>
      <sheetName val="wwancara"/>
      <sheetName val="FKT_PJK"/>
      <sheetName val="kkp-fpk"/>
      <sheetName val="REAL9900"/>
      <sheetName val="JUL"/>
      <sheetName val="#REF"/>
      <sheetName val="36"/>
      <sheetName val="quesioner"/>
      <sheetName val="ST-exSIK"/>
      <sheetName val="BA-Temu"/>
      <sheetName val="BA-Segel"/>
      <sheetName val="BA-S-Rusak"/>
      <sheetName val="BA-B-Segel"/>
      <sheetName val="K-Lap"/>
      <sheetName val="K-Kant"/>
      <sheetName val="Pang"/>
      <sheetName val="BPP"/>
      <sheetName val="Pinj"/>
      <sheetName val="Pinj (2)"/>
      <sheetName val="SP-WP"/>
      <sheetName val="SP-WP-Tolak"/>
      <sheetName val="BA-Tolak SPHP"/>
      <sheetName val="Ingat"/>
      <sheetName val="Ingat II"/>
      <sheetName val="BA-Pnuh"/>
      <sheetName val="BA-TPnuh"/>
      <sheetName val="ND-panj"/>
      <sheetName val="Panj"/>
      <sheetName val="T-Rik"/>
      <sheetName val="BA-TR"/>
      <sheetName val="T-B-Rik"/>
      <sheetName val="BA-TBRik"/>
      <sheetName val="BA-Pang_K"/>
      <sheetName val="Pang-Ket"/>
      <sheetName val="BA-Ket"/>
      <sheetName val="keBuper"/>
      <sheetName val="Henti"/>
      <sheetName val="Panj-PHP"/>
      <sheetName val="LPK-P-SPT"/>
      <sheetName val="M-QA"/>
      <sheetName val="NDhap"/>
      <sheetName val="BA-NE"/>
      <sheetName val="Usul NE"/>
      <sheetName val="SP-Lap"/>
      <sheetName val="ND-d-harta"/>
      <sheetName val="Daf_harta"/>
      <sheetName val="S-KLU"/>
      <sheetName val="Lam-KLU"/>
      <sheetName val="Himb-pakta"/>
      <sheetName val="Pakta"/>
      <sheetName val="S-Perny"/>
      <sheetName val="B-TA"/>
      <sheetName val="U-PJP"/>
      <sheetName val="P-PJP"/>
      <sheetName val="U-PengP"/>
      <sheetName val="P-PengP"/>
      <sheetName val="U-Batal"/>
      <sheetName val="P-Batal"/>
      <sheetName val="B-eA"/>
      <sheetName val="PK-B"/>
      <sheetName val="P-PKB"/>
      <sheetName val="BA-T-PKB"/>
      <sheetName val="BA-T-Temu"/>
      <sheetName val="tdk-diaudit"/>
      <sheetName val="T-beri"/>
      <sheetName val="M-Copy"/>
      <sheetName val="M-CopyKAP"/>
      <sheetName val="B1 1"/>
      <sheetName val="B1 1.1"/>
      <sheetName val="B1.2"/>
      <sheetName val="Sheet4"/>
      <sheetName val="B3 1 dst"/>
      <sheetName val="B12.1"/>
      <sheetName val="kredit pajak"/>
      <sheetName val="D.2"/>
      <sheetName val="C 001"/>
      <sheetName val="C.1 001"/>
      <sheetName val="C.1.001"/>
      <sheetName val="C .2 001"/>
      <sheetName val="C.2.1 001"/>
      <sheetName val="C.3 001"/>
      <sheetName val="DAFTAR ISI (2)"/>
      <sheetName val="Judul"/>
      <sheetName val="LHP_SE-24_2015"/>
      <sheetName val="LHP_OP"/>
      <sheetName val="LHP_Badan"/>
      <sheetName val="LHP-Badan"/>
      <sheetName val="MPN"/>
      <sheetName val="T"/>
      <sheetName val="SPT PK"/>
      <sheetName val="SPT PM"/>
      <sheetName val="PM PKPM 2014 olah"/>
      <sheetName val="PK 2014"/>
      <sheetName val="PM 2014"/>
      <sheetName val="B (2)"/>
      <sheetName val="C (2)"/>
      <sheetName val="G Ps.23 (2)"/>
      <sheetName val="K (2)"/>
      <sheetName val="N (2)"/>
      <sheetName val="datawp"/>
      <sheetName val="DATA"/>
      <sheetName val="SPT"/>
      <sheetName val="Berkas"/>
      <sheetName val="Rasio (2)"/>
      <sheetName val="APro"/>
      <sheetName val="Rasio detail"/>
      <sheetName val="DbKtr"/>
      <sheetName val="DbTF"/>
      <sheetName val="DbPem"/>
      <sheetName val="Tarif"/>
      <sheetName val="DaKor"/>
      <sheetName val="LPIS"/>
      <sheetName val="konf"/>
      <sheetName val="PDI3.17"/>
      <sheetName val="Pinjam buku BADAN"/>
      <sheetName val="BAPJMBUKU"/>
      <sheetName val="PEMBATAS HALAMAN"/>
      <sheetName val="ingat Pinjam buku TP"/>
      <sheetName val="FAR VIRGOZ"/>
      <sheetName val="EOI"/>
      <sheetName val="Pinjam buku BADAN (2)"/>
      <sheetName val="LAMP II RENCANA "/>
      <sheetName val="LAMP III PERUBAHAN RENCANA"/>
      <sheetName val="LAMP IV REALISASI"/>
      <sheetName val="Sheet2"/>
      <sheetName val="Sheet3"/>
      <sheetName val="Detail-PARENT"/>
      <sheetName val="LHP PPN terbaru"/>
      <sheetName val="WASKON"/>
      <sheetName val="REF"/>
      <sheetName val="KPRIKPA1.2 SP3"/>
      <sheetName val="KPRIKPA1.10 daftar pinjam"/>
      <sheetName val="Waktu"/>
      <sheetName val="PDI"/>
      <sheetName val="KPRIKPA1.4 PEMB"/>
      <sheetName val="KPRIKPA1.5 SP TOLAK"/>
      <sheetName val="TUP"/>
      <sheetName val="Ekualisasi"/>
      <sheetName val="daftar isi"/>
      <sheetName val="daftar SP2"/>
      <sheetName val="SP2"/>
      <sheetName val="BA-Pngghan"/>
      <sheetName val="ST"/>
      <sheetName val="ST-exSIK (2)"/>
      <sheetName val="ST-exSIK (3)"/>
      <sheetName val="hak &amp; kewajiban"/>
      <sheetName val="hak &amp; kewajiban non riksis"/>
      <sheetName val="4"/>
      <sheetName val="6"/>
      <sheetName val="BA TEMU"/>
      <sheetName val="alamat kantor"/>
      <sheetName val="BA TEMU NON RIKSIS"/>
      <sheetName val="permintaan peminjaman dok"/>
      <sheetName val=" peminjaman non riksis"/>
      <sheetName val="9"/>
      <sheetName val="10 (2)"/>
      <sheetName val="Pinj PPN"/>
      <sheetName val="10 (PPN)"/>
      <sheetName val="11"/>
      <sheetName val="12"/>
      <sheetName val="PERINGATAN"/>
      <sheetName val="14"/>
      <sheetName val="14.2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5_21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7"/>
      <sheetName val="37 (2)"/>
      <sheetName val="38"/>
      <sheetName val="39"/>
      <sheetName val="40"/>
      <sheetName val="45"/>
      <sheetName val="46"/>
      <sheetName val="47"/>
      <sheetName val="47 (2)"/>
      <sheetName val="51"/>
      <sheetName val="52"/>
      <sheetName val="Segel"/>
      <sheetName val="COVER PKP"/>
      <sheetName val="LHP24"/>
      <sheetName val="DASAR HUKUM"/>
      <sheetName val="B.1.2"/>
      <sheetName val="B.1.3"/>
      <sheetName val="B.1.4"/>
      <sheetName val="B.1.5"/>
      <sheetName val="B.1.6"/>
      <sheetName val="B.1.6.1"/>
      <sheetName val="B.1.6.1.1"/>
      <sheetName val="B.1.7"/>
      <sheetName val="B.1.8"/>
      <sheetName val="B1.9"/>
      <sheetName val="B2 Tambahan"/>
      <sheetName val="B3 Tambahan"/>
      <sheetName val="B.2"/>
      <sheetName val="B.3"/>
      <sheetName val="B.4"/>
      <sheetName val="B4 Tambahan"/>
      <sheetName val="B.5"/>
      <sheetName val="B5 Tambahan"/>
      <sheetName val="B.6"/>
      <sheetName val="B6 Tambahan"/>
      <sheetName val="B.7"/>
      <sheetName val="B7 Tambahan"/>
      <sheetName val="B.7.1"/>
      <sheetName val="B.7.1.1"/>
      <sheetName val="Kelompok-Harta"/>
      <sheetName val="B.8"/>
      <sheetName val="B8 Tambahan"/>
      <sheetName val="B.9"/>
      <sheetName val="B9 Tambahan"/>
      <sheetName val="B.10"/>
      <sheetName val="B10 Tambahan"/>
      <sheetName val="B.11"/>
      <sheetName val="B.11.1"/>
      <sheetName val="B.11.2"/>
      <sheetName val="B11 Tambahan"/>
      <sheetName val="B.12"/>
      <sheetName val="B12 Tambahan"/>
      <sheetName val="BPot22dll"/>
      <sheetName val="B.13"/>
      <sheetName val="Hit 21"/>
      <sheetName val="hitung"/>
      <sheetName val="PPH terbaru"/>
      <sheetName val="C. Ps. 21 TF"/>
      <sheetName val="C.2"/>
      <sheetName val="D.3"/>
      <sheetName val="E. 1.1"/>
      <sheetName val="E.2"/>
      <sheetName val="E.3"/>
      <sheetName val="F.1.1"/>
      <sheetName val="F.2"/>
      <sheetName val="F.3"/>
      <sheetName val="G. Ps.23"/>
      <sheetName val="G.1.1"/>
      <sheetName val="J.1.1"/>
      <sheetName val="J.2"/>
      <sheetName val="J.3"/>
      <sheetName val="K. Ps.4.2"/>
      <sheetName val="K.1.1"/>
      <sheetName val="L. Ps.15"/>
      <sheetName val="L.1.1"/>
      <sheetName val="L.2"/>
      <sheetName val="L.3"/>
      <sheetName val="N. PPN"/>
      <sheetName val="N.1"/>
      <sheetName val="N.1.a"/>
      <sheetName val="N.1.1"/>
      <sheetName val="N.1. 2"/>
      <sheetName val="N.3.1"/>
      <sheetName val="N3.1.1"/>
      <sheetName val="N3.1.1.1"/>
      <sheetName val="N.3.2.1"/>
      <sheetName val="N.3.3.1"/>
      <sheetName val="N.3.4"/>
      <sheetName val="N.8.1"/>
      <sheetName val="N.8.1.1"/>
      <sheetName val="N.8.2"/>
      <sheetName val="N.11"/>
      <sheetName val="Jawaban PM"/>
      <sheetName val="SKP-21 Per Masa"/>
      <sheetName val="SKP-21 F Per Masa"/>
      <sheetName val="SKP-22 F"/>
      <sheetName val="SKP- 15"/>
      <sheetName val="STP-21 F"/>
      <sheetName val="STP-22 F"/>
      <sheetName val="STP 15"/>
      <sheetName val="SEPTEMBER"/>
      <sheetName val="OKTOBER"/>
      <sheetName val="07-01"/>
      <sheetName val="Jan "/>
      <sheetName val="Feb "/>
      <sheetName val="Mar "/>
      <sheetName val="Apr "/>
      <sheetName val="Mei "/>
      <sheetName val="Jun "/>
      <sheetName val="Jul "/>
      <sheetName val="Aug "/>
      <sheetName val="Sep "/>
      <sheetName val="Okt "/>
      <sheetName val="Nov "/>
      <sheetName val="Des "/>
      <sheetName val="Notes to BS"/>
      <sheetName val=""/>
      <sheetName val="CABUT PKP"/>
      <sheetName val="HAPUS NPWP"/>
      <sheetName val="NPWP GANDA"/>
      <sheetName val="GABUNG"/>
      <sheetName val="ND PEMINJAMAN BERKAS"/>
      <sheetName val="TABEL BANTUAN PEMINJAMAN BERKAS"/>
      <sheetName val="ND TUNGGAKAN"/>
      <sheetName val="TABEL BANTUAN TUNGGAKAN"/>
      <sheetName val="MFWP"/>
      <sheetName val="List Bantuan"/>
      <sheetName val="Referensi"/>
      <sheetName val="Expenses List"/>
      <sheetName val="Inc. Dr and Cr."/>
      <sheetName val="TB Debit"/>
      <sheetName val="TB Credit"/>
      <sheetName val="Basic Data"/>
      <sheetName val="BASIC ZONE2"/>
      <sheetName val="BBM-03"/>
      <sheetName val="KPP"/>
      <sheetName val="Permanent_info"/>
      <sheetName val="Trading_Statement"/>
      <sheetName val="General_Info"/>
      <sheetName val="N_5"/>
      <sheetName val="rekap_impor"/>
      <sheetName val="Isi_Data"/>
      <sheetName val="B1_1"/>
      <sheetName val="B6_"/>
      <sheetName val="B_11"/>
      <sheetName val="B_12"/>
      <sheetName val="B12_1_dst"/>
      <sheetName val="C_1"/>
      <sheetName val="C_1_1"/>
      <sheetName val="C__2"/>
      <sheetName val="C_2_1"/>
      <sheetName val="C_3"/>
      <sheetName val="D__Ps__21_F"/>
      <sheetName val="D_1"/>
      <sheetName val="D_1_1"/>
      <sheetName val="E__Ps__22"/>
      <sheetName val="E_1"/>
      <sheetName val="F__Ps__22_F"/>
      <sheetName val="F_1"/>
      <sheetName val="G_Ps_23"/>
      <sheetName val="G_1"/>
      <sheetName val="G_2"/>
      <sheetName val="G_3"/>
      <sheetName val="J__Ps__26"/>
      <sheetName val="J_1_"/>
      <sheetName val="K_1"/>
      <sheetName val="K_3"/>
      <sheetName val="L__Ps__15"/>
      <sheetName val="L_1_"/>
      <sheetName val="N_2_"/>
      <sheetName val="N_3"/>
      <sheetName val="N3_1"/>
      <sheetName val="N_3_2"/>
      <sheetName val="N_3_3"/>
      <sheetName val="N_4"/>
      <sheetName val="N4_1"/>
      <sheetName val="N_4_2"/>
      <sheetName val="N_5_"/>
      <sheetName val="N_6_"/>
      <sheetName val="N_7"/>
      <sheetName val="N7_1"/>
      <sheetName val="N7_1_1"/>
      <sheetName val="N_8"/>
      <sheetName val="N_9"/>
      <sheetName val="N_10"/>
      <sheetName val="PPN_cfm_SPT"/>
      <sheetName val="PPN_cfm_pemeriksa-SPHP"/>
      <sheetName val="PPN_cfm_pemeriksa-akhir"/>
      <sheetName val="PPN_YgDisetujuiWP"/>
      <sheetName val="SKP-_4_(2)"/>
      <sheetName val="STP_4(2)"/>
      <sheetName val="STP_PPN"/>
      <sheetName val="Lampiran_nett"/>
      <sheetName val="dbDJP"/>
      <sheetName val="ENTRY"/>
      <sheetName val="KLU-lama"/>
      <sheetName val="jgd"/>
      <sheetName val="KEND_FIS"/>
      <sheetName val="ppn-1"/>
      <sheetName val="DATA_WP"/>
      <sheetName val="CF_WORKSHEET"/>
      <sheetName val="Akomodasi"/>
      <sheetName val="Isian"/>
      <sheetName val="itungan"/>
      <sheetName val="itungan2"/>
      <sheetName val="cabang"/>
      <sheetName val="SKP"/>
      <sheetName val="STP"/>
      <sheetName val="Kirim Nothit"/>
      <sheetName val="SKPPPN"/>
      <sheetName val="SPHP"/>
      <sheetName val="SPHPjbt"/>
      <sheetName val="daftemu"/>
      <sheetName val="lbrsetuju"/>
      <sheetName val="rispem"/>
      <sheetName val="BAHP"/>
      <sheetName val="SKPBadan"/>
      <sheetName val="BATgp"/>
      <sheetName val="panttd"/>
      <sheetName val="BATdkhadir"/>
      <sheetName val="BAWPtdk ada"/>
      <sheetName val="Detil Pelaporan"/>
      <sheetName val="Executive Summary"/>
      <sheetName val="Lemwas"/>
      <sheetName val="review sheet"/>
      <sheetName val="Siap"/>
      <sheetName val="PPh Badan"/>
      <sheetName val="uji B1"/>
      <sheetName val="B-1a"/>
      <sheetName val="B-1a.1"/>
      <sheetName val="B-1b"/>
      <sheetName val="B-1b.1"/>
      <sheetName val="B-1c"/>
      <sheetName val="B1-1"/>
      <sheetName val="B1-11"/>
      <sheetName val="B1-2"/>
      <sheetName val="B1-21"/>
      <sheetName val="B2-1"/>
      <sheetName val="B21-1"/>
      <sheetName val="B21-1-1"/>
      <sheetName val="Rekap Penyusutan"/>
      <sheetName val="Daftar Penyusutan"/>
      <sheetName val="B3-1"/>
      <sheetName val="B3-2"/>
      <sheetName val="B3-3"/>
      <sheetName val="B3-4"/>
      <sheetName val="B3-5"/>
      <sheetName val="B3-6"/>
      <sheetName val="B3-7"/>
      <sheetName val="B3-8"/>
      <sheetName val="B3-9"/>
      <sheetName val="B3-10"/>
      <sheetName val="B6"/>
      <sheetName val="B8-1"/>
      <sheetName val="B11"/>
      <sheetName val="B12"/>
      <sheetName val="SPT Tahunan"/>
      <sheetName val="SPT Tahunan$"/>
      <sheetName val="lamp V"/>
      <sheetName val="lamp VI"/>
      <sheetName val="Neraca"/>
      <sheetName val="Lapkeu"/>
      <sheetName val="SSP PPh22 Impor"/>
      <sheetName val="SSP PPh2529"/>
      <sheetName val="Bupot"/>
      <sheetName val="Bupot 2"/>
      <sheetName val="Bukpot PPh Badan"/>
      <sheetName val="Bukpot PPh Badan$"/>
      <sheetName val="konfbukpot"/>
      <sheetName val="lampkonfbukpot"/>
      <sheetName val="STPbadan"/>
      <sheetName val="SPT 21"/>
      <sheetName val="PPh21"/>
      <sheetName val="C1"/>
      <sheetName val="rekap 21"/>
      <sheetName val="C1-1"/>
      <sheetName val="C1-2"/>
      <sheetName val="C2 Fix"/>
      <sheetName val="C2 2017"/>
      <sheetName val="C3"/>
      <sheetName val="C4"/>
      <sheetName val="C5"/>
      <sheetName val="Rincian PPh 21"/>
      <sheetName val="PPh21final"/>
      <sheetName val="D1"/>
      <sheetName val="D1-1"/>
      <sheetName val="D2"/>
      <sheetName val="D3"/>
      <sheetName val="D4"/>
      <sheetName val="spt22"/>
      <sheetName val="PPh22"/>
      <sheetName val="E1"/>
      <sheetName val="E1-1"/>
      <sheetName val="E2"/>
      <sheetName val="E3"/>
      <sheetName val="E4"/>
      <sheetName val="PPh22final"/>
      <sheetName val="F1"/>
      <sheetName val="F2"/>
      <sheetName val="F3"/>
      <sheetName val="F4"/>
      <sheetName val="SPT23"/>
      <sheetName val="PPh23"/>
      <sheetName val="G1"/>
      <sheetName val="G1-1"/>
      <sheetName val="G1-2"/>
      <sheetName val="G1-3"/>
      <sheetName val="G1-4"/>
      <sheetName val="G1-5"/>
      <sheetName val="G1-6"/>
      <sheetName val="G1-7"/>
      <sheetName val="G1-8"/>
      <sheetName val="G1-9"/>
      <sheetName val="G2"/>
      <sheetName val="G3"/>
      <sheetName val="G4"/>
      <sheetName val="G5"/>
      <sheetName val="PPh23final"/>
      <sheetName val="H1"/>
      <sheetName val="H2"/>
      <sheetName val="H3"/>
      <sheetName val="H4"/>
      <sheetName val="SPT26"/>
      <sheetName val="PPh26"/>
      <sheetName val="I1"/>
      <sheetName val="I1-1"/>
      <sheetName val="I2"/>
      <sheetName val="I3"/>
      <sheetName val="I4"/>
      <sheetName val="spt42"/>
      <sheetName val="PPh4-2"/>
      <sheetName val="J1"/>
      <sheetName val="J1-1"/>
      <sheetName val="J2"/>
      <sheetName val="J3"/>
      <sheetName val="J4"/>
      <sheetName val="PPh15"/>
      <sheetName val="K1"/>
      <sheetName val="K3"/>
      <sheetName val="K4"/>
      <sheetName val="spt15"/>
      <sheetName val="PPh15F"/>
      <sheetName val="L1"/>
      <sheetName val="L1-1"/>
      <sheetName val="L1-2"/>
      <sheetName val="L2"/>
      <sheetName val="L3"/>
      <sheetName val="L4"/>
      <sheetName val="PPh19f"/>
      <sheetName val="M1"/>
      <sheetName val="M2"/>
      <sheetName val="M3"/>
      <sheetName val="SPT PPN"/>
      <sheetName val="SPT PPN AB"/>
      <sheetName val="PPN"/>
      <sheetName val="Na"/>
      <sheetName val="Nb"/>
      <sheetName val="Nc"/>
      <sheetName val="Nd"/>
      <sheetName val="Ne"/>
      <sheetName val="Nf"/>
      <sheetName val="Ng"/>
      <sheetName val="Nh"/>
      <sheetName val="Ni"/>
      <sheetName val="Nj"/>
      <sheetName val="NK"/>
      <sheetName val="Nl"/>
      <sheetName val="N1-1"/>
      <sheetName val="N1-2"/>
      <sheetName val="N1-3"/>
      <sheetName val="N1-3-1"/>
      <sheetName val="N1-3-2"/>
      <sheetName val="N1-3-3"/>
      <sheetName val="N1-3-4"/>
      <sheetName val="N2"/>
      <sheetName val="ekspor"/>
      <sheetName val="pkekspor"/>
      <sheetName val="N3"/>
      <sheetName val="Pungutsendiri"/>
      <sheetName val="PK"/>
      <sheetName val="N4"/>
      <sheetName val="dipungut"/>
      <sheetName val="PKpungut"/>
      <sheetName val="N5"/>
      <sheetName val="tdkdipungut"/>
      <sheetName val="pktdkdipungut"/>
      <sheetName val="N6"/>
      <sheetName val="bebas"/>
      <sheetName val="pkbebas"/>
      <sheetName val="N7"/>
      <sheetName val="tdkterutang"/>
      <sheetName val="N8-1"/>
      <sheetName val="N8-1-1"/>
      <sheetName val="SSP PPN Impor"/>
      <sheetName val="lamp B1"/>
      <sheetName val="N8-2"/>
      <sheetName val="N8-2-1"/>
      <sheetName val="lamp B3"/>
      <sheetName val="N9"/>
      <sheetName val="N10"/>
      <sheetName val="Rekap PM"/>
      <sheetName val="PM"/>
      <sheetName val="PKPM"/>
      <sheetName val="S-konfPPN2"/>
      <sheetName val="S-konfPPN"/>
      <sheetName val="Lamp-konfPPN"/>
      <sheetName val="NDkonfPPN"/>
      <sheetName val="kirim-surat"/>
      <sheetName val="Amplop"/>
      <sheetName val="uji-faktur"/>
      <sheetName val="BAfaktur"/>
      <sheetName val="N11a"/>
      <sheetName val="N11b"/>
      <sheetName val="N12"/>
      <sheetName val="N13"/>
      <sheetName val="N14"/>
      <sheetName val="N14-1"/>
      <sheetName val="N15"/>
      <sheetName val="N15-1"/>
      <sheetName val="N16"/>
      <sheetName val="N16-1"/>
      <sheetName val="N17"/>
      <sheetName val="N17-1"/>
      <sheetName val="N18"/>
      <sheetName val="N18-1"/>
      <sheetName val="N19"/>
      <sheetName val="N19-1"/>
      <sheetName val="N20"/>
      <sheetName val="N20-1"/>
      <sheetName val="SSP"/>
      <sheetName val="SSP2"/>
      <sheetName val="kode map"/>
      <sheetName val="O1"/>
      <sheetName val="O2"/>
      <sheetName val="O3"/>
      <sheetName val="O4"/>
      <sheetName val="O5"/>
      <sheetName val="O6"/>
      <sheetName val="P1"/>
      <sheetName val="P2"/>
      <sheetName val="P3"/>
      <sheetName val="P4"/>
      <sheetName val="P5"/>
      <sheetName val="temp LHP"/>
      <sheetName val="temp lhp2"/>
      <sheetName val="temp KKP"/>
      <sheetName val="oretan"/>
      <sheetName val="BATemu"/>
      <sheetName val="pinbuk"/>
      <sheetName val="dafbuk"/>
      <sheetName val="Bukpin"/>
      <sheetName val="dafingat"/>
      <sheetName val="BAPenuh"/>
      <sheetName val="BAtdkpenuh"/>
      <sheetName val="SP Lap"/>
      <sheetName val="konfssp"/>
      <sheetName val="lampkonfssp"/>
      <sheetName val="KLU"/>
      <sheetName val="ND-KLU"/>
      <sheetName val="Harta"/>
      <sheetName val="ND Harta"/>
      <sheetName val="Alket"/>
      <sheetName val="Alamat"/>
      <sheetName val="Gabungan 21"/>
      <sheetName val="Gabungan 21F"/>
      <sheetName val="Gabungan 22"/>
      <sheetName val="Gabungan 22F"/>
      <sheetName val="Gabungan 23"/>
      <sheetName val="Gabungan 26"/>
      <sheetName val="Gabungan 42"/>
      <sheetName val="Gabungan 15F"/>
      <sheetName val="Detil Faktur Pembelian"/>
      <sheetName val="Detil Faktur Penjualan"/>
      <sheetName val="T.B"/>
      <sheetName val="B1KOREKSI_(2)"/>
      <sheetName val="mar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MM.PAGE-2.X"/>
      <sheetName val="Art_22"/>
      <sheetName val="rinciaan AR 2009"/>
      <sheetName val="LR Manufaktur"/>
      <sheetName val="DB"/>
      <sheetName val="INPUTS"/>
      <sheetName val="GD_actuals"/>
      <sheetName val="7x"/>
      <sheetName val="8x"/>
      <sheetName val="Dates"/>
      <sheetName val="5"/>
      <sheetName val="3x"/>
      <sheetName val="2x"/>
      <sheetName val="1"/>
      <sheetName val="3"/>
      <sheetName val="9x"/>
      <sheetName val="4x"/>
      <sheetName val="6x"/>
      <sheetName val="setting area"/>
      <sheetName val="Cash Flow _2_"/>
      <sheetName val="Detail"/>
      <sheetName val="Art 23"/>
      <sheetName val="mapping2"/>
      <sheetName val="412src2"/>
      <sheetName val="412"/>
      <sheetName val="SELISIHKURSSOURCE"/>
      <sheetName val="hf-4"/>
      <sheetName val="I3 (2)"/>
      <sheetName val="FEB17"/>
      <sheetName val="ramadhan"/>
      <sheetName val="PARAMETER"/>
      <sheetName val="Jilid"/>
      <sheetName val="Audit Plan-9"/>
      <sheetName val="Identifikasi"/>
      <sheetName val="Audit Prog-9"/>
      <sheetName val="tim"/>
      <sheetName val="SE-04"/>
      <sheetName val="Laba Rugi"/>
      <sheetName val="Rasio_(2)"/>
      <sheetName val="Rasio_detail"/>
      <sheetName val="PDI3_17"/>
      <sheetName val="Pinjam_buku_BADAN"/>
      <sheetName val="PEMBATAS_HALAMAN"/>
      <sheetName val="ingat_Pinjam_buku_TP"/>
      <sheetName val="FAR_VIRGOZ"/>
      <sheetName val="Pinjam_buku_BADAN_(2)"/>
      <sheetName val="LAMP_II_RENCANA_"/>
      <sheetName val="LAMP_III_PERUBAHAN_RENCANA"/>
      <sheetName val="LAMP_IV_REALISASI"/>
      <sheetName val="Factors"/>
      <sheetName val="Sales"/>
      <sheetName val="KKP-INDUK21"/>
      <sheetName val="LHP OP"/>
      <sheetName val="CoverKKP"/>
      <sheetName val="ars-uang"/>
      <sheetName val="ars-piut"/>
      <sheetName val="RK (2)"/>
      <sheetName val="B12.2"/>
      <sheetName val="G Ps.23 Ind"/>
      <sheetName val="J Ps.26F"/>
      <sheetName val="L ind"/>
      <sheetName val="N Ind"/>
      <sheetName val="PEB"/>
      <sheetName val="PEB Jasa"/>
      <sheetName val="N6.1"/>
      <sheetName val="N.7.1 "/>
      <sheetName val="N.7.11"/>
      <sheetName val="N7.2"/>
      <sheetName val="N7.2  (2)"/>
      <sheetName val="N7.xx"/>
      <sheetName val="Q1"/>
      <sheetName val="SP-Lap (2)"/>
      <sheetName val="BPP (2)"/>
      <sheetName val="PPH 22"/>
      <sheetName val="Source"/>
      <sheetName val="db_sp2"/>
      <sheetName val="tb_wil"/>
      <sheetName val="STEP"/>
      <sheetName val="Data_Lapor"/>
      <sheetName val="Data_MPN"/>
      <sheetName val="DB_PM"/>
      <sheetName val="det_FP"/>
      <sheetName val="Pivot_Det_FP"/>
      <sheetName val="Pivot_bersih"/>
      <sheetName val="det_PEB"/>
      <sheetName val="PIB"/>
      <sheetName val="Lap_LR"/>
      <sheetName val="SPT_Thnn_Bdn"/>
      <sheetName val="CashFlow"/>
      <sheetName val="Rasio"/>
      <sheetName val="A.1"/>
      <sheetName val="A.1-P"/>
      <sheetName val="A.1.1"/>
      <sheetName val="kd_map"/>
      <sheetName val="A.2"/>
      <sheetName val="A.2-P"/>
      <sheetName val="A.3"/>
      <sheetName val="A.4"/>
      <sheetName val="A.5"/>
      <sheetName val="A.6"/>
      <sheetName val="A.7"/>
      <sheetName val="A.8"/>
      <sheetName val="A.9"/>
      <sheetName val="A.9.1"/>
      <sheetName val="A.9.2"/>
      <sheetName val="A.9.3"/>
      <sheetName val="A.10"/>
      <sheetName val="A.11"/>
      <sheetName val="A.12"/>
      <sheetName val="A.13"/>
      <sheetName val="A.14"/>
      <sheetName val="A.15a"/>
      <sheetName val="A.15b"/>
      <sheetName val="tb_bank"/>
      <sheetName val="Risalah"/>
      <sheetName val="L-PHP"/>
      <sheetName val="B.1"/>
      <sheetName val="B.1.1.1"/>
      <sheetName val="B.1.1.2"/>
      <sheetName val="B.1.1.3"/>
      <sheetName val="B.1.1.4"/>
      <sheetName val="B.1.1.5"/>
      <sheetName val="B.1.1.6"/>
      <sheetName val="B.2.1"/>
      <sheetName val="B.2.2"/>
      <sheetName val="B.2.3"/>
      <sheetName val="B.2.4"/>
      <sheetName val="B.2.5"/>
      <sheetName val="B.2.6"/>
      <sheetName val="B.2.6.1"/>
      <sheetName val="B.9.1"/>
      <sheetName val="Rek_Koran"/>
      <sheetName val="Daftar_Harta"/>
      <sheetName val="Lap_Manfaat_Data"/>
      <sheetName val="Resum.Lit"/>
      <sheetName val="C.1.1.1"/>
      <sheetName val="C.1.1.2"/>
      <sheetName val="C.1.1.3"/>
      <sheetName val="C.1.2"/>
      <sheetName val="C.1.2.1"/>
      <sheetName val="C.1.3"/>
      <sheetName val="C.1.4"/>
      <sheetName val="C.1.5"/>
      <sheetName val="C.1.6"/>
      <sheetName val="C.1.7"/>
      <sheetName val="C.1.8"/>
      <sheetName val="Kode_Objek_21"/>
      <sheetName val="N_PTKP"/>
      <sheetName val="E.1.1"/>
      <sheetName val="E.1.2"/>
      <sheetName val="E.1.3"/>
      <sheetName val="F.1.2 "/>
      <sheetName val="F.1.3"/>
      <sheetName val="G"/>
      <sheetName val="H"/>
      <sheetName val="H.1"/>
      <sheetName val="H.1.1"/>
      <sheetName val="H.1.2"/>
      <sheetName val="H.1.3"/>
      <sheetName val="H.2"/>
      <sheetName val="I"/>
      <sheetName val="I.1"/>
      <sheetName val="I.2"/>
      <sheetName val="J"/>
      <sheetName val="J.1"/>
      <sheetName val="K.2"/>
      <sheetName val="L"/>
      <sheetName val="L.1"/>
      <sheetName val="L.1.2"/>
      <sheetName val="L.1.2.1"/>
      <sheetName val="L.1.2.1.1"/>
      <sheetName val="L.1.2.1.2"/>
      <sheetName val="L.1.2.2"/>
      <sheetName val="L.1.2.3"/>
      <sheetName val="L.1.2.3.1"/>
      <sheetName val="L.1.2.3.2"/>
      <sheetName val="L.1.2.3.3"/>
      <sheetName val="L.1.2.3.4"/>
      <sheetName val="L.1.2.4"/>
      <sheetName val="L.1.3"/>
      <sheetName val="L.1.4"/>
      <sheetName val="L.1.4.1"/>
      <sheetName val="L.1.4.2"/>
      <sheetName val="L.1.4.3"/>
      <sheetName val="L.1.4.4"/>
      <sheetName val="DB_PK"/>
      <sheetName val="L.b"/>
      <sheetName val="L.b.1"/>
      <sheetName val="L.b.1.1"/>
      <sheetName val="L.b.1.2"/>
      <sheetName val="Data_SPM"/>
      <sheetName val="M"/>
      <sheetName val="M.1"/>
      <sheetName val="N.1.2"/>
      <sheetName val="O.1"/>
      <sheetName val="Exc_Sum"/>
      <sheetName val="Lbr_Kirim_Pos"/>
      <sheetName val="BA_Wawancara"/>
      <sheetName val="Dftr_Dok"/>
      <sheetName val="SPanggil"/>
      <sheetName val="LPanggil"/>
      <sheetName val="S-Nyata_COVID_1"/>
      <sheetName val="S-Nyata_COVID_2"/>
      <sheetName val="BA_Temu_WP"/>
      <sheetName val="Hak_Kewajiban"/>
      <sheetName val="Kuesioner"/>
      <sheetName val="Pakta_Int"/>
      <sheetName val="BA_Beri_Ket"/>
      <sheetName val="BA_Tdk_Hdr_Dipanggil"/>
      <sheetName val="BPindok"/>
      <sheetName val="FC=Asli"/>
      <sheetName val="SPindok"/>
      <sheetName val="SPring"/>
      <sheetName val="BA_PenuhDok"/>
      <sheetName val="S_Penuh_Semua"/>
      <sheetName val="S_Tdk_Penuh"/>
      <sheetName val="ND_Usul_Dinas"/>
      <sheetName val="ND_Minta_Pendamping"/>
      <sheetName val="Lap_Hasil_Dinas"/>
      <sheetName val="Lap_Damping"/>
      <sheetName val="Kuesioner GUSI"/>
      <sheetName val="BA_PinDok_Non_Elek"/>
      <sheetName val="BA_Ambil_Data"/>
      <sheetName val="Lamp_BA_Ambil_Data"/>
      <sheetName val="SPernyataan"/>
      <sheetName val="BA_Pengujian"/>
      <sheetName val="BA_WP_Tdk_Ditempat"/>
      <sheetName val="S_Foreign_Dig"/>
      <sheetName val="S_Pngg_Ket"/>
      <sheetName val="SPHP_Jab"/>
      <sheetName val="Lbr_Setuju_SPHP"/>
      <sheetName val="SPernyataan_Psl8(4)"/>
      <sheetName val="Lamp-LHP"/>
      <sheetName val="BA_PAHP"/>
      <sheetName val="BA_Tolak"/>
      <sheetName val="BA_Tdk_Tanggap"/>
      <sheetName val="BA_Tdk_Hdr_Bahas"/>
      <sheetName val="L_Awas_Nothit"/>
      <sheetName val="KPS-6"/>
      <sheetName val="Cover_MAP_202"/>
      <sheetName val="Cover_KKP_LHP"/>
      <sheetName val="Cover_Ris"/>
      <sheetName val="Indeks_LHP"/>
      <sheetName val="REVIU"/>
      <sheetName val="Lem_Was"/>
      <sheetName val="FORM_KONTRIBUSI"/>
      <sheetName val="TT_Dok_MIn_Bukti"/>
      <sheetName val="ND_Konf_PKPM"/>
      <sheetName val="S_Konf_PKPM"/>
      <sheetName val="Lamp_Konf_PKPM"/>
      <sheetName val="ND_konfBC4.0"/>
      <sheetName val="Lamp-konfBC4.0"/>
      <sheetName val="ND_Klar_BPot"/>
      <sheetName val="S_Klar_BPot"/>
      <sheetName val="Lamp_BPot"/>
      <sheetName val="SR_Minta_IBK"/>
      <sheetName val="Lamp_Minta_IBK"/>
      <sheetName val="Lamp_1_IBK"/>
      <sheetName val="Lamp_2_IBK"/>
      <sheetName val="Lamp_3_IBK"/>
      <sheetName val="TT_Dok_IBK"/>
      <sheetName val="ND_Minta_Bukti"/>
      <sheetName val="S_Minta_Bukti"/>
      <sheetName val="Lamp_MBukt"/>
      <sheetName val="Pring_Mnt_Bkti"/>
      <sheetName val="acuan"/>
      <sheetName val="ND_Ubah_KLU"/>
      <sheetName val="Lamp_Ubah_KLU"/>
      <sheetName val="ND_WP_NE"/>
      <sheetName val="ND_Ubah_Data"/>
      <sheetName val="ND_Hapus"/>
      <sheetName val="S_Nyata_NE"/>
      <sheetName val="Ket_Mati"/>
      <sheetName val="Naskah_STBP"/>
      <sheetName val="ND_Panjang"/>
      <sheetName val="ND_Setuju_Panjang"/>
      <sheetName val="SPemb_Panjang"/>
      <sheetName val="Nothit_Bdn"/>
      <sheetName val="Nothit_P21"/>
      <sheetName val="Nothit_SKP_PPN"/>
      <sheetName val="Nothit_STP_PPN"/>
      <sheetName val="TERBIT_SKPSTP"/>
      <sheetName val="SANKSI"/>
      <sheetName val="Henti_periksa"/>
      <sheetName val="WP_TA"/>
      <sheetName val="KKP_HTBgrk"/>
      <sheetName val="KKP_TRANSP"/>
      <sheetName val="KKP_HBL"/>
      <sheetName val="KKP_Invest"/>
      <sheetName val="KKP_HTBwjd"/>
      <sheetName val="Ref_Harta"/>
      <sheetName val="Ref_Negara"/>
      <sheetName val="Minta_QA"/>
      <sheetName val="Surat Kuasa"/>
      <sheetName val="Lamp S-Kuasa"/>
      <sheetName val="Surat Kuasa (2)"/>
      <sheetName val="Surat Kuasa (3)"/>
      <sheetName val="BA_Tolak_Kuasa"/>
      <sheetName val="Daftar_AlKet"/>
      <sheetName val="ND_ALKET"/>
      <sheetName val="db_pegawai"/>
      <sheetName val="pjb_eselon"/>
      <sheetName val="pjb_fungs"/>
      <sheetName val="tb_kd_kpp"/>
      <sheetName val="tb_klu"/>
      <sheetName val="kd_rikpa"/>
      <sheetName val="Hari_Libur"/>
      <sheetName val="Met_Tek_Periksa"/>
      <sheetName val="All Cash Dil"/>
      <sheetName val="PPN BESAR"/>
      <sheetName val="Permanent_info1"/>
      <sheetName val="Trading_Statement1"/>
      <sheetName val="Isi_Data1"/>
      <sheetName val="B1_11"/>
      <sheetName val="B6_1"/>
      <sheetName val="B_111"/>
      <sheetName val="B_121"/>
      <sheetName val="B12_1_dst1"/>
      <sheetName val="C_11"/>
      <sheetName val="C_1_11"/>
      <sheetName val="C__21"/>
      <sheetName val="C_2_11"/>
      <sheetName val="C_31"/>
      <sheetName val="D__Ps__21_F1"/>
      <sheetName val="D_11"/>
      <sheetName val="D_1_11"/>
      <sheetName val="E__Ps__221"/>
      <sheetName val="E_11"/>
      <sheetName val="F__Ps__22_F1"/>
      <sheetName val="F_11"/>
      <sheetName val="G_Ps_231"/>
      <sheetName val="G_11"/>
      <sheetName val="G_21"/>
      <sheetName val="G_31"/>
      <sheetName val="J__Ps__261"/>
      <sheetName val="J_1_1"/>
      <sheetName val="K_11"/>
      <sheetName val="K_31"/>
      <sheetName val="L__Ps__151"/>
      <sheetName val="L_1_1"/>
      <sheetName val="N_2_1"/>
      <sheetName val="N_31"/>
      <sheetName val="N3_11"/>
      <sheetName val="N_3_21"/>
      <sheetName val="N_3_31"/>
      <sheetName val="N_41"/>
      <sheetName val="N4_11"/>
      <sheetName val="N_4_21"/>
      <sheetName val="N_5_1"/>
      <sheetName val="N_6_1"/>
      <sheetName val="N_71"/>
      <sheetName val="N7_11"/>
      <sheetName val="N7_1_11"/>
      <sheetName val="N_81"/>
      <sheetName val="N_91"/>
      <sheetName val="N_101"/>
      <sheetName val="PPN_cfm_SPT1"/>
      <sheetName val="PPN_cfm_pemeriksa-SPHP1"/>
      <sheetName val="PPN_cfm_pemeriksa-akhir1"/>
      <sheetName val="PPN_YgDisetujuiWP1"/>
      <sheetName val="SKP-_4_(2)1"/>
      <sheetName val="STP_4(2)1"/>
      <sheetName val="STP_PPN1"/>
      <sheetName val="General_Info1"/>
      <sheetName val="rekap_impor1"/>
      <sheetName val="N_51"/>
      <sheetName val="Lampiran_nett1"/>
      <sheetName val="CF_WORKSHEET1"/>
      <sheetName val="Daftar_SPP"/>
      <sheetName val="Pinj_(2)"/>
      <sheetName val="BA-Tolak_SPHP"/>
      <sheetName val="Ingat_II"/>
      <sheetName val="Usul_NE"/>
      <sheetName val="DASAR_HUKUM"/>
      <sheetName val="B_1_1"/>
      <sheetName val="B_1_2"/>
      <sheetName val="B_1_3"/>
      <sheetName val="B_1_4"/>
      <sheetName val="B_1_5"/>
      <sheetName val="B_1_6"/>
      <sheetName val="B_1_6_1"/>
      <sheetName val="B_1_6_1_1"/>
      <sheetName val="B_1_7"/>
      <sheetName val="B_1_8"/>
      <sheetName val="B1_9"/>
      <sheetName val="B2_Tambahan"/>
      <sheetName val="B3_Tambahan"/>
      <sheetName val="B_2"/>
      <sheetName val="B_3"/>
      <sheetName val="B_4"/>
      <sheetName val="B4_Tambahan"/>
      <sheetName val="B_5"/>
      <sheetName val="B5_Tambahan"/>
      <sheetName val="B_6"/>
      <sheetName val="B6_Tambahan"/>
      <sheetName val="B_7"/>
      <sheetName val="B7_Tambahan"/>
      <sheetName val="B_7_1"/>
      <sheetName val="B_7_1_1"/>
      <sheetName val="B_8"/>
      <sheetName val="B8_Tambahan"/>
      <sheetName val="B_9"/>
      <sheetName val="B9_Tambahan"/>
      <sheetName val="B_10"/>
      <sheetName val="B10_Tambahan"/>
      <sheetName val="B_112"/>
      <sheetName val="B_11_1"/>
      <sheetName val="B_11_2"/>
      <sheetName val="B11_Tambahan"/>
      <sheetName val="B_122"/>
      <sheetName val="B12_Tambahan"/>
      <sheetName val="B_13"/>
      <sheetName val="Hit_21"/>
      <sheetName val="PPH_terbaru"/>
      <sheetName val="C__Ps__21_TF"/>
      <sheetName val="C_2"/>
      <sheetName val="D_2"/>
      <sheetName val="D_3"/>
      <sheetName val="E__1_1"/>
      <sheetName val="E_2"/>
      <sheetName val="E_3"/>
      <sheetName val="F_1_1"/>
      <sheetName val="F_2"/>
      <sheetName val="F_3"/>
      <sheetName val="G__Ps_23"/>
      <sheetName val="G_1_1"/>
      <sheetName val="J_1_11"/>
      <sheetName val="J_2"/>
      <sheetName val="J_3"/>
      <sheetName val="K__Ps_4_2"/>
      <sheetName val="K_1_1"/>
      <sheetName val="L__Ps_15"/>
      <sheetName val="L_1_11"/>
      <sheetName val="L_2"/>
      <sheetName val="L_3"/>
      <sheetName val="N__PPN"/>
      <sheetName val="N_1"/>
      <sheetName val="N_1_a"/>
      <sheetName val="N_1_1"/>
      <sheetName val="N_1__2"/>
      <sheetName val="N_3_1"/>
      <sheetName val="N3_1_1"/>
      <sheetName val="N3_1_1_1"/>
      <sheetName val="N_3_2_1"/>
      <sheetName val="N_3_3_1"/>
      <sheetName val="N_3_4"/>
      <sheetName val="N_4_1"/>
      <sheetName val="N_8_1"/>
      <sheetName val="N_8_1_1"/>
      <sheetName val="N_8_2"/>
      <sheetName val="N_11"/>
      <sheetName val="Jawaban_PM"/>
      <sheetName val="SKP-21_Per_Masa"/>
      <sheetName val="SKP-21_F_Per_Masa"/>
      <sheetName val="SKP-22_F"/>
      <sheetName val="SKP-_15"/>
      <sheetName val="STP-21_F"/>
      <sheetName val="STP-22_F"/>
      <sheetName val="STP_15"/>
      <sheetName val="KPRIKPA1_2_SP3"/>
      <sheetName val="KPRIKPA1_10_daftar_pinjam"/>
      <sheetName val="KPRIKPA1_4_PEMB"/>
      <sheetName val="KPRIKPA1_5_SP_TOLAK"/>
      <sheetName val="LHP_PPN_terbaru"/>
      <sheetName val="B1_12"/>
      <sheetName val="B1_1_1"/>
      <sheetName val="B1_2"/>
      <sheetName val="B3_1_dst"/>
      <sheetName val="B12_1"/>
      <sheetName val="kredit_pajak"/>
      <sheetName val="C_001"/>
      <sheetName val="C_1_001"/>
      <sheetName val="C_1_0011"/>
      <sheetName val="C__2_001"/>
      <sheetName val="C_2_1_001"/>
      <sheetName val="C_3_001"/>
      <sheetName val="DAFTAR_ISI_(2)"/>
      <sheetName val="SPT_PK"/>
      <sheetName val="SPT_PM"/>
      <sheetName val="PM_PKPM_2014_olah"/>
      <sheetName val="PK_2014"/>
      <sheetName val="PM_2014"/>
      <sheetName val="B_(2)"/>
      <sheetName val="C_(2)"/>
      <sheetName val="G_Ps_23_(2)"/>
      <sheetName val="K_(2)"/>
      <sheetName val="N_(2)"/>
      <sheetName val="daftar_isi"/>
      <sheetName val="daftar_SP2"/>
      <sheetName val="ST-exSIK_(2)"/>
      <sheetName val="ST-exSIK_(3)"/>
      <sheetName val="hak_&amp;_kewajiban"/>
      <sheetName val="hak_&amp;_kewajiban_non_riksis"/>
      <sheetName val="BA_TEMU"/>
      <sheetName val="alamat_kantor"/>
      <sheetName val="BA_TEMU_NON_RIKSIS"/>
      <sheetName val="permintaan_peminjaman_dok"/>
      <sheetName val="_peminjaman_non_riksis"/>
      <sheetName val="10_(2)"/>
      <sheetName val="Pinj_PPN"/>
      <sheetName val="10_(PPN)"/>
      <sheetName val="14_2"/>
      <sheetName val="37_(2)"/>
      <sheetName val="47_(2)"/>
      <sheetName val="Jan_"/>
      <sheetName val="Feb_"/>
      <sheetName val="Mar_"/>
      <sheetName val="Apr_"/>
      <sheetName val="Mei_"/>
      <sheetName val="Jun_"/>
      <sheetName val="Jul_"/>
      <sheetName val="Aug_"/>
      <sheetName val="Sep_"/>
      <sheetName val="Okt_"/>
      <sheetName val="Nov_"/>
      <sheetName val="Des_"/>
      <sheetName val="Notes_to_BS"/>
      <sheetName val="CABUT_PKP"/>
      <sheetName val="HAPUS_NPWP"/>
      <sheetName val="NPWP_GANDA"/>
      <sheetName val="ND_PEMINJAMAN_BERKAS"/>
      <sheetName val="TABEL_BANTUAN_PEMINJAMAN_BERKAS"/>
      <sheetName val="ND_TUNGGAKAN"/>
      <sheetName val="TABEL_BANTUAN_TUNGGAKAN"/>
      <sheetName val="List_Bantuan"/>
      <sheetName val="Expenses_List"/>
      <sheetName val="Inc__Dr_and_Cr_"/>
      <sheetName val="TB_Debit"/>
      <sheetName val="TB_Credit"/>
      <sheetName val="Basic_Data"/>
      <sheetName val="BASIC_ZONE2"/>
      <sheetName val="Audit_Plan-9"/>
      <sheetName val="Audit_Prog-9"/>
      <sheetName val="Laba_Rugi"/>
      <sheetName val="Kirim_Nothit"/>
      <sheetName val="BAWPtdk_ada"/>
      <sheetName val="Detil_Pelaporan"/>
      <sheetName val="Executive_Summary"/>
      <sheetName val="review_sheet"/>
      <sheetName val="PPh_Badan"/>
      <sheetName val="uji_B1"/>
      <sheetName val="B-1a_1"/>
      <sheetName val="B-1b_1"/>
      <sheetName val="Rekap_Penyusutan"/>
      <sheetName val="Daftar_Penyusutan"/>
      <sheetName val="SPT_Tahunan"/>
      <sheetName val="SPT_Tahunan$"/>
      <sheetName val="lamp_V"/>
      <sheetName val="lamp_VI"/>
      <sheetName val="SSP_PPh22_Impor"/>
      <sheetName val="SSP_PPh2529"/>
      <sheetName val="Bupot_2"/>
      <sheetName val="Bukpot_PPh_Badan"/>
      <sheetName val="Bukpot_PPh_Badan$"/>
      <sheetName val="SPT_21"/>
      <sheetName val="rekap_21"/>
      <sheetName val="C2_Fix"/>
      <sheetName val="C2_2017"/>
      <sheetName val="Rincian_PPh_21"/>
      <sheetName val="SPT_PPN"/>
      <sheetName val="SPT_PPN_AB"/>
      <sheetName val="SSP_PPN_Impor"/>
      <sheetName val="lamp_B1"/>
      <sheetName val="lamp_B3"/>
      <sheetName val="Rekap_PM"/>
      <sheetName val="kode_map"/>
      <sheetName val="temp_LHP"/>
      <sheetName val="temp_lhp2"/>
      <sheetName val="temp_KKP"/>
      <sheetName val="SP_Lap"/>
      <sheetName val="ND_Harta"/>
      <sheetName val="Gabungan_21"/>
      <sheetName val="Gabungan_21F"/>
      <sheetName val="Gabungan_22"/>
      <sheetName val="Gabungan_22F"/>
      <sheetName val="Gabungan_23"/>
      <sheetName val="Gabungan_26"/>
      <sheetName val="Gabungan_42"/>
      <sheetName val="Gabungan_15F"/>
      <sheetName val="Detil_Faktur_Pembelian"/>
      <sheetName val="Detil_Faktur_Penjualan"/>
      <sheetName val="COVER_PKP"/>
      <sheetName val="setting_area"/>
      <sheetName val="Art_23"/>
      <sheetName val="A_u_g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M_a_r"/>
      <sheetName val="MM_PAGE-2_X"/>
      <sheetName val="rinciaan_AR_2009"/>
      <sheetName val="master"/>
      <sheetName val="Hit Potput"/>
      <sheetName val="add-tanah"/>
      <sheetName val="0282A"/>
      <sheetName val="execSummary"/>
      <sheetName val="Tanggapan"/>
      <sheetName val="equal"/>
      <sheetName val="kewajaran"/>
      <sheetName val="B2 (industri) (2)"/>
      <sheetName val="B12.1a"/>
      <sheetName val="E. Ps. 22 induk"/>
      <sheetName val="N5.1"/>
      <sheetName val="N7.2 (1)"/>
      <sheetName val="Macro5"/>
      <sheetName val="Analisis Risiko"/>
      <sheetName val="2016"/>
      <sheetName val="asam sulfat"/>
      <sheetName val="OLDMAP"/>
      <sheetName val="BA-AR"/>
      <sheetName val="Surat Kuasa OP"/>
      <sheetName val="Surat Kuasa Badan"/>
      <sheetName val="Lampiran Surat Kuasa"/>
      <sheetName val="Surat Kuasa LHKPN"/>
      <sheetName val="BA-Tolak Kuasa"/>
      <sheetName val="BA-tempat WP"/>
      <sheetName val="SP"/>
      <sheetName val="BA-data"/>
      <sheetName val="Lamp BA-data"/>
      <sheetName val="BA-Pinjam_tolak"/>
      <sheetName val="SP ps8(4)"/>
      <sheetName val="BAPK"/>
      <sheetName val="BA tHadir"/>
      <sheetName val="Month"/>
      <sheetName val="P&amp;L BSheet CFlow"/>
      <sheetName val="ES"/>
      <sheetName val="Cover LHP"/>
      <sheetName val="BADAN"/>
      <sheetName val="Cover KKP"/>
      <sheetName val="KKP"/>
      <sheetName val="B7 "/>
      <sheetName val="B 13"/>
      <sheetName val="B13.1_dst"/>
      <sheetName val="B14"/>
      <sheetName val="L-uji (1)"/>
      <sheetName val="NOTHIT BARU"/>
      <sheetName val="CIPA"/>
      <sheetName val="Squirrel SQL Export"/>
      <sheetName val="KKA Profil"/>
      <sheetName val="invoice (4)"/>
      <sheetName val="invoice (5)"/>
      <sheetName val="B.2.1 (2)"/>
      <sheetName val="PEMBELIAN"/>
      <sheetName val="Register"/>
      <sheetName val="KKA Induk (2)"/>
      <sheetName val="KKA I.1 (2)"/>
      <sheetName val="1770S-II"/>
      <sheetName val="Pasal 21 Des 20"/>
      <sheetName val=" RTA2 MEI"/>
      <sheetName val="RATA2 JUN"/>
      <sheetName val="RTA2JULI"/>
      <sheetName val="RTA2AUG"/>
      <sheetName val="RATA2 APR"/>
      <sheetName val="22JUN"/>
      <sheetName val="Rf_Bantuan"/>
      <sheetName val="cf9900"/>
      <sheetName val="REV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 refreshError="1"/>
      <sheetData sheetId="210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/>
      <sheetData sheetId="478"/>
      <sheetData sheetId="479"/>
      <sheetData sheetId="480" refreshError="1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/>
      <sheetData sheetId="540" refreshError="1"/>
      <sheetData sheetId="541" refreshError="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 refreshError="1"/>
      <sheetData sheetId="814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/>
      <sheetData sheetId="856"/>
      <sheetData sheetId="857" refreshError="1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 refreshError="1"/>
      <sheetData sheetId="869"/>
      <sheetData sheetId="870"/>
      <sheetData sheetId="871"/>
      <sheetData sheetId="872"/>
      <sheetData sheetId="873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/>
      <sheetData sheetId="901" refreshError="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 refreshError="1"/>
      <sheetData sheetId="1135" refreshError="1"/>
      <sheetData sheetId="1136" refreshError="1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/>
      <sheetData sheetId="1439"/>
      <sheetData sheetId="1440" refreshError="1"/>
      <sheetData sheetId="1441" refreshError="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 refreshError="1"/>
      <sheetData sheetId="1457" refreshError="1"/>
      <sheetData sheetId="1458" refreshError="1"/>
      <sheetData sheetId="1459"/>
      <sheetData sheetId="1460"/>
      <sheetData sheetId="1461"/>
      <sheetData sheetId="1462"/>
      <sheetData sheetId="1463"/>
      <sheetData sheetId="1464"/>
      <sheetData sheetId="1465" refreshError="1"/>
      <sheetData sheetId="1466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/>
      <sheetData sheetId="1478"/>
      <sheetData sheetId="1479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B INVEN U.O"/>
      <sheetName val="DAF.INVEN U.O"/>
      <sheetName val="DAF.INV-JUNI'05"/>
      <sheetName val="DAF.INV-JUNI'05 (2)"/>
      <sheetName val="DAF_INVEN U_O"/>
      <sheetName val="ESTIMASI MITRA"/>
      <sheetName val="Sheet2 PLT"/>
      <sheetName val="BTL"/>
      <sheetName val="DAT_1"/>
      <sheetName val="Identitas"/>
      <sheetName val="NONCAB"/>
      <sheetName val="LN"/>
      <sheetName val="DKI"/>
      <sheetName val="GABUNGAN"/>
      <sheetName val="LRK"/>
      <sheetName val="NONNRC"/>
      <sheetName val="KURS"/>
      <sheetName val="Trading Statement"/>
      <sheetName val="KKP"/>
      <sheetName val="Tickmarks"/>
      <sheetName val="BSHO Report"/>
      <sheetName val="Check Sheet"/>
      <sheetName val="Front"/>
      <sheetName val="PLHO Report"/>
      <sheetName val="PLHOENG"/>
      <sheetName val="A"/>
      <sheetName val="Module2"/>
      <sheetName val="B7"/>
      <sheetName val="MATERIALFINAL"/>
      <sheetName val="Front sheet"/>
      <sheetName val="TBCons KMB04"/>
      <sheetName val="PABRIK (2)"/>
      <sheetName val="PO"/>
      <sheetName val="bdrl-usg"/>
      <sheetName val="COSY"/>
      <sheetName val="CPO 16-9-TID "/>
      <sheetName val="Analysis(17)"/>
      <sheetName val="Perhitungan"/>
      <sheetName val="Link Config KALTENG-KALSEL 2005"/>
      <sheetName val="KALBAR 2005 BOQ"/>
      <sheetName val="Expenses"/>
      <sheetName val="Lease Expiry"/>
      <sheetName val="TENSCH"/>
      <sheetName val="ESCON"/>
      <sheetName val="Pendp(5)"/>
      <sheetName val="ClubLounge"/>
      <sheetName val="A&amp;G."/>
      <sheetName val="Ambiente"/>
      <sheetName val="Bistro"/>
      <sheetName val="B.Ctr"/>
      <sheetName val="HRD."/>
      <sheetName val="G.Ldy"/>
      <sheetName val="Mini Bar"/>
      <sheetName val="OutsideCTR"/>
      <sheetName val="Pool Cafe"/>
      <sheetName val="P&amp;L Consolidation "/>
      <sheetName val="Rooms Dept."/>
      <sheetName val="ROI"/>
      <sheetName val="In R-Dining"/>
      <sheetName val="S&amp;M."/>
      <sheetName val="Bakery"/>
      <sheetName val="Banquet"/>
      <sheetName val="FB Analysis"/>
      <sheetName val="FBadm"/>
      <sheetName val="Kitc"/>
      <sheetName val="Lounge"/>
      <sheetName val="Pomec."/>
      <sheetName val="Stw"/>
      <sheetName val="Tavern"/>
      <sheetName val="Telephone"/>
      <sheetName val="SA&amp;CW"/>
      <sheetName val="Parameters"/>
      <sheetName val="Tools&amp;Equipment"/>
      <sheetName val="Price"/>
      <sheetName val="MM.PAGE-2.X"/>
      <sheetName val="OHCKR"/>
      <sheetName val="populasi"/>
      <sheetName val="General Info"/>
      <sheetName val="Unit vol"/>
      <sheetName val="Constants"/>
      <sheetName val="Notes to BS"/>
      <sheetName val="PK HJ  HP"/>
      <sheetName val="TAX LIST"/>
      <sheetName val="Reference"/>
      <sheetName val="LWLOPT"/>
      <sheetName val="EBITRECS"/>
      <sheetName val="5X3"/>
      <sheetName val="ISAT WCDMA"/>
      <sheetName val="New 1B"/>
      <sheetName val="Page 2"/>
      <sheetName val="TB"/>
      <sheetName val="DETAIL"/>
      <sheetName val="Prod &amp; Sales"/>
      <sheetName val="Data"/>
      <sheetName val="SCORE_RC_Code"/>
      <sheetName val="COA"/>
      <sheetName val="LOOKUP"/>
      <sheetName val="10"/>
      <sheetName val="F1查核說明-資產負債"/>
      <sheetName val="Budget 2006"/>
      <sheetName val="Interbank detail"/>
      <sheetName val="may"/>
      <sheetName val="PK"/>
      <sheetName val="Suppl-pack"/>
      <sheetName val="ca.Cash"/>
      <sheetName val="A1 查核說明"/>
      <sheetName val="A2 短投增減變動表"/>
      <sheetName val="Marshal"/>
      <sheetName val="tab"/>
      <sheetName val="39"/>
      <sheetName val="_43_9_1"/>
      <sheetName val="12"/>
      <sheetName val="1.Rollfwd"/>
      <sheetName val="Lead"/>
      <sheetName val="XREF"/>
      <sheetName val="36"/>
      <sheetName val="低值品"/>
      <sheetName val="Asumsi"/>
      <sheetName val="ppr BS"/>
      <sheetName val="ppr PL"/>
      <sheetName val="ppr GroupProduct"/>
      <sheetName val="MCTU"/>
      <sheetName val="PL (MONTHLY)"/>
      <sheetName val="PACKER-CAPACITY"/>
      <sheetName val="NPPC"/>
      <sheetName val="Sheet1"/>
      <sheetName val="Exc. Rate"/>
      <sheetName val="PS data"/>
      <sheetName val="Neraca"/>
      <sheetName val="I.3"/>
      <sheetName val="WASTE BY MATERIAL"/>
      <sheetName val="Notes to Accounts"/>
      <sheetName val="PDG"/>
      <sheetName val="PB_INVEN_U_O"/>
      <sheetName val="DAF_INVEN_U_O"/>
      <sheetName val="DAF_INV-JUNI'05"/>
      <sheetName val="DAF_INV-JUNI'05_(2)"/>
      <sheetName val="DAF_INVEN_U_O1"/>
      <sheetName val="Front_sheet"/>
      <sheetName val="YN_Psewa"/>
      <sheetName val="OLDMAP"/>
      <sheetName val="1195 B1"/>
      <sheetName val="Statistics"/>
      <sheetName val="Decision"/>
      <sheetName val="ItemX"/>
      <sheetName val="Link_Config_KALTENG-KALSEL_2005"/>
      <sheetName val="KALBAR_2005_BOQ"/>
      <sheetName val="MM_PAGE-2_X"/>
      <sheetName val="Detail Fixed Asset"/>
      <sheetName val="000419up"/>
      <sheetName val="LPPPSL"/>
      <sheetName val="TYPE"/>
      <sheetName val="Rincian Htg&amp;Piutang Afil CV"/>
      <sheetName val="U1 P&amp;L"/>
      <sheetName val="II"/>
      <sheetName val="Kewajiban Lainnya"/>
      <sheetName val="Vehicle Operational"/>
      <sheetName val="M_Maincomp"/>
      <sheetName val="TBM"/>
      <sheetName val="ocean voyage"/>
      <sheetName val="wp"/>
      <sheetName val="SPT"/>
      <sheetName val="Inventories"/>
      <sheetName val="2-asi-00"/>
      <sheetName val="4.1 Placement w.o.b"/>
      <sheetName val="Pendanaan"/>
      <sheetName val="Trading_Statement"/>
      <sheetName val="4_1_Placement_w_o_b"/>
      <sheetName val="B"/>
      <sheetName val="Rates"/>
      <sheetName val="RATE"/>
      <sheetName val="cov"/>
      <sheetName val="Ex_Rate"/>
      <sheetName val="Sheet3"/>
      <sheetName val="t"/>
      <sheetName val="JURNAL INVEN U.O - KP"/>
      <sheetName val="FTP"/>
      <sheetName val="A.4.3"/>
      <sheetName val="GeneralInfo"/>
      <sheetName val="List of Country"/>
      <sheetName val="Base Data"/>
      <sheetName val="PERBANDINGAN"/>
      <sheetName val="PENSIUN_MPP"/>
      <sheetName val="1"/>
      <sheetName val="Lap des"/>
      <sheetName val="IS "/>
      <sheetName val="Nc-0698"/>
      <sheetName val="12-06-ins"/>
      <sheetName val="Detali Invoice"/>
      <sheetName val="REF"/>
      <sheetName val="B-A KAS"/>
      <sheetName val="KAS-OPNAM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i LPP"/>
      <sheetName val="Surat Awal"/>
      <sheetName val="Awas"/>
      <sheetName val="LPP"/>
      <sheetName val="S~Tahu"/>
      <sheetName val="IHPA"/>
      <sheetName val="dapharta"/>
      <sheetName val="alket"/>
      <sheetName val="LAp klu"/>
      <sheetName val="lihpk"/>
      <sheetName val="SKP~NH25"/>
      <sheetName val="SKP~NH21"/>
      <sheetName val="SKP~NH23"/>
      <sheetName val="SKP~NH26"/>
      <sheetName val="SKP~NH4(2)"/>
      <sheetName val="SKP~NH4(2)SEWA X"/>
      <sheetName val="SKP~NHPPN"/>
      <sheetName val="STP~NH23"/>
      <sheetName val="S-Antar"/>
      <sheetName val="KPKOM4"/>
      <sheetName val="KOP~"/>
      <sheetName val="Awas LPP"/>
      <sheetName val="DAF.INVEN U.O"/>
      <sheetName val="Niaga USD-lembaga"/>
      <sheetName val="BRI_GiroUSD-lembaga"/>
      <sheetName val="Niaga Tab lem"/>
      <sheetName val="Rekap"/>
      <sheetName val="ban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T"/>
      <sheetName val="KPKom"/>
      <sheetName val="Sheet2"/>
      <sheetName val="DATA"/>
      <sheetName val="SPPP"/>
      <sheetName val="Berkas"/>
      <sheetName val="PP"/>
      <sheetName val="Rasio"/>
      <sheetName val="APro"/>
      <sheetName val="DbKtr"/>
      <sheetName val="DbTF"/>
      <sheetName val="DbPem"/>
      <sheetName val="Tarif"/>
      <sheetName val="DaKor"/>
      <sheetName val="LPIS"/>
      <sheetName val="LPP"/>
      <sheetName val="ENTRY"/>
      <sheetName val="KLU"/>
      <sheetName val="rasio nrc"/>
      <sheetName val="cashflow"/>
      <sheetName val="indeksKKP"/>
      <sheetName val="BPP"/>
      <sheetName val="Rasio (2)"/>
      <sheetName val="Sheet1"/>
      <sheetName val="RK1"/>
      <sheetName val="SIK Ke-1"/>
      <sheetName val="SIK Ke-2"/>
      <sheetName val="Neraca Saldo"/>
      <sheetName val="Cash Flow"/>
      <sheetName val="Lamp-1 (2)"/>
      <sheetName val="PinjamWP"/>
      <sheetName val="SIK Ke-1 (2)"/>
      <sheetName val="pengantar fax"/>
      <sheetName val="Tarif (2)"/>
      <sheetName val="Tarif (3)"/>
      <sheetName val="Tarif (4)"/>
      <sheetName val="Pinjam WP"/>
      <sheetName val="Pulang berkas"/>
      <sheetName val="KPKOM3"/>
      <sheetName val="KodeDKHP"/>
      <sheetName val="Niaga USD-lembaga"/>
      <sheetName val="BRI_GiroUSD-lembaga"/>
      <sheetName val="Niaga Tab lem"/>
    </sheetNames>
    <sheetDataSet>
      <sheetData sheetId="0"/>
      <sheetData sheetId="1"/>
      <sheetData sheetId="2"/>
      <sheetData sheetId="3">
        <row r="2">
          <cell r="D2" t="str">
            <v>PT Kawasaki Motor Indonesia</v>
          </cell>
        </row>
      </sheetData>
      <sheetData sheetId="4">
        <row r="3">
          <cell r="A3" t="str">
            <v>KANTOR WILAYAH DJP JAKARTA KHUSUS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HP"/>
      <sheetName val="Lamp"/>
      <sheetName val="Perst"/>
      <sheetName val="NH"/>
      <sheetName val="KOR"/>
      <sheetName val="UR"/>
      <sheetName val="US"/>
      <sheetName val="PK"/>
      <sheetName val="PPNT"/>
      <sheetName val="ANL"/>
      <sheetName val="PB"/>
      <sheetName val="INT"/>
      <sheetName val="A2"/>
      <sheetName val="A1"/>
      <sheetName val="Sheet14"/>
      <sheetName val="Sheet15"/>
      <sheetName val="Sheet16"/>
      <sheetName val="P-PPN"/>
      <sheetName val="DbKtr"/>
      <sheetName val="Tab!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PK"/>
      <sheetName val="KOR"/>
      <sheetName val="Tab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"/>
      <sheetName val="PRODUCTION REPORTS"/>
      <sheetName val="MASTER"/>
      <sheetName val="ANIMATION ONLY"/>
      <sheetName val="CONCEP-STREET"/>
      <sheetName val="ANIMATION COST FORECAST"/>
      <sheetName val="WEEKLY"/>
      <sheetName val="Sheet1"/>
      <sheetName val="EXTERNAL ANIMATION"/>
      <sheetName val="LMA"/>
      <sheetName val="Jateng"/>
      <sheetName val="Jatim"/>
      <sheetName val="contekan"/>
      <sheetName val="ASUMPTION"/>
      <sheetName val="KSO-Revenue"/>
      <sheetName val="gvl"/>
      <sheetName val="summary"/>
      <sheetName val="EXTERNA_x0000__x0000_ANIMATION"/>
      <sheetName val="EXTERNA"/>
      <sheetName val="Ref"/>
      <sheetName val="Calcs"/>
      <sheetName val="CA"/>
      <sheetName val="2D_REPNew2.4"/>
      <sheetName val="BBM-03"/>
      <sheetName val="EXTERNA??ANIMATION"/>
      <sheetName val="①　BP vs SPR (TTL Impact)"/>
      <sheetName val="Table 5"/>
      <sheetName val="General Info"/>
      <sheetName val="2003 ACT CFlow"/>
      <sheetName val="2003 BGT C Flow"/>
      <sheetName val="HO Use"/>
      <sheetName val="Engineering Workload"/>
      <sheetName val="TB0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2-asi-00"/>
      <sheetName val="ANGGARAN"/>
      <sheetName val="Rates"/>
      <sheetName val="summary-final"/>
      <sheetName val="PERSONAL"/>
      <sheetName val="absen kebun 28"/>
      <sheetName val="absen panen 28"/>
      <sheetName val="UPAH 28"/>
      <sheetName val="TB"/>
      <sheetName val="Penyusutan Kendaraan"/>
      <sheetName val="Tables"/>
      <sheetName val="Instructions"/>
      <sheetName val="Stock Report"/>
      <sheetName val="lookup table"/>
      <sheetName val="1152000"/>
      <sheetName val="EXTERNA_x005f_x0000__x005f_x0000_ANIMATION"/>
      <sheetName val="Monthly"/>
      <sheetName val="BODP-16KOLOM"/>
      <sheetName val="SLS-TGT-FEED (FDM)"/>
      <sheetName val="C O A"/>
      <sheetName val="WS"/>
      <sheetName val="EXTERNA__ANIMATION"/>
      <sheetName val="Fixset"/>
      <sheetName val="PriceList"/>
      <sheetName val="CTIPricing"/>
      <sheetName val="Input"/>
      <sheetName val="PlatformList"/>
      <sheetName val="Adj"/>
      <sheetName val="PRODUCTION_REPORTS"/>
      <sheetName val="ANIMATION_ONLY"/>
      <sheetName val="ANIMATION_COST_FORECAST"/>
      <sheetName val="EXTERNAL_ANIMATION"/>
      <sheetName val="KONS_BID_P&amp;N"/>
      <sheetName val="UP_II_DUMAI"/>
      <sheetName val="KP_DIT_HULU"/>
      <sheetName val="UP_VI_BALONGAN"/>
      <sheetName val="UP_1_BRANDAN"/>
      <sheetName val="UP_V_BALIKPAPAN"/>
      <sheetName val="DIT_HILIR"/>
      <sheetName val="UP_IV_CILACAP"/>
      <sheetName val="UP_III_PLAJU"/>
      <sheetName val="KONS_DIT_HULU"/>
      <sheetName val="KR_AMPEL"/>
      <sheetName val="UP_VII_KASIM"/>
      <sheetName val="KONS_BID_P"/>
      <sheetName val="2003_ACT_CFlow"/>
      <sheetName val="2003_BGT_C_Flow"/>
      <sheetName val="HO_Use"/>
      <sheetName val="EXTERNAANIMATION"/>
      <sheetName val="General_Info"/>
      <sheetName val="Engineering_Workload"/>
      <sheetName val="EXRA"/>
      <sheetName val="Income Statement"/>
      <sheetName val="NB UNIT3"/>
      <sheetName val="List of related party"/>
      <sheetName val="Iss Jrn"/>
      <sheetName val="Report"/>
      <sheetName val="Table_5"/>
      <sheetName val="2D_REPNew2_4"/>
      <sheetName val="TABEL"/>
      <sheetName val="List Pilihan"/>
      <sheetName val="Altman Z Score"/>
      <sheetName val="A"/>
      <sheetName val="FAKTOR"/>
      <sheetName val="CRITERIA2"/>
      <sheetName val="Coll Bulan ini"/>
      <sheetName val="Coll Bulan lalu"/>
      <sheetName val="Renc Bulan ini"/>
      <sheetName val="Renc Bulan Lalu"/>
      <sheetName val="Okt"/>
      <sheetName val="SCH 3"/>
      <sheetName val="hiden"/>
      <sheetName val="17"/>
      <sheetName val="C13"/>
      <sheetName val="CDYW"/>
      <sheetName val="Exch.rate"/>
      <sheetName val="rab.33.2011.krt"/>
      <sheetName val="Ex_Rate"/>
      <sheetName val="RADIO CONTROLS"/>
      <sheetName val="KPI-Data Source"/>
      <sheetName val="ocean voyage"/>
      <sheetName val="U-EK"/>
      <sheetName val="upah_borong"/>
      <sheetName val="harsat"/>
      <sheetName val="satuan_pek"/>
      <sheetName val="MENU"/>
      <sheetName val="A u g"/>
      <sheetName val="EXTERNA_x005f_x005f_x005f_x0000__x005f_x005f_x000"/>
      <sheetName val="lembar_kerja"/>
      <sheetName val="bez_karPim"/>
      <sheetName val="bez_karpel"/>
      <sheetName val="pihak iii"/>
      <sheetName val="FF-3"/>
      <sheetName val="alokasi"/>
      <sheetName val="O4_CA"/>
      <sheetName val="atp"/>
      <sheetName val="prom"/>
      <sheetName val="nm kbn"/>
      <sheetName val="tu"/>
      <sheetName val="EXTERNA_x005f_x005f_x005f_x005f_x005f_x005f_x0000"/>
      <sheetName val="EXTERNA_x005f_x005f_x005f_x005f_x005f_x005f_x005f"/>
      <sheetName val="EXTERNA_x005f_x005f_x005f_x0000__x000"/>
      <sheetName val="EXTERNA_x005f_x005f_x005f_x005f_x0000"/>
      <sheetName val="EXTERNA_x005f_x005f_x005f_x005f_x005f"/>
      <sheetName val="TBM KR 2006"/>
      <sheetName val="almanak &amp;hk."/>
      <sheetName val="HP99"/>
      <sheetName val="ADD"/>
      <sheetName val="rab_33"/>
      <sheetName val="EXTERNA_x005f_x0000__x000"/>
      <sheetName val="EXTERNA_x005f_x005f_x0000"/>
      <sheetName val="EXTERNA_x005f_x005f_x005f"/>
      <sheetName val="pintar"/>
      <sheetName val="K4. F&amp;F"/>
      <sheetName val="SOAL42"/>
      <sheetName val="EXTERNA_x0000__x000"/>
      <sheetName val="EXTERNA_x0000"/>
      <sheetName val="EXTERNA_x005f"/>
      <sheetName val="CA-O7"/>
      <sheetName val="fm13(Giro)"/>
      <sheetName val="kepmenaker150"/>
      <sheetName val="1106-M&amp;E"/>
      <sheetName val="SW1"/>
      <sheetName val="gl"/>
      <sheetName val="C1 NOV"/>
      <sheetName val="N1"/>
      <sheetName val="Main"/>
      <sheetName val="FF-21(a)"/>
      <sheetName val="angs griya"/>
      <sheetName val="neraca"/>
      <sheetName val="Draft Neraca"/>
      <sheetName val="MAPP"/>
      <sheetName val="rek det 1-3"/>
      <sheetName val="HARGA SATUAN"/>
      <sheetName val="KEUANGAN"/>
      <sheetName val="Call"/>
      <sheetName val="pak-03"/>
      <sheetName val="Alat"/>
      <sheetName val="Persiapan"/>
      <sheetName val="Lain2"/>
      <sheetName val="Tabel2"/>
      <sheetName val="ANALISA"/>
      <sheetName val="PPN-M"/>
      <sheetName val="dongia (2)"/>
      <sheetName val="giathanh1"/>
      <sheetName val="DON GIA"/>
      <sheetName val="THPDMoi  (2)"/>
      <sheetName val="lam-moi"/>
      <sheetName val="gtrinh"/>
      <sheetName val="#REF"/>
      <sheetName val="thao-go"/>
      <sheetName val="CHITIET VL-NC"/>
      <sheetName val="CHITIET VL-NC-TT -1p"/>
      <sheetName val="VC"/>
      <sheetName val="TH XL"/>
      <sheetName val="chitiet"/>
      <sheetName val="Tiepdia"/>
      <sheetName val="CHITIET VL-NC-TT-3p"/>
      <sheetName val="TONGKE-HT"/>
      <sheetName val="t-h HA THE"/>
      <sheetName val="TDTKP"/>
      <sheetName val="TDTKP1"/>
      <sheetName val="TONGKE3p "/>
      <sheetName val="KPVC-BD "/>
      <sheetName val="VCV-BE-TONG"/>
      <sheetName val="TNHCHINH"/>
      <sheetName val="hrg"/>
      <sheetName val="pro ra op"/>
      <sheetName val="grafik"/>
      <sheetName val="Program Triwulanan-04"/>
      <sheetName val="data berat"/>
      <sheetName val="3 - Balance Sheet"/>
      <sheetName val="5 - Cash Flow"/>
      <sheetName val="Data Parameter"/>
      <sheetName val="SC Pusat BB301"/>
      <sheetName val="SC Pusat BB303"/>
      <sheetName val="Cucian"/>
      <sheetName val="SC Pusat krd"/>
      <sheetName val="R"/>
      <sheetName val="DPPN"/>
      <sheetName val="4 - Income Statement"/>
      <sheetName val="NT"/>
      <sheetName val="TB-Detail-IDR"/>
      <sheetName val="Analisa Harga Satuan"/>
      <sheetName val="Tanah 09"/>
      <sheetName val="Ass_Planting"/>
      <sheetName val="Inputs"/>
      <sheetName val="rekap pph 23"/>
      <sheetName val="21 &amp; 25"/>
      <sheetName val="PPN"/>
      <sheetName val="Keragaan"/>
      <sheetName val="단가"/>
      <sheetName val="Perhitungan"/>
      <sheetName val="Asumsi"/>
      <sheetName val="2002"/>
      <sheetName val="bantenJBTBK"/>
      <sheetName val="Bekasi"/>
      <sheetName val="tanggerang"/>
      <sheetName val="sukabumi"/>
      <sheetName val="cianjur"/>
      <sheetName val="cilegon"/>
      <sheetName val="serang"/>
      <sheetName val="98"/>
      <sheetName val="BogorF"/>
      <sheetName val="trendJKT"/>
      <sheetName val="Bogor"/>
      <sheetName val="pandeglang"/>
      <sheetName val="lebak"/>
      <sheetName val="99"/>
      <sheetName val="00"/>
      <sheetName val="Chart Of Acc"/>
      <sheetName val="Ring"/>
      <sheetName val="Eksisting Penarikan"/>
      <sheetName val="DAT_1"/>
      <sheetName val="3"/>
      <sheetName val="MGR_12"/>
      <sheetName val="Daftar Harga"/>
      <sheetName val="Rinci-Biaya"/>
      <sheetName val="Rinci-Pendapatan"/>
      <sheetName val="rab_50"/>
      <sheetName val="Cash-print"/>
      <sheetName val="Tanaman"/>
      <sheetName val="MD13"/>
      <sheetName val="DATA"/>
      <sheetName val="Sheet8"/>
      <sheetName val="GAOL_SMK"/>
      <sheetName val="Sheet6"/>
      <sheetName val="Lamp 2 "/>
      <sheetName val="lm7-11"/>
      <sheetName val="Permanent info"/>
      <sheetName val="JUAL"/>
      <sheetName val="A-HC"/>
      <sheetName val="PPH1298S"/>
      <sheetName val="RL"/>
      <sheetName val="laru-kbn"/>
      <sheetName val="TK1"/>
      <sheetName val="CONFIG2"/>
      <sheetName val="Coy"/>
      <sheetName val="KH-Q1,Q2,01"/>
      <sheetName val="Sumda1"/>
      <sheetName val="Volume"/>
      <sheetName val="villa"/>
      <sheetName val="JSiar"/>
      <sheetName val="TOWN"/>
      <sheetName val="H.Satuan"/>
      <sheetName val="s5"/>
      <sheetName val="alamat"/>
      <sheetName val="RAP"/>
      <sheetName val="MarkUp"/>
      <sheetName val="5614.a Factory Machinery"/>
      <sheetName val="5614.b Diesel "/>
      <sheetName val="5614.c Factory Equipment"/>
      <sheetName val="5614.C Coal Boiler"/>
      <sheetName val="ACHV_JAN_FEB_MAR_APR"/>
      <sheetName val="COVER"/>
      <sheetName val="Access"/>
      <sheetName val="TB_BLSHT"/>
      <sheetName val="TBCons KMB04"/>
      <sheetName val="bpp"/>
      <sheetName val="Sheet7"/>
      <sheetName val="Outil"/>
      <sheetName val="Coef Calculation"/>
      <sheetName val="Kontensalden"/>
      <sheetName val="PEG"/>
      <sheetName val="Pipe"/>
      <sheetName val="RATE"/>
      <sheetName val="GeneralInfo"/>
      <sheetName val="List"/>
      <sheetName val="original"/>
      <sheetName val="BA Rekon ARDWS-APTSEL (IDR)"/>
      <sheetName val="BA Rekon RevDWS-ExpTSEL (IDR)"/>
      <sheetName val="BA Rekon ARAP (USD)"/>
      <sheetName val="BA Rekon RevExp (USD)"/>
      <sheetName val="BA Rekon RevDWS-ExpTSEL (SLI)"/>
      <sheetName val="Memo"/>
      <sheetName val="Jurnal Memo (USD)"/>
      <sheetName val="Ex-Rate"/>
      <sheetName val="logopt"/>
      <sheetName val="FISIK RAB 2000"/>
      <sheetName val="Satuan Harga Bahan"/>
      <sheetName val="Satuan Harga Upah"/>
      <sheetName val="Material SAP"/>
      <sheetName val="Salary"/>
      <sheetName val="Master File"/>
      <sheetName val="Master Data"/>
      <sheetName val="Pivot-HK"/>
      <sheetName val="Assump"/>
      <sheetName val="BUDGET_1999"/>
      <sheetName val="Disposals"/>
      <sheetName val="KASUS8"/>
      <sheetName val="ABG-BUDGET"/>
      <sheetName val="BMV-BUDGET"/>
      <sheetName val="CLN-BUDGET"/>
      <sheetName val="COL-BUDGET"/>
      <sheetName val="CORP-BUDGET"/>
      <sheetName val="LVL-BUDGET"/>
      <sheetName val="PON-BUDGET"/>
      <sheetName val="BUDGET"/>
      <sheetName val="SALES-BUDGET"/>
      <sheetName val="SEN-BUDGET"/>
      <sheetName val="SUF-BUDGET"/>
      <sheetName val="Based Data_wacc"/>
      <sheetName val="재료비"/>
      <sheetName val="Data Sheet "/>
      <sheetName val="Accounts"/>
      <sheetName val="CRITERIA1"/>
      <sheetName val="KOCAB"/>
      <sheetName val="KRN"/>
      <sheetName val="inti"/>
      <sheetName val="by.sendiri"/>
      <sheetName val="plasma"/>
      <sheetName val="bezeting."/>
      <sheetName val="TOP"/>
      <sheetName val="bs09"/>
      <sheetName val="bs10"/>
      <sheetName val="fiscal"/>
      <sheetName val="OTHER PREPAID EXPENSE"/>
      <sheetName val="①　BP_vs_SPR_(TTL_Impact)"/>
      <sheetName val="pro_ra_op"/>
      <sheetName val="9"/>
      <sheetName val="14"/>
      <sheetName val="15"/>
      <sheetName val="D"/>
      <sheetName val="7"/>
      <sheetName val="B"/>
      <sheetName val="SKCD DATA GP YK"/>
      <sheetName val="NPWP DEBITUR"/>
      <sheetName val="rab.3.krt"/>
      <sheetName val="rab.4.krt"/>
      <sheetName val="rab.4.swt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Du_lieu"/>
      <sheetName val="CF-hot"/>
      <sheetName val="Material"/>
      <sheetName val="Bal 1997-1998"/>
      <sheetName val="REKAP OMZET KAPAL"/>
      <sheetName val="BS-RTI"/>
      <sheetName val="RMS FUNGSIONAL"/>
      <sheetName val="RMS - STR (2)"/>
      <sheetName val="SEN_FUNG"/>
      <sheetName val="p.mgmt"/>
      <sheetName val="1"/>
      <sheetName val="nc-0698"/>
      <sheetName val="tabel rimba"/>
      <sheetName val="RO344 TOTAL"/>
      <sheetName val="KBB-CIB BANK"/>
      <sheetName val="data arus kas"/>
      <sheetName val="SDAYA"/>
      <sheetName val="EXECp2"/>
      <sheetName val="RESOURCE MODEL"/>
      <sheetName val="Branch"/>
      <sheetName val="Jenis"/>
      <sheetName val="Summary UM"/>
      <sheetName val="1105-B&amp;I-OK"/>
      <sheetName val="Calc"/>
      <sheetName val="ProductionTarget50Pct"/>
      <sheetName val="CAPEX"/>
      <sheetName val="Actuals &amp; Prior Yr. Figures"/>
      <sheetName val="Annual Budget Figures"/>
      <sheetName val="MainMenu"/>
      <sheetName val="Financial Reports"/>
      <sheetName val="Operations"/>
      <sheetName val="Scenarios and Sensitivities"/>
      <sheetName val="Financials"/>
      <sheetName val="Global Assumptions"/>
      <sheetName val="PBC S2003"/>
      <sheetName val="April"/>
      <sheetName val="Februari"/>
      <sheetName val="Januari"/>
      <sheetName val="Juni"/>
      <sheetName val="Maret"/>
      <sheetName val="Mei"/>
      <sheetName val="cilandak payroll"/>
      <sheetName val="TRADING PROFIT"/>
      <sheetName val="Q302"/>
      <sheetName val="POV"/>
      <sheetName val="Index"/>
      <sheetName val="Base Data"/>
      <sheetName val="Sheet4"/>
      <sheetName val="BGT Cashflow"/>
      <sheetName val="LP-IDR"/>
      <sheetName val="OTP-BU"/>
      <sheetName val="LK-Box"/>
      <sheetName val="LARL-3"/>
      <sheetName val="Data YTD"/>
      <sheetName val="LARL-4 (TW)"/>
      <sheetName val="Cost-Centre"/>
      <sheetName val="MNR"/>
      <sheetName val="POTO MAC"/>
      <sheetName val="PARAMETERS"/>
      <sheetName val="PF-OFFICE"/>
      <sheetName val="Indirects MBR"/>
      <sheetName val="COA"/>
      <sheetName val="SETUP"/>
      <sheetName val="ADJ AUG12,2010"/>
      <sheetName val="9211 Summary of CAJE"/>
      <sheetName val="9212 Summary of AJE"/>
      <sheetName val="9213 Summary of RJE"/>
      <sheetName val="AP Trade"/>
      <sheetName val="Marshal"/>
      <sheetName val="CF_Pmt creditor"/>
      <sheetName val="Seb KPI's"/>
      <sheetName val="P&amp;L Detail SARold"/>
      <sheetName val="KBT."/>
      <sheetName val="Norma_HK"/>
      <sheetName val="Cost Analysis"/>
      <sheetName val="jan04"/>
      <sheetName val="STN2006"/>
      <sheetName val="Faktor Pembatas Luas Areal"/>
      <sheetName val="MATERIALFINAL"/>
      <sheetName val="Tickmarks"/>
      <sheetName val="L_23"/>
      <sheetName val="XREF"/>
      <sheetName val="Facilities"/>
      <sheetName val="Fact Truck"/>
      <sheetName val="Coal Boiler"/>
      <sheetName val="Template "/>
      <sheetName val="Legend"/>
      <sheetName val="PRODUCTION_REPORTS1"/>
      <sheetName val="ANIMATION_ONLY1"/>
      <sheetName val="ANIMATION_COST_FORECAST1"/>
      <sheetName val="EXTERNAL_ANIMATION1"/>
      <sheetName val="General_Info1"/>
      <sheetName val="2003_ACT_CFlow1"/>
      <sheetName val="2003_BGT_C_Flow1"/>
      <sheetName val="HO_Use1"/>
      <sheetName val="Engineering_Workload1"/>
      <sheetName val="KONS_BID_P&amp;N1"/>
      <sheetName val="UP_II_DUMAI1"/>
      <sheetName val="KP_DIT_HULU1"/>
      <sheetName val="UP_VI_BALONGAN1"/>
      <sheetName val="UP_1_BRANDAN1"/>
      <sheetName val="UP_V_BALIKPAPAN1"/>
      <sheetName val="DIT_HILIR1"/>
      <sheetName val="UP_IV_CILACAP1"/>
      <sheetName val="UP_III_PLAJU1"/>
      <sheetName val="KONS_DIT_HULU1"/>
      <sheetName val="KR_AMPEL1"/>
      <sheetName val="UP_VII_KASIM1"/>
      <sheetName val="KONS_BID_P1"/>
      <sheetName val="Table_51"/>
      <sheetName val="Income_Statement"/>
      <sheetName val="NB_UNIT3"/>
      <sheetName val="List_Pilihan"/>
      <sheetName val="2D_REPNew2_41"/>
      <sheetName val="Altman_Z_Score"/>
      <sheetName val="Iss_Jrn"/>
      <sheetName val="Coll_Bulan_ini"/>
      <sheetName val="Coll_Bulan_lalu"/>
      <sheetName val="Renc_Bulan_ini"/>
      <sheetName val="Renc_Bulan_Lalu"/>
      <sheetName val="Stock_Report"/>
      <sheetName val="lookup_table"/>
      <sheetName val="SCH_3"/>
      <sheetName val="TBCons_KMB04"/>
      <sheetName val="Penyusutan_Kendaraan"/>
      <sheetName val="absen_kebun_28"/>
      <sheetName val="absen_panen_28"/>
      <sheetName val="UPAH_28"/>
      <sheetName val="Coef_Calculation"/>
      <sheetName val="Exch_rate"/>
      <sheetName val="rab_33_2011_krt"/>
      <sheetName val="RADIO_CONTROLS"/>
      <sheetName val="KPI-Data_Source"/>
      <sheetName val="ocean_voyage"/>
      <sheetName val="Eksisting_Penarikan"/>
      <sheetName val="Daftar_Harga"/>
      <sheetName val="C_O_A"/>
      <sheetName val="rekap_pph_23"/>
      <sheetName val="21_&amp;_25"/>
      <sheetName val="Permanent_info"/>
      <sheetName val="FISIK_RAB_2000"/>
      <sheetName val="Satuan_Harga_Bahan"/>
      <sheetName val="Satuan_Harga_Upah"/>
      <sheetName val="Material_SAP"/>
      <sheetName val="Master_File"/>
      <sheetName val="Master_Data"/>
      <sheetName val="SLS-TGT-FEED_(FDM)"/>
      <sheetName val="BA_Rekon_ARDWS-APTSEL_(IDR)"/>
      <sheetName val="BA_Rekon_RevDWS-ExpTSEL_(IDR)"/>
      <sheetName val="BA_Rekon_ARAP_(USD)"/>
      <sheetName val="BA_Rekon_RevExp_(USD)"/>
      <sheetName val="BA_Rekon_RevDWS-ExpTSEL_(SLI)"/>
      <sheetName val="Jurnal_Memo_(USD)"/>
      <sheetName val="List_of_related_party"/>
      <sheetName val="OTHER_PREPAID_EXPENSE"/>
      <sheetName val="cilandak_payroll"/>
      <sheetName val="PBC_S2003"/>
      <sheetName val="I-KAMAR"/>
      <sheetName val="Forecast"/>
      <sheetName val="Minutes"/>
      <sheetName val="dropdown"/>
      <sheetName val="Subs"/>
      <sheetName val="ARPU"/>
      <sheetName val="Reload"/>
      <sheetName val="Price"/>
      <sheetName val="Revenue"/>
      <sheetName val="Traffic"/>
      <sheetName val="Status"/>
      <sheetName val="tgp_02"/>
      <sheetName val="CF(3)"/>
      <sheetName val="Sensitivitas(16)"/>
      <sheetName val="Desplegable"/>
      <sheetName val="Project Code 관리"/>
      <sheetName val="Function"/>
      <sheetName val="목록데이터"/>
      <sheetName val="PRODUCTION_REPORTS2"/>
      <sheetName val="ANIMATION_ONLY2"/>
      <sheetName val="ANIMATION_COST_FORECAST2"/>
      <sheetName val="EXTERNAL_ANIMATION2"/>
      <sheetName val="List as of October"/>
      <sheetName val="PFA"/>
      <sheetName val="R_Category"/>
      <sheetName val="R_Controls"/>
      <sheetName val="R.Category"/>
      <sheetName val="자금세탁 사례관리"/>
      <sheetName val="전체 리스트"/>
      <sheetName val="1)일반상품"/>
      <sheetName val="DAF.INVEN U.O"/>
      <sheetName val="Power &amp; Fuel(SMS)"/>
      <sheetName val="Power &amp; Fuel(new)"/>
      <sheetName val="Power &amp; Fuel (S)"/>
      <sheetName val="Power &amp; Fuel(c)"/>
      <sheetName val="THREE VARIABLES"/>
      <sheetName val="synthgraph"/>
      <sheetName val="DB MP"/>
      <sheetName val="VD"/>
      <sheetName val="Sales Parameter"/>
      <sheetName val="Parameter"/>
      <sheetName val="PRO_COAL"/>
      <sheetName val="Compensation Data Worksheet"/>
      <sheetName val="DB_MP"/>
      <sheetName val="TANDA TERIMA"/>
      <sheetName val="Rekening"/>
      <sheetName val="Big"/>
      <sheetName val="Coal_Mining"/>
      <sheetName val="Htr"/>
      <sheetName val="KPC Coal"/>
      <sheetName val="KPC_Total"/>
      <sheetName val="MS"/>
      <sheetName val="KONSOLIDASI"/>
      <sheetName val="end"/>
      <sheetName val="Checks_BO"/>
      <sheetName val="Inc Stmt Sum"/>
      <sheetName val="May"/>
      <sheetName val="C90_NET"/>
      <sheetName val="Corp 04 DeprAmort Recap"/>
      <sheetName val="Total NA Food"/>
      <sheetName val="Other"/>
      <sheetName val="Canada"/>
      <sheetName val="Midwest"/>
      <sheetName val="East"/>
      <sheetName val="South"/>
      <sheetName val="Staff"/>
      <sheetName val="West"/>
      <sheetName val="QTIL -BSHEET"/>
      <sheetName val="Developer rev 99"/>
      <sheetName val=" Ad Sales  exp"/>
      <sheetName val="Bus Dev"/>
      <sheetName val="corp. exp"/>
      <sheetName val="Sheet3"/>
      <sheetName val="LBO --&gt;"/>
      <sheetName val="ONYX"/>
      <sheetName val="Recon. Template"/>
      <sheetName val="Definitions"/>
      <sheetName val="KOR"/>
      <sheetName val="Acuan"/>
      <sheetName val="BS-WORK"/>
      <sheetName val="fr BS"/>
      <sheetName val="Doc Type Ref"/>
      <sheetName val="List as of Dec16"/>
      <sheetName val="JADI"/>
      <sheetName val="INDIRECT DETAIL"/>
      <sheetName val="FA-0800"/>
      <sheetName val="Control"/>
      <sheetName val="ChartData"/>
      <sheetName val="Subs Details 2004"/>
      <sheetName val="Start"/>
      <sheetName val="Mt.Ex-CurWk"/>
      <sheetName val="Fuel &amp; Safety - 2"/>
      <sheetName val="Source"/>
      <sheetName val="Generator"/>
      <sheetName val="Micro_S"/>
      <sheetName val="Brand"/>
      <sheetName val="SCHEDULE 9A(1 of 3)"/>
      <sheetName val="STKBB"/>
      <sheetName val="CIPARAY"/>
      <sheetName val="RANCAEKEK"/>
      <sheetName val="Drop-Down"/>
      <sheetName val="1997"/>
      <sheetName val="Adf par resp"/>
      <sheetName val="Center"/>
      <sheetName val="Company"/>
      <sheetName val="License"/>
      <sheetName val="Account"/>
      <sheetName val="Exc. Rate"/>
      <sheetName val="GL_Account"/>
      <sheetName val="chemcal"/>
      <sheetName val="Accrued RO"/>
      <sheetName val="DSR"/>
      <sheetName val="XRATE"/>
      <sheetName val="MARKSUMM"/>
      <sheetName val="Sales"/>
      <sheetName val="SEC Income Statement"/>
      <sheetName val="UNPAID"/>
      <sheetName val="DATA3"/>
      <sheetName val="DATA1"/>
      <sheetName val="Kode BKU"/>
      <sheetName val="FF-6"/>
      <sheetName val="AU 31 Komputer"/>
      <sheetName val="rab.8(over.swt)"/>
      <sheetName val="rab.8.2(swt)"/>
      <sheetName val="50-53-54-55"/>
      <sheetName val="AGUS-09"/>
      <sheetName val="Sheet5"/>
      <sheetName val="lp.kmmda"/>
      <sheetName val="karet RKAP"/>
      <sheetName val="rumus"/>
      <sheetName val="Askolin"/>
      <sheetName val="bez.karpel"/>
      <sheetName val="lembar kerja"/>
      <sheetName val="CA Sheet"/>
      <sheetName val="AUG02"/>
      <sheetName val="0220"/>
      <sheetName val="Account Codes "/>
      <sheetName val="NAMES"/>
      <sheetName val="puspel_proyk"/>
      <sheetName val="budget 2018"/>
      <sheetName val="Div_Prjct"/>
      <sheetName val="Puspel"/>
      <sheetName val="HARVEST02"/>
      <sheetName val="ReffTable"/>
      <sheetName val="OLAH"/>
      <sheetName val="A_u_g"/>
      <sheetName val="pihak_iii"/>
      <sheetName val="nm_kbn"/>
      <sheetName val="TBM_KR_2006"/>
      <sheetName val="almanak_&amp;hk_"/>
      <sheetName val="K4__F&amp;F"/>
      <sheetName val="EXTERNA_x000"/>
      <sheetName val="C1_NOV"/>
      <sheetName val="angs_griya"/>
      <sheetName val="Draft_Neraca"/>
      <sheetName val="rek_det_1-3"/>
      <sheetName val="HARGA_SATUAN"/>
      <sheetName val="dongia_(2)"/>
      <sheetName val="DON_GIA"/>
      <sheetName val="THPDMoi__(2)"/>
      <sheetName val="CHITIET_VL-NC"/>
      <sheetName val="CHITIET_VL-NC-TT_-1p"/>
      <sheetName val="TH_XL"/>
      <sheetName val="CHITIET_VL-NC-TT-3p"/>
      <sheetName val="t-h_HA_THE"/>
      <sheetName val="TONGKE3p_"/>
      <sheetName val="KPVC-BD_"/>
      <sheetName val="Program_Triwulanan-04"/>
      <sheetName val="data_berat"/>
      <sheetName val="3_-_Balance_Sheet"/>
      <sheetName val="5_-_Cash_Flow"/>
      <sheetName val="Data_Parameter"/>
      <sheetName val="SC_Pusat_BB301"/>
      <sheetName val="SC_Pusat_BB303"/>
      <sheetName val="SC_Pusat_krd"/>
      <sheetName val="4_-_Income_Statement"/>
      <sheetName val="Analisa_Harga_Satuan"/>
      <sheetName val="Tanah_09"/>
      <sheetName val="Chart_Of_Acc"/>
      <sheetName val="Form 4"/>
      <sheetName val="Lead"/>
      <sheetName val="Oracle"/>
      <sheetName val="Organization Chart"/>
      <sheetName val="lkupref"/>
      <sheetName val="Syracuse0"/>
      <sheetName val="Scoping"/>
      <sheetName val="H_Satuan"/>
      <sheetName val="eka"/>
      <sheetName val="Variabel"/>
      <sheetName val="General"/>
      <sheetName val="Benefit Design"/>
      <sheetName val="Experience Rating"/>
      <sheetName val="Table"/>
      <sheetName val="Member"/>
      <sheetName val="Insem"/>
      <sheetName val="HRPar"/>
      <sheetName val="HIT"/>
      <sheetName val="database"/>
      <sheetName val="AD&amp;D"/>
      <sheetName val="Formula-KM"/>
      <sheetName val="Formula-LH"/>
      <sheetName val="Formula-RG"/>
      <sheetName val="Formula-RI"/>
      <sheetName val="Formula-RJ"/>
      <sheetName val="Options"/>
      <sheetName val="Hidden!"/>
      <sheetName val="Marketer"/>
      <sheetName val="Bahan+Upah"/>
      <sheetName val="BP1_23"/>
      <sheetName val="Deferred Revenue Nov 04"/>
      <sheetName val="TAX COM"/>
      <sheetName val="Noodles (assumptions)"/>
      <sheetName val="smt"/>
      <sheetName val="angs-pet"/>
      <sheetName val="REKAP A BESAR"/>
      <sheetName val="inter"/>
      <sheetName val="DAIHATSU "/>
      <sheetName val="Acsys Key"/>
      <sheetName val="Consumable"/>
      <sheetName val="Tools"/>
      <sheetName val="CM_Genset_1"/>
      <sheetName val="CM Genset_2"/>
      <sheetName val="CP_PD"/>
      <sheetName val="Spare Part"/>
      <sheetName val="SMPS Relocation"/>
      <sheetName val="DG Cranking System"/>
      <sheetName val="Site Support and Maintenance"/>
      <sheetName val="tbl1"/>
      <sheetName val="Lookup"/>
      <sheetName val="Currency Spot Rates"/>
      <sheetName val="TARGET FINAL"/>
      <sheetName val="TO"/>
      <sheetName val="Log"/>
      <sheetName val="Fitting"/>
      <sheetName val="Detail WPL Jan"/>
      <sheetName val="Ner"/>
      <sheetName val="N_Sld_Kmd"/>
      <sheetName val="N_Sld_Pku"/>
      <sheetName val="OPR-99"/>
      <sheetName val="Telephone &amp; KSO Rev"/>
      <sheetName val="Operation 01-0207"/>
      <sheetName val="F-BSPL"/>
      <sheetName val="Nrj Ljr"/>
      <sheetName val="AR_Actual"/>
      <sheetName val="AR_Budget"/>
      <sheetName val="RRP"/>
      <sheetName val="5313 Test Allowance (aging)"/>
      <sheetName val="1.Rollfwd"/>
      <sheetName val="Pain data"/>
      <sheetName val="Wages"/>
      <sheetName val="Bi.kirim"/>
      <sheetName val="OLDMAP"/>
      <sheetName val="CFLOW"/>
      <sheetName val="Sheet 2"/>
      <sheetName val="Excess Calc"/>
      <sheetName val="A.02-I"/>
      <sheetName val="Monomers"/>
      <sheetName val="Jurnal"/>
      <sheetName val="FA sd APRIL 07"/>
      <sheetName val="3 _ Balance Sheet"/>
      <sheetName val="_16 _ Final Budgets"/>
      <sheetName val="4 _ Income Statement"/>
      <sheetName val="5 _ Cash Flow"/>
      <sheetName val="Code_1"/>
      <sheetName val="PREMI"/>
      <sheetName val="std ip tanpa abnormal"/>
      <sheetName val="Summary Peserta"/>
      <sheetName val="Data Peserta"/>
      <sheetName val="Param"/>
      <sheetName val="Loading"/>
      <sheetName val="Assumption"/>
      <sheetName val="Recap OT"/>
      <sheetName val="Proses Gaji"/>
      <sheetName val="BENEFIT"/>
      <sheetName val="Premi Iuran"/>
      <sheetName val="OP"/>
      <sheetName val="int-h wk1"/>
      <sheetName val="REKAP BKK BANK"/>
      <sheetName val="Claim Ratio "/>
      <sheetName val="KWITANSI"/>
      <sheetName val="form Rnwl"/>
      <sheetName val="2003-2004"/>
      <sheetName val="Assetdb"/>
      <sheetName val="PersList"/>
      <sheetName val="AssetPar"/>
      <sheetName val="JUAL_STD"/>
      <sheetName val="DEPN 2001"/>
      <sheetName val="EX RATE"/>
      <sheetName val="FSA"/>
      <sheetName val="KAMUS"/>
      <sheetName val="NONCAB"/>
      <sheetName val="LN"/>
      <sheetName val="DKI"/>
      <sheetName val="GABUNGAN"/>
      <sheetName val="LRK"/>
      <sheetName val="KURS"/>
      <sheetName val="INCOME RATNA"/>
      <sheetName val="JLSNER-HD99_"/>
      <sheetName val="FORM-X-1"/>
      <sheetName val="List PT"/>
      <sheetName val="BIODATA"/>
      <sheetName val="Analis Kusen okk"/>
      <sheetName val="PV Demand Forecast Breakdown"/>
      <sheetName val="BQ-E20-02(Rp)"/>
      <sheetName val="BOY"/>
      <sheetName val="ISI"/>
      <sheetName val="NB BOY"/>
      <sheetName val="NB ISI"/>
      <sheetName val="rab lt 2 bo"/>
      <sheetName val="An_ Harga"/>
      <sheetName val="3-DIV10"/>
      <sheetName val="Analisa SNI STANDART "/>
      <sheetName val="Estimate"/>
      <sheetName val="Jun 98"/>
      <sheetName val="Bhn"/>
      <sheetName val="Grand Sum BT"/>
      <sheetName val="Grand_Sum_BT"/>
      <sheetName val="Act_Sales"/>
      <sheetName val="AC"/>
      <sheetName val="JOURNAL"/>
      <sheetName val="capex_incl_rp"/>
      <sheetName val="TM"/>
      <sheetName val="Valuation"/>
      <sheetName val="SPI"/>
      <sheetName val="Galian batu"/>
      <sheetName val="PENJ.NERACA"/>
      <sheetName val="CASH FLOW"/>
      <sheetName val="TE"/>
      <sheetName val="CH"/>
      <sheetName val="12"/>
      <sheetName val="Bangunan Utama B"/>
      <sheetName val="FIELDCALC"/>
      <sheetName val="B2003_LES"/>
      <sheetName val="VLOOKUP"/>
      <sheetName val="EXTERNA_x005f_x0000__x005f_x005f_x000"/>
      <sheetName val="note"/>
      <sheetName val="tgp-02"/>
      <sheetName val="PRODUCTION_REPORTS3"/>
      <sheetName val="ANIMATION_ONLY3"/>
      <sheetName val="ANIMATION_COST_FORECAST3"/>
      <sheetName val="EXTERNAL_ANIMATION3"/>
      <sheetName val="Table_52"/>
      <sheetName val="General_Info2"/>
      <sheetName val="2003_ACT_CFlow2"/>
      <sheetName val="2003_BGT_C_Flow2"/>
      <sheetName val="HO_Use2"/>
      <sheetName val="Engineering_Workload2"/>
      <sheetName val="KONS_BID_P&amp;N2"/>
      <sheetName val="UP_II_DUMAI2"/>
      <sheetName val="KP_DIT_HULU2"/>
      <sheetName val="UP_VI_BALONGAN2"/>
      <sheetName val="UP_1_BRANDAN2"/>
      <sheetName val="UP_V_BALIKPAPAN2"/>
      <sheetName val="DIT_HILIR2"/>
      <sheetName val="UP_IV_CILACAP2"/>
      <sheetName val="UP_III_PLAJU2"/>
      <sheetName val="KONS_DIT_HULU2"/>
      <sheetName val="KR_AMPEL2"/>
      <sheetName val="UP_VII_KASIM2"/>
      <sheetName val="KONS_BID_P2"/>
      <sheetName val="2D_REPNew2_42"/>
      <sheetName val="Income_Statement1"/>
      <sheetName val="NB_UNIT31"/>
      <sheetName val="Penyusutan_Kendaraan1"/>
      <sheetName val="SLS-TGT-FEED_(FDM)1"/>
      <sheetName val="C_O_A1"/>
      <sheetName val="List_of_related_party1"/>
      <sheetName val="Iss_Jrn1"/>
      <sheetName val="List_Pilihan1"/>
      <sheetName val="Altman_Z_Score1"/>
      <sheetName val="Coll_Bulan_ini1"/>
      <sheetName val="Coll_Bulan_lalu1"/>
      <sheetName val="Renc_Bulan_ini1"/>
      <sheetName val="Renc_Bulan_Lalu1"/>
      <sheetName val="Stock_Report1"/>
      <sheetName val="lookup_table1"/>
      <sheetName val="SCH_31"/>
      <sheetName val="TBCons_KMB041"/>
      <sheetName val="absen_kebun_281"/>
      <sheetName val="absen_panen_281"/>
      <sheetName val="UPAH_281"/>
      <sheetName val="Coef_Calculation1"/>
      <sheetName val="Exch_rate1"/>
      <sheetName val="rab_33_2011_krt1"/>
      <sheetName val="RADIO_CONTROLS1"/>
      <sheetName val="KPI-Data_Source1"/>
      <sheetName val="ocean_voyage1"/>
      <sheetName val="①　BP_vs_SPR_(TTL_Impact)1"/>
      <sheetName val="pro_ra_op1"/>
      <sheetName val="rekap_pph_231"/>
      <sheetName val="21_&amp;_251"/>
      <sheetName val="Eksisting_Penarikan1"/>
      <sheetName val="Daftar_Harga1"/>
      <sheetName val="RESOURCE_MODEL"/>
      <sheetName val="Summary_UM"/>
      <sheetName val="Bal_1997-1998"/>
      <sheetName val="BA_Rekon_ARDWS-APTSEL_(IDR)1"/>
      <sheetName val="BA_Rekon_RevDWS-ExpTSEL_(IDR)1"/>
      <sheetName val="BA_Rekon_ARAP_(USD)1"/>
      <sheetName val="BA_Rekon_RevExp_(USD)1"/>
      <sheetName val="BA_Rekon_RevDWS-ExpTSEL_(SLI)1"/>
      <sheetName val="Jurnal_Memo_(USD)1"/>
      <sheetName val="Permanent_info1"/>
      <sheetName val="FISIK_RAB_20001"/>
      <sheetName val="Satuan_Harga_Bahan1"/>
      <sheetName val="Satuan_Harga_Upah1"/>
      <sheetName val="Material_SAP1"/>
      <sheetName val="Master_File1"/>
      <sheetName val="Master_Data1"/>
      <sheetName val="OTHER_PREPAID_EXPENSE1"/>
      <sheetName val="cilandak_payroll1"/>
      <sheetName val="PBC_S20031"/>
      <sheetName val="Actuals_&amp;_Prior_Yr__Figures"/>
      <sheetName val="Annual_Budget_Figures"/>
      <sheetName val="Financial_Reports"/>
      <sheetName val="Cost_Analysis"/>
      <sheetName val="5614_a_Factory_Machinery"/>
      <sheetName val="5614_b_Diesel_"/>
      <sheetName val="5614_c_Factory_Equipment"/>
      <sheetName val="5614_C_Coal_Boiler"/>
      <sheetName val="Faktor_Pembatas_Luas_Areal"/>
      <sheetName val="Fact_Truck"/>
      <sheetName val="Coal_Boiler"/>
      <sheetName val="Template_"/>
      <sheetName val="DAF_INVEN_U_O"/>
      <sheetName val="Base_Data"/>
      <sheetName val="BGT_Cashflow"/>
      <sheetName val="Power_&amp;_Fuel(SMS)"/>
      <sheetName val="Power_&amp;_Fuel(new)"/>
      <sheetName val="Power_&amp;_Fuel_(S)"/>
      <sheetName val="Power_&amp;_Fuel(c)"/>
      <sheetName val="THREE_VARIABLES"/>
      <sheetName val="Based_Data_wacc"/>
      <sheetName val="Data_Sheet_"/>
      <sheetName val="H_Satuan1"/>
      <sheetName val="TRADING_PROFIT"/>
      <sheetName val="9211_Summary_of_CAJE"/>
      <sheetName val="9212_Summary_of_AJE"/>
      <sheetName val="9213_Summary_of_RJE"/>
      <sheetName val="by_sendiri"/>
      <sheetName val="bezeting_"/>
      <sheetName val="SKCD_DATA_GP_YK"/>
      <sheetName val="NPWP_DEBITUR"/>
      <sheetName val="rab_3_krt"/>
      <sheetName val="rab_4_krt"/>
      <sheetName val="rab_4_swt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M_a_r"/>
      <sheetName val="Lamp_2_"/>
      <sheetName val="REKAP_OMZET_KAPAL"/>
      <sheetName val="Project_Code_관리"/>
      <sheetName val="List_as_of_October"/>
      <sheetName val="R_Category1"/>
      <sheetName val="자금세탁_사례관리"/>
      <sheetName val="전체_리스트"/>
      <sheetName val="RMS_FUNGSIONAL"/>
      <sheetName val="RMS_-_STR_(2)"/>
      <sheetName val="p_mgmt"/>
      <sheetName val="tabel_rimba"/>
      <sheetName val="RO344_TOTAL"/>
      <sheetName val="KBB-CIB_BANK"/>
      <sheetName val="data_arus_kas"/>
      <sheetName val="ADJ_AUG12,2010"/>
      <sheetName val="Kode_BKU"/>
      <sheetName val="AU_31_Komputer"/>
      <sheetName val="rab_8(over_swt)"/>
      <sheetName val="rab_8_2(swt)"/>
      <sheetName val="INDIRECT_DETAIL"/>
      <sheetName val="lp_kmmda"/>
      <sheetName val="karet_RKAP"/>
      <sheetName val="bez_karpel1"/>
      <sheetName val="lembar_kerja1"/>
      <sheetName val="CA_Sheet"/>
      <sheetName val="AP_Trade"/>
      <sheetName val="Data_YTD"/>
      <sheetName val="LARL-4_(TW)"/>
      <sheetName val="Account_Codes_"/>
      <sheetName val="POTO_MAC"/>
      <sheetName val="CF_Pmt_creditor"/>
      <sheetName val="Seb_KPI's"/>
      <sheetName val="P&amp;L_Detail_SARold"/>
      <sheetName val="Scenarios_and_Sensitivities"/>
      <sheetName val="Global_Assumptions"/>
      <sheetName val="Benefit_Design"/>
      <sheetName val="Experience_Rating"/>
      <sheetName val="Detail_WPL_Jan"/>
      <sheetName val="Telephone_&amp;_KSO_Rev"/>
      <sheetName val="Exc__Rate"/>
      <sheetName val="Deferred_Revenue_Nov_04"/>
      <sheetName val="TAX_COM"/>
      <sheetName val="Noodles_(assumptions)"/>
      <sheetName val="Accrued_RO"/>
      <sheetName val="SEC_Income_Statement"/>
      <sheetName val="Operation_01-0207"/>
      <sheetName val="Nrj_Ljr"/>
      <sheetName val="Indirects_MBR"/>
      <sheetName val="budget_2018"/>
      <sheetName val="Doc_Type_Ref"/>
      <sheetName val="List_as_of_Dec16"/>
      <sheetName val="5313_Test_Allowance_(aging)"/>
      <sheetName val="1_Rollfwd"/>
      <sheetName val="Pain_data"/>
      <sheetName val="Subs_Details_2004"/>
      <sheetName val="Mt_Ex-CurWk"/>
      <sheetName val="Fuel_&amp;_Safety_-_2"/>
      <sheetName val="SCHEDULE_9A(1_of_3)"/>
      <sheetName val="Bi_kirim"/>
      <sheetName val="Adf_par_resp"/>
      <sheetName val="fr_BS"/>
      <sheetName val="Sheet_2"/>
      <sheetName val="DAIHATSU_"/>
      <sheetName val="Acsys_Key"/>
      <sheetName val="CM_Genset_2"/>
      <sheetName val="Spare_Part"/>
      <sheetName val="SMPS_Relocation"/>
      <sheetName val="DG_Cranking_System"/>
      <sheetName val="Site_Support_and_Maintenance"/>
      <sheetName val="Currency_Spot_Rates"/>
      <sheetName val="TARGET_FINAL"/>
      <sheetName val="NB_BOY"/>
      <sheetName val="NB_ISI"/>
      <sheetName val="KBT_"/>
      <sheetName val="Excess_Calc"/>
      <sheetName val="std_ip_tanpa_abnormal"/>
      <sheetName val="Summary_Peserta"/>
      <sheetName val="Data_Peserta"/>
      <sheetName val="Recap_OT"/>
      <sheetName val="Proses_Gaji"/>
      <sheetName val="Premi_Iuran"/>
      <sheetName val="int-h_wk1"/>
      <sheetName val="REKAP_BKK_BANK"/>
      <sheetName val="Claim_Ratio_"/>
      <sheetName val="form_Rnwl"/>
      <sheetName val="Sales_Parameter"/>
      <sheetName val="INCOME_RATNA"/>
      <sheetName val="List_PT"/>
      <sheetName val="Analis_Kusen_okk"/>
      <sheetName val="PV_Demand_Forecast_Breakdown"/>
      <sheetName val="rab_lt_2_bo"/>
      <sheetName val="An__Harga"/>
      <sheetName val="Analisa_SNI_STANDART_"/>
      <sheetName val="Jun_98"/>
      <sheetName val="Grand_Sum_BT1"/>
      <sheetName val="Galian_batu"/>
      <sheetName val="A_02-I"/>
      <sheetName val="Form_4"/>
      <sheetName val="Recon__Template"/>
      <sheetName val="Inc_Stmt_Sum"/>
      <sheetName val="Corp_04_DeprAmort_Recap"/>
      <sheetName val="Total_NA_Food"/>
      <sheetName val="QTIL_-BSHEET"/>
      <sheetName val="Developer_rev_99"/>
      <sheetName val="_Ad_Sales__exp"/>
      <sheetName val="Bus_Dev"/>
      <sheetName val="corp__exp"/>
      <sheetName val="LBO_--&gt;"/>
      <sheetName val="FA_sd_APRIL_07"/>
      <sheetName val="3___Balance_Sheet"/>
      <sheetName val="_16___Final_Budgets"/>
      <sheetName val="4___Income_Statement"/>
      <sheetName val="5___Cash_Flow"/>
      <sheetName val="DEPN_2001"/>
      <sheetName val="PENJ_NERACA"/>
      <sheetName val="CASH_FLOW"/>
      <sheetName val="Bangunan_Utama_B"/>
      <sheetName val="ABK.04.AWALR+CO+TAB.RUPS"/>
      <sheetName val="06. CC270616"/>
      <sheetName val="TBSv"/>
      <sheetName val="DETAIL"/>
      <sheetName val="TBM"/>
      <sheetName val="Akomodasi"/>
      <sheetName val="book1"/>
      <sheetName val="Compensation_Data_Worksheet"/>
      <sheetName val="Galian 1"/>
      <sheetName val="List Unit"/>
      <sheetName val="DAY WORK"/>
      <sheetName val="BAI Calculation"/>
      <sheetName val="Cashflow"/>
      <sheetName val="Data Opr"/>
      <sheetName val="Data Opr (2)"/>
      <sheetName val="PAR"/>
      <sheetName val="Data_Opr"/>
      <sheetName val="Data_Opr_(2)"/>
      <sheetName val="PA_UA"/>
      <sheetName val="DB_CSC"/>
      <sheetName val="PRODUCTION_REPORTS4"/>
      <sheetName val="ANIMATION_ONLY4"/>
      <sheetName val="ANIMATION_COST_FORECAST4"/>
      <sheetName val="EXTERNAL_ANIMATION4"/>
      <sheetName val="PRODUCTION_REPORTS5"/>
      <sheetName val="ANIMATION_ONLY5"/>
      <sheetName val="ANIMATION_COST_FORECAST5"/>
      <sheetName val="EXTERNAL_ANIMATION5"/>
      <sheetName val="PRODUCTION_REPORTS6"/>
      <sheetName val="ANIMATION_ONLY6"/>
      <sheetName val="ANIMATION_COST_FORECAST6"/>
      <sheetName val="EXTERNAL_ANIMATION6"/>
      <sheetName val="PRODUCTION_REPORTS7"/>
      <sheetName val="ANIMATION_ONLY7"/>
      <sheetName val="ANIMATION_COST_FORECAST7"/>
      <sheetName val="EXTERNAL_ANIMATION7"/>
      <sheetName val="PRODUCTION_REPORTS8"/>
      <sheetName val="ANIMATION_ONLY8"/>
      <sheetName val="ANIMATION_COST_FORECAST8"/>
      <sheetName val="EXTERNAL_ANIMATION8"/>
      <sheetName val="PRODUCTION_REPORTS9"/>
      <sheetName val="ANIMATION_ONLY9"/>
      <sheetName val="ANIMATION_COST_FORECAST9"/>
      <sheetName val="EXTERNAL_ANIMATION9"/>
      <sheetName val="PRODUCTION_REPORTS10"/>
      <sheetName val="ANIMATION_ONLY10"/>
      <sheetName val="ANIMATION_COST_FORECAST10"/>
      <sheetName val="EXTERNAL_ANIMATION10"/>
      <sheetName val="name"/>
      <sheetName val="Top'04"/>
      <sheetName val="Gaji"/>
      <sheetName val="4-01"/>
      <sheetName val="F.8.2 Details Premix"/>
      <sheetName val="Faktoren"/>
      <sheetName val="C.FA_HO"/>
      <sheetName val="C.ICL_HO"/>
      <sheetName val="P.BS"/>
      <sheetName val="C.CS_HO"/>
      <sheetName val="C.WC"/>
      <sheetName val="A.Tax_HO"/>
      <sheetName val="Chks_BO"/>
      <sheetName val="Assets_LU"/>
      <sheetName val="LU_P_BA"/>
      <sheetName val="A.TS"/>
      <sheetName val="Corp_Tax_LU"/>
      <sheetName val="Dashboard"/>
      <sheetName val="P.IS"/>
      <sheetName val="C.Tax_HO"/>
      <sheetName val="C.OBSI_HO"/>
      <sheetName val="CALCULATE INDEKS"/>
      <sheetName val="P.CF"/>
      <sheetName val="A.FA_HO"/>
      <sheetName val="A.CAPEX_HO"/>
      <sheetName val="A.CS_HO"/>
      <sheetName val="A.WC_HO"/>
      <sheetName val="A.INV_HO"/>
      <sheetName val="C.INV_HO_TO"/>
      <sheetName val="A.ICL_HO"/>
      <sheetName val="Inter_Sum_P_BO"/>
      <sheetName val="P.IS_P"/>
      <sheetName val="A.OBSI_HO"/>
      <sheetName val="WC_LU"/>
      <sheetName val="OBSI_LU"/>
      <sheetName val="TS_LU"/>
      <sheetName val="VAT _2010_SPM"/>
      <sheetName val="FA99B"/>
      <sheetName val="FE-1771$.P1"/>
      <sheetName val="jvr"/>
      <sheetName val="OFF"/>
      <sheetName val="FURN"/>
      <sheetName val="COMP"/>
      <sheetName val="harga"/>
      <sheetName val="dBase"/>
      <sheetName val="trf multiple dnrks"/>
      <sheetName val="BGT97STAFF"/>
      <sheetName val="P100"/>
      <sheetName val="TblPajak"/>
      <sheetName val="trf multiple"/>
      <sheetName val="trfakt sgl"/>
      <sheetName val="Comp equip"/>
      <sheetName val="Reconciliation"/>
      <sheetName val="A.4.3"/>
      <sheetName val="A.4.2"/>
      <sheetName val="PSPC_LE_Pnext_Current"/>
      <sheetName val="WPL"/>
      <sheetName val="SALESAGT'03"/>
      <sheetName val="SALESAPR'03"/>
      <sheetName val="SALESDES'03"/>
      <sheetName val="SALESFEB'03"/>
      <sheetName val="SALESJAN'03"/>
      <sheetName val="SALESJULI'03"/>
      <sheetName val="SALESJUNI'03"/>
      <sheetName val="SALESMEI'03"/>
      <sheetName val="SALESMRT'03"/>
      <sheetName val="SALESNOP'03"/>
      <sheetName val="SALESOKT'03"/>
      <sheetName val="SALESSEP'03"/>
      <sheetName val="K 2.1"/>
      <sheetName val="Spec"/>
      <sheetName val="Proposed 2003 Salary Range"/>
      <sheetName val="Adjustment"/>
      <sheetName val="YTD_02"/>
      <sheetName val="Kend"/>
      <sheetName val="#16 - Final Budgets"/>
      <sheetName val="EXC-R2005"/>
      <sheetName val="FFE"/>
      <sheetName val="BS15"/>
      <sheetName val="K5-1"/>
      <sheetName val="Exch. rate calc."/>
      <sheetName val="Contracts"/>
      <sheetName val="loan 1"/>
      <sheetName val="Monthly RecapLO"/>
      <sheetName val="Contract"/>
      <sheetName val="EngineGas"/>
      <sheetName val="PSC"/>
      <sheetName val="General Assumption"/>
      <sheetName val="EngineOil"/>
      <sheetName val="FE-1770.P1"/>
      <sheetName val="2004"/>
      <sheetName val="DB_MP1"/>
      <sheetName val="Sales_Parameter1"/>
      <sheetName val="Compensation_Data_Worksheet1"/>
      <sheetName val="Data_Opr1"/>
      <sheetName val="Data_Opr_(2)1"/>
      <sheetName val="DB_MP2"/>
      <sheetName val="Sales_Parameter2"/>
      <sheetName val="KONS_BID_P&amp;N3"/>
      <sheetName val="UP_II_DUMAI3"/>
      <sheetName val="KP_DIT_HULU3"/>
      <sheetName val="UP_VI_BALONGAN3"/>
      <sheetName val="UP_1_BRANDAN3"/>
      <sheetName val="UP_V_BALIKPAPAN3"/>
      <sheetName val="DIT_HILIR3"/>
      <sheetName val="UP_IV_CILACAP3"/>
      <sheetName val="UP_III_PLAJU3"/>
      <sheetName val="KONS_DIT_HULU3"/>
      <sheetName val="KR_AMPEL3"/>
      <sheetName val="UP_VII_KASIM3"/>
      <sheetName val="KONS_BID_P3"/>
      <sheetName val="General_Info3"/>
      <sheetName val="2003_ACT_CFlow3"/>
      <sheetName val="2003_BGT_C_Flow3"/>
      <sheetName val="HO_Use3"/>
      <sheetName val="Engineering_Workload3"/>
      <sheetName val="absen_kebun_282"/>
      <sheetName val="absen_panen_282"/>
      <sheetName val="UPAH_282"/>
      <sheetName val="ocean_voyage2"/>
      <sheetName val="Income_Statement2"/>
      <sheetName val="Compensation_Data_Worksheet2"/>
      <sheetName val="Data_Opr2"/>
      <sheetName val="Data_Opr_(2)2"/>
      <sheetName val="TANDA_TERIMA"/>
      <sheetName val="KPC_Coal"/>
      <sheetName val="DB_MP3"/>
      <sheetName val="Sales_Parameter3"/>
      <sheetName val="KONS_BID_P&amp;N4"/>
      <sheetName val="UP_II_DUMAI4"/>
      <sheetName val="KP_DIT_HULU4"/>
      <sheetName val="UP_VI_BALONGAN4"/>
      <sheetName val="UP_1_BRANDAN4"/>
      <sheetName val="UP_V_BALIKPAPAN4"/>
      <sheetName val="DIT_HILIR4"/>
      <sheetName val="UP_IV_CILACAP4"/>
      <sheetName val="UP_III_PLAJU4"/>
      <sheetName val="KONS_DIT_HULU4"/>
      <sheetName val="KR_AMPEL4"/>
      <sheetName val="UP_VII_KASIM4"/>
      <sheetName val="KONS_BID_P4"/>
      <sheetName val="General_Info4"/>
      <sheetName val="2003_ACT_CFlow4"/>
      <sheetName val="2003_BGT_C_Flow4"/>
      <sheetName val="HO_Use4"/>
      <sheetName val="Engineering_Workload4"/>
      <sheetName val="2D_REPNew2_43"/>
      <sheetName val="absen_kebun_283"/>
      <sheetName val="absen_panen_283"/>
      <sheetName val="UPAH_283"/>
      <sheetName val="ocean_voyage3"/>
      <sheetName val="Data_Opr3"/>
      <sheetName val="Table_53"/>
      <sheetName val="Income_Statement3"/>
      <sheetName val="Compensation_Data_Worksheet3"/>
      <sheetName val="Data_Opr_(2)3"/>
      <sheetName val="TANDA_TERIMA1"/>
      <sheetName val="KPC_Coal1"/>
      <sheetName val="DB_MP4"/>
      <sheetName val="Sales_Parameter4"/>
      <sheetName val="KONS_BID_P&amp;N5"/>
      <sheetName val="UP_II_DUMAI5"/>
      <sheetName val="KP_DIT_HULU5"/>
      <sheetName val="UP_VI_BALONGAN5"/>
      <sheetName val="UP_1_BRANDAN5"/>
      <sheetName val="UP_V_BALIKPAPAN5"/>
      <sheetName val="DIT_HILIR5"/>
      <sheetName val="UP_IV_CILACAP5"/>
      <sheetName val="UP_III_PLAJU5"/>
      <sheetName val="KONS_DIT_HULU5"/>
      <sheetName val="KR_AMPEL5"/>
      <sheetName val="UP_VII_KASIM5"/>
      <sheetName val="KONS_BID_P5"/>
      <sheetName val="General_Info5"/>
      <sheetName val="2003_ACT_CFlow5"/>
      <sheetName val="2003_BGT_C_Flow5"/>
      <sheetName val="HO_Use5"/>
      <sheetName val="Engineering_Workload5"/>
      <sheetName val="2D_REPNew2_44"/>
      <sheetName val="absen_kebun_284"/>
      <sheetName val="absen_panen_284"/>
      <sheetName val="UPAH_284"/>
      <sheetName val="ocean_voyage4"/>
      <sheetName val="Data_Opr4"/>
      <sheetName val="Table_54"/>
      <sheetName val="Income_Statement4"/>
      <sheetName val="Compensation_Data_Worksheet4"/>
      <sheetName val="Data_Opr_(2)4"/>
      <sheetName val="TANDA_TERIMA2"/>
      <sheetName val="KPC_Coal2"/>
      <sheetName val="DB_MP5"/>
      <sheetName val="Sales_Parameter5"/>
      <sheetName val="KONS_BID_P&amp;N6"/>
      <sheetName val="UP_II_DUMAI6"/>
      <sheetName val="KP_DIT_HULU6"/>
      <sheetName val="UP_VI_BALONGAN6"/>
      <sheetName val="UP_1_BRANDAN6"/>
      <sheetName val="UP_V_BALIKPAPAN6"/>
      <sheetName val="DIT_HILIR6"/>
      <sheetName val="UP_IV_CILACAP6"/>
      <sheetName val="UP_III_PLAJU6"/>
      <sheetName val="KONS_DIT_HULU6"/>
      <sheetName val="KR_AMPEL6"/>
      <sheetName val="UP_VII_KASIM6"/>
      <sheetName val="KONS_BID_P6"/>
      <sheetName val="General_Info6"/>
      <sheetName val="2003_ACT_CFlow6"/>
      <sheetName val="2003_BGT_C_Flow6"/>
      <sheetName val="HO_Use6"/>
      <sheetName val="Engineering_Workload6"/>
      <sheetName val="2D_REPNew2_45"/>
      <sheetName val="absen_kebun_285"/>
      <sheetName val="absen_panen_285"/>
      <sheetName val="UPAH_285"/>
      <sheetName val="ocean_voyage5"/>
      <sheetName val="Data_Opr5"/>
      <sheetName val="Table_55"/>
      <sheetName val="Income_Statement5"/>
      <sheetName val="Compensation_Data_Worksheet5"/>
      <sheetName val="Data_Opr_(2)5"/>
      <sheetName val="TANDA_TERIMA3"/>
      <sheetName val="KPC_Coal3"/>
      <sheetName val="DB_MP6"/>
      <sheetName val="Sales_Parameter6"/>
      <sheetName val="KONS_BID_P&amp;N7"/>
      <sheetName val="UP_II_DUMAI7"/>
      <sheetName val="KP_DIT_HULU7"/>
      <sheetName val="UP_VI_BALONGAN7"/>
      <sheetName val="UP_1_BRANDAN7"/>
      <sheetName val="UP_V_BALIKPAPAN7"/>
      <sheetName val="DIT_HILIR7"/>
      <sheetName val="UP_IV_CILACAP7"/>
      <sheetName val="UP_III_PLAJU7"/>
      <sheetName val="KONS_DIT_HULU7"/>
      <sheetName val="KR_AMPEL7"/>
      <sheetName val="UP_VII_KASIM7"/>
      <sheetName val="KONS_BID_P7"/>
      <sheetName val="General_Info7"/>
      <sheetName val="2003_ACT_CFlow7"/>
      <sheetName val="2003_BGT_C_Flow7"/>
      <sheetName val="HO_Use7"/>
      <sheetName val="Engineering_Workload7"/>
      <sheetName val="2D_REPNew2_46"/>
      <sheetName val="absen_kebun_286"/>
      <sheetName val="absen_panen_286"/>
      <sheetName val="UPAH_286"/>
      <sheetName val="ocean_voyage6"/>
      <sheetName val="Table_56"/>
      <sheetName val="Income_Statement6"/>
      <sheetName val="Compensation_Data_Worksheet6"/>
      <sheetName val="Data_Opr6"/>
      <sheetName val="Data_Opr_(2)6"/>
      <sheetName val="TANDA_TERIMA4"/>
      <sheetName val="KPC_Coal4"/>
      <sheetName val="DB_MP7"/>
      <sheetName val="Sales_Parameter7"/>
      <sheetName val="KONS_BID_P&amp;N8"/>
      <sheetName val="UP_II_DUMAI8"/>
      <sheetName val="KP_DIT_HULU8"/>
      <sheetName val="UP_VI_BALONGAN8"/>
      <sheetName val="UP_1_BRANDAN8"/>
      <sheetName val="UP_V_BALIKPAPAN8"/>
      <sheetName val="DIT_HILIR8"/>
      <sheetName val="UP_IV_CILACAP8"/>
      <sheetName val="UP_III_PLAJU8"/>
      <sheetName val="KONS_DIT_HULU8"/>
      <sheetName val="KR_AMPEL8"/>
      <sheetName val="UP_VII_KASIM8"/>
      <sheetName val="KONS_BID_P8"/>
      <sheetName val="General_Info8"/>
      <sheetName val="2003_ACT_CFlow8"/>
      <sheetName val="2003_BGT_C_Flow8"/>
      <sheetName val="HO_Use8"/>
      <sheetName val="Engineering_Workload8"/>
      <sheetName val="2D_REPNew2_47"/>
      <sheetName val="absen_kebun_287"/>
      <sheetName val="absen_panen_287"/>
      <sheetName val="UPAH_287"/>
      <sheetName val="ocean_voyage7"/>
      <sheetName val="Table_57"/>
      <sheetName val="Income_Statement7"/>
      <sheetName val="Compensation_Data_Worksheet7"/>
      <sheetName val="Data_Opr7"/>
      <sheetName val="Data_Opr_(2)7"/>
      <sheetName val="TANDA_TERIMA5"/>
      <sheetName val="KPC_Coal5"/>
      <sheetName val="TB2004"/>
      <sheetName val="KASUS10"/>
      <sheetName val="analis"/>
      <sheetName val="DATA LTW"/>
      <sheetName val="Bahan"/>
      <sheetName val="upah-bahan satker_revisi"/>
      <sheetName val="Health"/>
      <sheetName val="Comparable Firms"/>
      <sheetName val="CIP_USD"/>
      <sheetName val="SUMMFA-USD"/>
      <sheetName val="Investment"/>
      <sheetName val="A3_USD_PL02"/>
      <sheetName val="ShareCapital"/>
      <sheetName val="Inventories"/>
      <sheetName val="NRSTOCK"/>
      <sheetName val="addl cost"/>
      <sheetName val="accumdeprn"/>
      <sheetName val="KANDIR"/>
      <sheetName val="KSO"/>
      <sheetName val="PENG"/>
      <sheetName val="P2WAS"/>
      <sheetName val="DLAB3"/>
      <sheetName val="DLAB2"/>
      <sheetName val="DLAB1"/>
      <sheetName val="DSIMA"/>
      <sheetName val="DASAH"/>
      <sheetName val="01"/>
      <sheetName val="FS - US$"/>
      <sheetName val="DATA WP"/>
      <sheetName val="Penyusutan Inventaris"/>
      <sheetName val="value"/>
      <sheetName val="pivot table"/>
      <sheetName val="HopCon"/>
      <sheetName val="FKT_PJK"/>
      <sheetName val="COGS"/>
      <sheetName val="RAB_17"/>
      <sheetName val="Lam Pool"/>
      <sheetName val="RAB-33"/>
      <sheetName val="bez.karpim"/>
      <sheetName val="Iss_Jrn2"/>
      <sheetName val="NB_UNIT32"/>
      <sheetName val="List_Pilihan2"/>
      <sheetName val="Coll_Bulan_ini2"/>
      <sheetName val="Coll_Bulan_lalu2"/>
      <sheetName val="Renc_Bulan_ini2"/>
      <sheetName val="Renc_Bulan_Lalu2"/>
      <sheetName val="Stock_Report2"/>
      <sheetName val="lookup_table2"/>
      <sheetName val="SCH_32"/>
      <sheetName val="Iss_Jrn3"/>
      <sheetName val="NB_UNIT33"/>
      <sheetName val="List_Pilihan3"/>
      <sheetName val="Coll_Bulan_ini3"/>
      <sheetName val="Coll_Bulan_lalu3"/>
      <sheetName val="Renc_Bulan_ini3"/>
      <sheetName val="Renc_Bulan_Lalu3"/>
      <sheetName val="Stock_Report3"/>
      <sheetName val="lookup_table3"/>
      <sheetName val="SCH_33"/>
      <sheetName val="Calculations"/>
      <sheetName val="412src2"/>
      <sheetName val="412"/>
      <sheetName val="SELISIHKURSSOURCE"/>
      <sheetName val="kawin-anak(m)"/>
      <sheetName val="Base Info"/>
      <sheetName val="Data Sheet"/>
      <sheetName val="bunga"/>
      <sheetName val="AGUNANDES"/>
      <sheetName val="Tab DPA"/>
      <sheetName val="RumusTB 1 bln"/>
      <sheetName val="pm"/>
      <sheetName val="XL4Test5"/>
      <sheetName val="#Lookup"/>
      <sheetName val="HPP"/>
      <sheetName val="Pinus"/>
      <sheetName val="Lap des"/>
      <sheetName val="Progres"/>
      <sheetName val="COMBINE"/>
      <sheetName val="CONFIG"/>
      <sheetName val="vol rimba"/>
      <sheetName val="Data TBM I&amp;II"/>
      <sheetName val="PER-HP"/>
      <sheetName val="Jagorawi"/>
      <sheetName val="Kantor Pusat"/>
      <sheetName val="L12 Akt Tetap"/>
      <sheetName val="kriteria"/>
      <sheetName val="Anl-Umum"/>
      <sheetName val="Input_Sing_Life"/>
      <sheetName val="BUTYL 070303 "/>
      <sheetName val="Aug"/>
      <sheetName val="BSHO Report"/>
      <sheetName val="Front"/>
      <sheetName val="Check Sheet"/>
      <sheetName val="PLHO Report"/>
      <sheetName val="PLHOENG"/>
      <sheetName val="ESC"/>
      <sheetName val="Akun"/>
      <sheetName val="Bgn"/>
      <sheetName val="MAP"/>
      <sheetName val="div-2"/>
      <sheetName val="BASIC"/>
      <sheetName val="RKP"/>
      <sheetName val="dasboard"/>
      <sheetName val="anal"/>
      <sheetName val="DIV 6"/>
      <sheetName val="DIV 7"/>
      <sheetName val="HS-DSR"/>
      <sheetName val="RPP01 6"/>
      <sheetName val="RPP01 3"/>
      <sheetName val="Rekap 1"/>
      <sheetName val="7.공정표"/>
      <sheetName val="hsd"/>
      <sheetName val="sai"/>
      <sheetName val="B.U.A"/>
      <sheetName val="Div-5"/>
      <sheetName val="Div-3"/>
      <sheetName val="Div2"/>
      <sheetName val="Rekap Biaya"/>
      <sheetName val="Iss_Jrn4"/>
      <sheetName val="NB_UNIT34"/>
      <sheetName val="List_Pilihan4"/>
      <sheetName val="Coll_Bulan_ini4"/>
      <sheetName val="Coll_Bulan_lalu4"/>
      <sheetName val="Renc_Bulan_ini4"/>
      <sheetName val="Renc_Bulan_Lalu4"/>
      <sheetName val="Stock_Report4"/>
      <sheetName val="lookup_table4"/>
      <sheetName val="SCH_34"/>
      <sheetName val="CF-satu"/>
      <sheetName val="CF Rp-USD"/>
      <sheetName val="PRODUCTION_REPORTS11"/>
      <sheetName val="ANIMATION_ONLY11"/>
      <sheetName val="ANIMATION_COST_FORECAST11"/>
      <sheetName val="EXTERNAL_ANIMATION11"/>
      <sheetName val="Galian_1"/>
      <sheetName val="List_Unit"/>
      <sheetName val="DAY_WORK"/>
      <sheetName val="BAI_Calculation"/>
      <sheetName val="CF_Rp-USD"/>
      <sheetName val="Nov"/>
      <sheetName val="PRODUKSI"/>
      <sheetName val="Insts"/>
      <sheetName val="HARGA ALAT"/>
      <sheetName val="Rot-Pack"/>
      <sheetName val="STEP"/>
      <sheetName val="6-AGREGAT"/>
      <sheetName val="AR1-F20"/>
      <sheetName val="Plc Staff Recharges"/>
      <sheetName val="LHP7"/>
      <sheetName val="Curah hujan"/>
      <sheetName val="XXXXXXXXXXXX"/>
      <sheetName val="MGR-12"/>
      <sheetName val="unit 3"/>
      <sheetName val="Lap_des"/>
      <sheetName val="vol_rimba"/>
      <sheetName val="Data_TBM_I&amp;II"/>
      <sheetName val="Kantor_Pusat"/>
      <sheetName val="L12_Akt_Tetap"/>
      <sheetName val="pihak_iii1"/>
      <sheetName val="nm_kbn1"/>
      <sheetName val="A_u_g1"/>
      <sheetName val="TBM_KR_20061"/>
      <sheetName val="almanak_&amp;hk_1"/>
      <sheetName val="K4__F&amp;F1"/>
      <sheetName val="angs_griya1"/>
      <sheetName val="Draft_Neraca1"/>
      <sheetName val="rek_det_1-31"/>
      <sheetName val="HARGA_SATUAN1"/>
      <sheetName val="C1_NOV1"/>
      <sheetName val="dongia_(2)1"/>
      <sheetName val="DON_GIA1"/>
      <sheetName val="THPDMoi__(2)1"/>
      <sheetName val="CHITIET_VL-NC1"/>
      <sheetName val="CHITIET_VL-NC-TT_-1p1"/>
      <sheetName val="TH_XL1"/>
      <sheetName val="CHITIET_VL-NC-TT-3p1"/>
      <sheetName val="t-h_HA_THE1"/>
      <sheetName val="TONGKE3p_1"/>
      <sheetName val="KPVC-BD_1"/>
      <sheetName val="pro_ra_op2"/>
      <sheetName val="Program_Triwulanan-041"/>
      <sheetName val="data_berat1"/>
      <sheetName val="3_-_Balance_Sheet1"/>
      <sheetName val="5_-_Cash_Flow1"/>
      <sheetName val="Data_Parameter1"/>
      <sheetName val="SC_Pusat_BB3011"/>
      <sheetName val="SC_Pusat_BB3031"/>
      <sheetName val="SC_Pusat_krd1"/>
      <sheetName val="4_-_Income_Statement1"/>
      <sheetName val="Analisa_Harga_Satuan1"/>
      <sheetName val="Tanah_091"/>
      <sheetName val="Chart_Of_Acc1"/>
      <sheetName val="①　BP_vs_SPR_(TTL_Impact)2"/>
      <sheetName val="Kode_BKU1"/>
      <sheetName val="by_sendiri1"/>
      <sheetName val="bezeting_1"/>
      <sheetName val="AU_31_Komputer1"/>
      <sheetName val="rab_8(over_swt)1"/>
      <sheetName val="rab_8_2(swt)1"/>
      <sheetName val="5614_a_Factory_Machinery1"/>
      <sheetName val="5614_b_Diesel_1"/>
      <sheetName val="5614_c_Factory_Equipment1"/>
      <sheetName val="5614_C_Coal_Boiler1"/>
      <sheetName val="Based_Data_wacc1"/>
      <sheetName val="Data_Sheet_1"/>
      <sheetName val="SKCD_DATA_GP_YK1"/>
      <sheetName val="NPWP_DEBITUR1"/>
      <sheetName val="rab_3_krt1"/>
      <sheetName val="rab_4_krt1"/>
      <sheetName val="rab_4_swt1"/>
      <sheetName val="J_u_l1"/>
      <sheetName val="O_c_t1"/>
      <sheetName val="A_p_r1"/>
      <sheetName val="M_a_y1"/>
      <sheetName val="S_e_p1"/>
      <sheetName val="00_received_in_011"/>
      <sheetName val="F_e_b1"/>
      <sheetName val="Per_GL_J_a_n1"/>
      <sheetName val="J_u_n1"/>
      <sheetName val="M_a_r1"/>
      <sheetName val="Bal_1997-19981"/>
      <sheetName val="Lamp_2_1"/>
      <sheetName val="REKAP_OMZET_KAPAL1"/>
      <sheetName val="INDIRECT_DETAIL1"/>
      <sheetName val="RESOURCE_MODEL1"/>
      <sheetName val="lp_kmmda1"/>
      <sheetName val="karet_RKAP1"/>
      <sheetName val="bez_karpel2"/>
      <sheetName val="lembar_kerja2"/>
      <sheetName val="CA_Sheet1"/>
      <sheetName val="SAD"/>
      <sheetName val="LM13_16"/>
      <sheetName val="allokasi_gaji"/>
      <sheetName val="rab.28.2011.krt"/>
      <sheetName val="rab.24.2011.krt"/>
      <sheetName val="rab.33"/>
      <sheetName val="hk"/>
      <sheetName val="O5_IBA"/>
      <sheetName val="1+Pancang"/>
      <sheetName val="KEY"/>
      <sheetName val="DB"/>
      <sheetName val="unit_3"/>
      <sheetName val="URUTBH"/>
      <sheetName val="PDPC0908"/>
      <sheetName val="Daf Harga"/>
      <sheetName val="Bill"/>
      <sheetName val="Rekap Bill"/>
      <sheetName val="Regulated Tariff"/>
      <sheetName val="REKAP Package I"/>
      <sheetName val="Fill this out first___"/>
      <sheetName val="Daf_Harga"/>
      <sheetName val="Rekap_Bill"/>
      <sheetName val="Regulated_Tariff"/>
      <sheetName val="REKAP_Package_I"/>
      <sheetName val="Fill_this_out_first___"/>
      <sheetName val="KKP 01 Audit"/>
      <sheetName val="kas-idr"/>
      <sheetName val="Loan Calculator"/>
      <sheetName val="GrFour"/>
      <sheetName val="MOne"/>
      <sheetName val="MTwo"/>
      <sheetName val="KOne"/>
      <sheetName val="GoSeven"/>
      <sheetName val="GrThree"/>
      <sheetName val="HTwo"/>
      <sheetName val="JOne"/>
      <sheetName val="JTwo"/>
      <sheetName val="HOne"/>
      <sheetName val="GoEight"/>
      <sheetName val="USDt_FS(4)"/>
      <sheetName val="bg"/>
      <sheetName val="TKCJ20_5%"/>
      <sheetName val="PROJ CASH"/>
      <sheetName val="Cover Sheet"/>
      <sheetName val="PRO"/>
      <sheetName val="Exchange Rates"/>
      <sheetName val=""/>
      <sheetName val="H1b Accounts Payable"/>
      <sheetName val="P1 Equity"/>
      <sheetName val="Absensi"/>
      <sheetName val="Gmd3"/>
      <sheetName val="194"/>
      <sheetName val="132 "/>
      <sheetName val="MK"/>
      <sheetName val="CH rancangan"/>
      <sheetName val="Cashflow Analysis"/>
      <sheetName val="Petunjuk"/>
      <sheetName val="Daftar Risiko"/>
      <sheetName val="Grafik (2)"/>
      <sheetName val="BTR"/>
      <sheetName val="Rencana Mitigasi"/>
      <sheetName val="Dampak Residual"/>
      <sheetName val="BTR &amp; Kertas kerja ABI"/>
      <sheetName val="Residual Exposure"/>
      <sheetName val="Cetak RR"/>
      <sheetName val="Peta Inherent"/>
      <sheetName val="Peta Residual"/>
      <sheetName val="Upload"/>
      <sheetName val="Rencana Mitigasi_NPV"/>
      <sheetName val="B7"/>
      <sheetName val="PC Account"/>
      <sheetName val="CASTING"/>
      <sheetName val="Note1-Interco"/>
      <sheetName val="Note3-Invest"/>
      <sheetName val="Note2-Equity"/>
      <sheetName val="Agust"/>
      <sheetName val="Pit's"/>
      <sheetName val="September"/>
      <sheetName val="Grafik Trial"/>
      <sheetName val="Workings"/>
      <sheetName val="Fak_aktif"/>
      <sheetName val="ACT HAUL"/>
      <sheetName val="HAUL C1,C2,C3"/>
      <sheetName val="Asumption Board"/>
      <sheetName val="combined"/>
      <sheetName val="Daily Report"/>
      <sheetName val="Sale-Leaseback (2)"/>
      <sheetName val="R~INS-01"/>
      <sheetName val="Daftar Data Request"/>
      <sheetName val="Bal Sheet"/>
      <sheetName val="Prod Plan"/>
      <sheetName val="Incentives"/>
      <sheetName val="SO Incentive Graphs1"/>
      <sheetName val="SO Incentive Graphs2"/>
      <sheetName val="SO Incentive Graphs3"/>
      <sheetName val="SO Incentive Graphs4"/>
      <sheetName val="LEAGUE"/>
      <sheetName val="Karen SAP"/>
      <sheetName val="May 03"/>
      <sheetName val="L2 Manpower"/>
      <sheetName val="L2 Summary"/>
      <sheetName val="GBSO"/>
      <sheetName val="Adjusted Beta"/>
      <sheetName val="Risk-Free Rate"/>
      <sheetName val="Time Estimates"/>
      <sheetName val="KISSAN"/>
      <sheetName val="Model"/>
      <sheetName val="Attributes"/>
      <sheetName val="INQ"/>
      <sheetName val="EU Comps"/>
      <sheetName val="IS"/>
      <sheetName val="COS"/>
      <sheetName val="COMB3"/>
      <sheetName val="Sheet2"/>
      <sheetName val="checks"/>
      <sheetName val="instalasi disp Mei"/>
      <sheetName val="Income Statements"/>
      <sheetName val="05L-06Pivot"/>
      <sheetName val="Results from Nov 98"/>
      <sheetName val="Consolidated Forecast"/>
      <sheetName val="Consolidated Actual"/>
      <sheetName val="Cash"/>
      <sheetName val="COGS TP"/>
      <sheetName val="Prex"/>
      <sheetName val="Opex"/>
      <sheetName val="Inventory&amp;Purchases"/>
      <sheetName val="Sales GA"/>
      <sheetName val="Lists"/>
      <sheetName val="UK"/>
      <sheetName val="CARnCT"/>
      <sheetName val="BEFORE ALLOCATION"/>
      <sheetName val="CF-1"/>
      <sheetName val="OUSTANDING"/>
      <sheetName val="OUSTANDING_ANW"/>
      <sheetName val="P&amp;L"/>
      <sheetName val="VEN"/>
      <sheetName val="escon"/>
      <sheetName val="MPK"/>
      <sheetName val="Past Performance"/>
      <sheetName val="PAK-01"/>
      <sheetName val="pak03"/>
      <sheetName val="FRP 2007"/>
      <sheetName val="Proyeksi"/>
      <sheetName val="HS "/>
      <sheetName val="105C"/>
      <sheetName val="CF 2005"/>
      <sheetName val="FAK"/>
      <sheetName val="CF"/>
      <sheetName val="daf_3_OK_"/>
      <sheetName val="daf_7_OK_"/>
      <sheetName val="DN05-99"/>
      <sheetName val="harry"/>
      <sheetName val="cek"/>
      <sheetName val="DROP_DOWN"/>
      <sheetName val="RKP PLUMBING"/>
      <sheetName val="INV-KTR"/>
      <sheetName val="BQ ARS"/>
      <sheetName val="Supl.X"/>
      <sheetName val="HB"/>
      <sheetName val="FORM01"/>
      <sheetName val="STP"/>
      <sheetName val="lam-ssp Mdn"/>
      <sheetName val="NHM5407"/>
      <sheetName val="period 5"/>
      <sheetName val="Nat"/>
      <sheetName val="GT"/>
      <sheetName val="MTDB"/>
      <sheetName val="MTDS"/>
      <sheetName val="Conversion"/>
      <sheetName val="E-retail"/>
      <sheetName val="Overview"/>
      <sheetName val="Basic Info"/>
      <sheetName val="HT Nat"/>
      <sheetName val="HT GT"/>
      <sheetName val="HT MTDB"/>
      <sheetName val="HT MTDS"/>
      <sheetName val="HT E-retail"/>
      <sheetName val="HT Nat Channel"/>
      <sheetName val="HT Nat Channel SCP B20 to LE19"/>
      <sheetName val="COGS B2020 vs B2019 compare"/>
      <sheetName val="COGS SKU HT B2020"/>
      <sheetName val="Listing by SKU"/>
      <sheetName val="Summary &amp; Phasing MT"/>
      <sheetName val="Details GT"/>
      <sheetName val="COGS B2019 (box) sum"/>
      <sheetName val="Master Data Correction"/>
      <sheetName val="Summary by Channel"/>
      <sheetName val="Stock Projection"/>
      <sheetName val="Item Data"/>
      <sheetName val="MASTER "/>
      <sheetName val="DIV-7"/>
      <sheetName val="vels"/>
      <sheetName val="daya"/>
      <sheetName val="Master Edit"/>
      <sheetName val="Grinding by Month"/>
      <sheetName val="rincian per proyek"/>
      <sheetName val="Projection"/>
      <sheetName val="BQ"/>
      <sheetName val="Scenario"/>
      <sheetName val="Grinding by Quarter"/>
      <sheetName val="Recap"/>
      <sheetName val="fcsp-w"/>
      <sheetName val="BQ-1A"/>
      <sheetName val="Original Sheet"/>
      <sheetName val="form evaluasi"/>
      <sheetName val="DETAIL POS 123"/>
      <sheetName val="F_8_2_Details_Premix"/>
      <sheetName val="C_FA_HO"/>
      <sheetName val="C_ICL_HO"/>
      <sheetName val="P_BS"/>
      <sheetName val="C_CS_HO"/>
      <sheetName val="C_WC"/>
      <sheetName val="A_Tax_HO"/>
      <sheetName val="A_TS"/>
      <sheetName val="P_IS"/>
      <sheetName val="C_Tax_HO"/>
      <sheetName val="C_OBSI_HO"/>
      <sheetName val="CALCULATE_INDEKS"/>
      <sheetName val="P_CF"/>
      <sheetName val="A_FA_HO"/>
      <sheetName val="A_CAPEX_HO"/>
      <sheetName val="A_CS_HO"/>
      <sheetName val="A_WC_HO"/>
      <sheetName val="A_INV_HO"/>
      <sheetName val="C_INV_HO_TO"/>
      <sheetName val="A_ICL_HO"/>
      <sheetName val="P_IS_P"/>
      <sheetName val="A_OBSI_HO"/>
      <sheetName val="Organization_Chart"/>
      <sheetName val="ABK_04_AWALR+CO+TAB_RUPS"/>
      <sheetName val="06__CC270616"/>
      <sheetName val="BSHO_Report"/>
      <sheetName val="Check_Sheet"/>
      <sheetName val="PLHO_Report"/>
      <sheetName val="addl_cost"/>
      <sheetName val="C"/>
      <sheetName val="NRC"/>
      <sheetName val="LMI CUBE-F18 SKU (CY)"/>
      <sheetName val="LMI CUBE-F18 SKU (FY)"/>
      <sheetName val="LSI CUBE-F18 SKU (CY)"/>
      <sheetName val="LSI CUBE-F18 Sub Brand (FY)"/>
      <sheetName val="LSI CUBE-F19 Sub Brand (FY)"/>
      <sheetName val="DFI CUBE-F18 SKU (CY)"/>
      <sheetName val="DFI CUBE-F18 SKU (FY)"/>
      <sheetName val="DFI CUBE-F18 BY Area"/>
      <sheetName val="Kamus (2)"/>
      <sheetName val="all acc"/>
      <sheetName val="inc retur (2)"/>
      <sheetName val="inc retur"/>
      <sheetName val="exc retur"/>
      <sheetName val="MKT"/>
      <sheetName val="procedure F19 P1"/>
      <sheetName val="Sheet2 (2)"/>
      <sheetName val="BS Account"/>
      <sheetName val="P&amp;L Account"/>
      <sheetName val="Profit Centre"/>
      <sheetName val="Vendor Code"/>
      <sheetName val="SAA"/>
      <sheetName val="R Lead"/>
      <sheetName val="Tiff-Maried Gold &amp; Choki S.P"/>
      <sheetName val="MT Tiff-done"/>
      <sheetName val="East Coast-done"/>
      <sheetName val="All-done"/>
      <sheetName val="Data_Sheet"/>
      <sheetName val="Tab_DPA"/>
      <sheetName val="RumusTB_1_bln"/>
      <sheetName val="Acccounts"/>
      <sheetName val="Breakevn"/>
      <sheetName val="K-lead"/>
      <sheetName val="TB 07 08"/>
      <sheetName val="Posting control"/>
      <sheetName val="TEMPLATE"/>
      <sheetName val="GMA_KAG"/>
      <sheetName val="Setting"/>
      <sheetName val="Program"/>
      <sheetName val="Data_Plan"/>
      <sheetName val="Pivot"/>
      <sheetName val="rincian UMUR"/>
      <sheetName val="SKEP-84"/>
      <sheetName val="key indic."/>
      <sheetName val="JU"/>
      <sheetName val="_REF"/>
      <sheetName val="TRIAL"/>
      <sheetName val="STATE"/>
      <sheetName val="Fixed Assets - CDN$ - Detail"/>
      <sheetName val="accts"/>
      <sheetName val="costs"/>
      <sheetName val="mega"/>
      <sheetName val="prima"/>
      <sheetName val="tira"/>
      <sheetName val="Oct 03"/>
      <sheetName val="MLS.2 Add BP"/>
      <sheetName val="Sandi laba rugi"/>
      <sheetName val="BS final"/>
      <sheetName val="MacPro"/>
      <sheetName val="HG_BEL"/>
      <sheetName val="Project Data"/>
      <sheetName val="Outdoorization 2021"/>
      <sheetName val="Payment Request Form"/>
      <sheetName val="KU-Ajt'03"/>
      <sheetName val="t.b"/>
      <sheetName val="tax-ss"/>
      <sheetName val="satpek"/>
      <sheetName val="Mesin"/>
      <sheetName val="Other Valid Codes"/>
      <sheetName val="Plant_Loc"/>
      <sheetName val="UoM"/>
      <sheetName val="Currencies"/>
      <sheetName val="VARIABLE"/>
      <sheetName val="Paremeters"/>
      <sheetName val="F18 EO Rates"/>
      <sheetName val="F19-F21 Inflation"/>
      <sheetName val="FAI-1"/>
      <sheetName val="Key Stats"/>
      <sheetName val="17000100 roll "/>
      <sheetName val="FRN"/>
      <sheetName val="JJCP AP TRADE"/>
      <sheetName val="Dummy"/>
      <sheetName val="Atur"/>
      <sheetName val="BL2"/>
      <sheetName val="ACCOUNTS31Okt2005"/>
      <sheetName val="Rekons PPh 21"/>
      <sheetName val="Consolidated"/>
      <sheetName val="Read Me"/>
      <sheetName val="wk prgs"/>
      <sheetName val="Data Client"/>
      <sheetName val="Informatique"/>
      <sheetName val="THRK"/>
      <sheetName val="ANALISA TAMBAHAN"/>
      <sheetName val="ANALISA BETON "/>
      <sheetName val="ANL-1"/>
      <sheetName val="MAPDC"/>
      <sheetName val="Analisa ME"/>
      <sheetName val="reference"/>
      <sheetName val="Summary_UM1"/>
      <sheetName val="Actuals_&amp;_Prior_Yr__Figures1"/>
      <sheetName val="Annual_Budget_Figures1"/>
      <sheetName val="Financial_Reports1"/>
      <sheetName val="Cost_Analysis1"/>
      <sheetName val="Faktor_Pembatas_Luas_Areal1"/>
      <sheetName val="Fact_Truck1"/>
      <sheetName val="Coal_Boiler1"/>
      <sheetName val="Template_1"/>
      <sheetName val="Project_Code_관리1"/>
      <sheetName val="List_as_of_October1"/>
      <sheetName val="R_Category2"/>
      <sheetName val="자금세탁_사례관리1"/>
      <sheetName val="전체_리스트1"/>
      <sheetName val="Scenarios_and_Sensitivities1"/>
      <sheetName val="Global_Assumptions1"/>
      <sheetName val="Power_&amp;_Fuel(SMS)1"/>
      <sheetName val="Power_&amp;_Fuel(new)1"/>
      <sheetName val="Power_&amp;_Fuel_(S)1"/>
      <sheetName val="Power_&amp;_Fuel(c)1"/>
      <sheetName val="THREE_VARIABLES1"/>
      <sheetName val="Base_Data1"/>
      <sheetName val="TRADING_PROFIT1"/>
      <sheetName val="BGT_Cashflow1"/>
      <sheetName val="Data_YTD1"/>
      <sheetName val="LARL-4_(TW)1"/>
      <sheetName val="POTO_MAC1"/>
      <sheetName val="PercenDiv"/>
      <sheetName val="prg-old"/>
      <sheetName val="AA.1.1 BNI"/>
      <sheetName val="divisi sarana"/>
      <sheetName val="Kebutuhan Alat"/>
      <sheetName val="Kebutuhan Chem"/>
      <sheetName val="Kebutuhan Personil"/>
      <sheetName val="AA_1_1_BNI"/>
      <sheetName val="divisi_sarana"/>
      <sheetName val="Kebutuhan_Alat"/>
      <sheetName val="Kebutuhan_Chem"/>
      <sheetName val="Kebutuhan_Personil"/>
      <sheetName val="Data Base"/>
      <sheetName val="Organik"/>
      <sheetName val="LR_LAIN2"/>
      <sheetName val="GKP"/>
      <sheetName val="チューブ仕様"/>
      <sheetName val="mu"/>
      <sheetName val="HB "/>
      <sheetName val="NP"/>
      <sheetName val="GAEYO"/>
      <sheetName val="共通事項"/>
      <sheetName val="AnalisaSIPIL RIIL RAP"/>
      <sheetName val="proposal"/>
      <sheetName val="예산M4A"/>
      <sheetName val="SASKIN"/>
      <sheetName val="Kontribusi"/>
      <sheetName val="Hafni"/>
      <sheetName val="Rekapitulasi"/>
      <sheetName val="SATUAN UPAH"/>
      <sheetName val="BQMPALOC"/>
      <sheetName val="SPT vs PHI"/>
      <sheetName val="Progres Rasio LR"/>
      <sheetName val="RAP Change"/>
      <sheetName val="DATA PROYEK"/>
      <sheetName val="Analisa Harsat"/>
      <sheetName val="Analisa Harsat CCO Intern"/>
      <sheetName val="AnHarSat Real Saat Ini"/>
      <sheetName val="AnHarSat Real Sd Saat Lalu"/>
      <sheetName val="RAB"/>
      <sheetName val="Rekap RAP"/>
      <sheetName val="BUL"/>
      <sheetName val="Cost Control Utk Perub RAP"/>
      <sheetName val="Daftar Alat"/>
      <sheetName val="Sel Dev"/>
      <sheetName val="Progress Ekstern"/>
      <sheetName val="Harsat Alat"/>
      <sheetName val="Harsat Bahan"/>
      <sheetName val="Harsat SubKon"/>
      <sheetName val="Harsat Upah"/>
      <sheetName val="Laporan Harian"/>
      <sheetName val="Hrn I"/>
      <sheetName val="Hrn II"/>
      <sheetName val="Hrn III"/>
      <sheetName val="BA Pemeriksaan"/>
      <sheetName val="R. RapatCCO"/>
      <sheetName val="Biaya LONSTAD"/>
      <sheetName val="Laporan Mingguan"/>
      <sheetName val="BAP"/>
      <sheetName val="Rekap MC"/>
      <sheetName val="BA Fisik"/>
      <sheetName val="Evaluasi CCO"/>
      <sheetName val="Hsl Evaluasi"/>
      <sheetName val="Lap Pek 2"/>
      <sheetName val="Lap Pek 1"/>
      <sheetName val="Penilaian Hasil FHO"/>
      <sheetName val="Penilaian Hasil PHO"/>
      <sheetName val="Penyampaian Evaluasi"/>
      <sheetName val="Permhnan CCO2"/>
      <sheetName val="Permhnan FHO"/>
      <sheetName val="Permhnan PHO"/>
      <sheetName val="Persetujuan CCO2"/>
      <sheetName val="Pemakaian Bahan"/>
      <sheetName val="Pengadaan Bahan"/>
      <sheetName val="Volume Mingguan"/>
      <sheetName val="Laporan Bulanan"/>
      <sheetName val="Schedule Ekstern"/>
      <sheetName val="Rekap Sisa Bahan"/>
      <sheetName val="RAP Sisa"/>
      <sheetName val="EARNED VALUE"/>
      <sheetName val="Permhnan UM"/>
      <sheetName val="Und. RptFHO"/>
      <sheetName val="Und. RptPHO"/>
      <sheetName val="An-Ars"/>
      <sheetName val=" An-Str "/>
      <sheetName val="찍기"/>
      <sheetName val="DAFTAR ISI"/>
      <sheetName val="Karung"/>
      <sheetName val="Pesanan"/>
      <sheetName val="Penjualan"/>
      <sheetName val="MIFA Description"/>
      <sheetName val="Active GL"/>
      <sheetName val="Actqty"/>
      <sheetName val="ActUnithrs"/>
      <sheetName val="ActUnitrate"/>
      <sheetName val="Budgetqty"/>
      <sheetName val="BudgetUnithrs"/>
      <sheetName val="Planthrs"/>
      <sheetName val="DAF-1"/>
      <sheetName val="Renc Camp"/>
      <sheetName val="Bantu"/>
      <sheetName val="K5"/>
      <sheetName val="Volume Intern"/>
      <sheetName val="Volume Ekstern"/>
      <sheetName val="Schedule"/>
      <sheetName val="Rekap K5"/>
      <sheetName val="Koefisien"/>
      <sheetName val="BA Evaluasi"/>
      <sheetName val="Permhnan CCO"/>
      <sheetName val="Persetujuan CCO"/>
      <sheetName val="M E N U"/>
      <sheetName val="Schedule I"/>
      <sheetName val="S D"/>
      <sheetName val="mutasi RC"/>
      <sheetName val="Angs. ke MARK"/>
      <sheetName val="ANALISA ALAT BERAT"/>
      <sheetName val="N-RL"/>
      <sheetName val="Md71a"/>
      <sheetName val="Unit List"/>
      <sheetName val="ADR"/>
      <sheetName val="21. Estimate Fixed FC"/>
      <sheetName val="10. Production"/>
      <sheetName val="DASH"/>
      <sheetName val="Schedule 11a"/>
      <sheetName val="Temporary"/>
      <sheetName val="Septick tank"/>
      <sheetName val="Subkon"/>
      <sheetName val="Ana. PU"/>
      <sheetName val="RENPEN"/>
      <sheetName val="Fill this out first..."/>
      <sheetName val="pricing"/>
      <sheetName val="112-885"/>
      <sheetName val="Breakdown"/>
      <sheetName val="Meto"/>
      <sheetName val="MAP-Prog"/>
      <sheetName val="Komp Rev"/>
      <sheetName val="12-06-ins"/>
      <sheetName val="KAS $"/>
      <sheetName val="FA1999"/>
      <sheetName val="eCommerce"/>
      <sheetName val="Worksheet-03"/>
      <sheetName val="ACT PROD"/>
      <sheetName val="PLAN PROD"/>
      <sheetName val="Xplor pattern 08.05"/>
      <sheetName val="C94151"/>
      <sheetName val="10"/>
      <sheetName val="Aging"/>
      <sheetName val="SK HTM"/>
      <sheetName val="Entry  HTM"/>
      <sheetName val="HRG BAHAN &amp; UPAH okk"/>
      <sheetName val="Asset"/>
      <sheetName val="Pareto pivot"/>
      <sheetName val="Populasi pivot"/>
      <sheetName val="EXEC Summary"/>
      <sheetName val="Populasi"/>
      <sheetName val="Delay Down Chart pivot"/>
      <sheetName val="Yearly PA_MTBF_MTTR"/>
      <sheetName val="Delay Down Chart"/>
      <sheetName val="Fleet Pivot"/>
      <sheetName val="DownTime"/>
      <sheetName val="Fleet KPI"/>
      <sheetName val="Pareto"/>
      <sheetName val="Summary Training Operator"/>
      <sheetName val="Summary Mechanic Training"/>
      <sheetName val="STO_tariff"/>
      <sheetName val="SUpply&amp;Equip"/>
      <sheetName val="Business Case Ver. 3"/>
      <sheetName val="PL (MONTHLY)"/>
      <sheetName val="Total OP"/>
      <sheetName val="Opex Line items"/>
      <sheetName val="GJ-0214"/>
      <sheetName val="pks"/>
      <sheetName val="NOPAT_VDF"/>
      <sheetName val="Invested capital_VDF"/>
      <sheetName val="DCF_VDF"/>
      <sheetName val="WACC_VDF"/>
      <sheetName val="PV of Op Leases_VDF"/>
      <sheetName val="Income Statement_VDF"/>
      <sheetName val="A6A"/>
      <sheetName val="rms"/>
      <sheetName val="BPR"/>
      <sheetName val="604b jadi"/>
      <sheetName val="schtng"/>
      <sheetName val="schbhn"/>
      <sheetName val="schalt"/>
      <sheetName val="UMM"/>
      <sheetName val="sawit RKAP"/>
      <sheetName val="LABA RUGI"/>
      <sheetName val="cov"/>
      <sheetName val="Cawang Tomang Cengkareng"/>
      <sheetName val="Jakarta Cikampek"/>
      <sheetName val="Citarum"/>
      <sheetName val="Padalarang Cileunyi"/>
      <sheetName val="Surabaya Gempol Mojokerto"/>
      <sheetName val="S2-0 S2-1"/>
      <sheetName val="Data Pembukaan_1.1"/>
      <sheetName val="50+500-55+300"/>
      <sheetName val="auto-lock"/>
      <sheetName val="BoQ C4"/>
      <sheetName val="Acara Rapat"/>
      <sheetName val="Perm. Test"/>
      <sheetName val="Master 1.0"/>
      <sheetName val="3-DIV3"/>
      <sheetName val="pivot1"/>
      <sheetName val="SCH_2"/>
      <sheetName val="KODE"/>
      <sheetName val="Isian"/>
      <sheetName val="Assumpt"/>
      <sheetName val="bhn_upah"/>
      <sheetName val="LPJ-Bm"/>
      <sheetName val="Reklpj"/>
      <sheetName val="Bang-Non-St"/>
      <sheetName val="Add-trans"/>
      <sheetName val="S-2"/>
      <sheetName val="Pro-Base"/>
      <sheetName val="S-1"/>
      <sheetName val="Add-rev"/>
      <sheetName val="Exist"/>
      <sheetName val="Tot"/>
      <sheetName val="Tranponder"/>
      <sheetName val="LPPH"/>
      <sheetName val="BBM"/>
      <sheetName val="PROD"/>
      <sheetName val="HRS"/>
      <sheetName val="DISTANCE"/>
      <sheetName val="EVENT"/>
      <sheetName val="ENGINE"/>
      <sheetName val="FUEL"/>
      <sheetName val="PERF"/>
      <sheetName val="ADMINISTRATOR"/>
      <sheetName val="RESUME"/>
      <sheetName val="SUMP"/>
      <sheetName val="WEATHER"/>
      <sheetName val="POMPA"/>
      <sheetName val="QTY"/>
      <sheetName val="DAILY"/>
      <sheetName val="PTY"/>
      <sheetName val="COAL"/>
      <sheetName val="WATERFALL"/>
      <sheetName val="ACHIEVMENT"/>
      <sheetName val="keb_alt"/>
      <sheetName val="cat"/>
      <sheetName val="SUB"/>
      <sheetName val="INVES"/>
      <sheetName val="RBP1"/>
      <sheetName val="keb_tng"/>
      <sheetName val="hardas dc"/>
      <sheetName val="RBP2"/>
      <sheetName val="keb_mat"/>
      <sheetName val="jadual"/>
      <sheetName val="ALAT1"/>
      <sheetName val="bank"/>
      <sheetName val="ALAT2"/>
      <sheetName val="BL"/>
      <sheetName val="MAT"/>
      <sheetName val="divI"/>
      <sheetName val="B3 Stone Pitching(m3con)"/>
      <sheetName val="BOQ"/>
      <sheetName val="part"/>
      <sheetName val="Source (Inflow)"/>
      <sheetName val="TW II"/>
      <sheetName val="TP_DATABASE"/>
      <sheetName val="DATA "/>
      <sheetName val="struktur tdk dipakai"/>
      <sheetName val="OE"/>
      <sheetName val="Des"/>
      <sheetName val="EXTERNA_x005f_x005f_x005f_x0000__x005f_x005f_x0_2"/>
      <sheetName val="EXTERNA_x005f_x005f_x005f_x005f_x005f_x005f_x00_2"/>
      <sheetName val="EXTERNA_x005f_x005f_x005f_x005f_x005f_x005f_x00_3"/>
      <sheetName val="EXTERNA?_x000"/>
      <sheetName val="EXTERNA_x005f_x0000__x005f_x005f_x0_2"/>
      <sheetName val="EXTERNA_x005f_x005f_x005f_x005F_x00_2"/>
      <sheetName val="EXTERNA_x005f_x005f_x005f_x005F_x00_3"/>
      <sheetName val="ASSUM-COMB-Prop"/>
      <sheetName val="Assumption &amp; Result"/>
      <sheetName val="Trading Statement"/>
      <sheetName val="tr-28202"/>
      <sheetName val="WBS1"/>
      <sheetName val="tb-mar"/>
      <sheetName val="ACP_QUERY"/>
      <sheetName val="ACR_QUERY"/>
      <sheetName val="PURCHASE_INVOICES"/>
      <sheetName val="CMG_TRANSACTIONS"/>
      <sheetName val="SALES_INVOICES"/>
      <sheetName val="BANK_MASTER"/>
      <sheetName val="SUPPL_MASTER"/>
      <sheetName val="CMG_JV"/>
      <sheetName val="CUST_MASTER"/>
      <sheetName val="GEN_JOURNAL"/>
      <sheetName val="GEN_JV"/>
      <sheetName val="GEN_LEDGER"/>
      <sheetName val="TRADE_INV_TRANS"/>
      <sheetName val="INV_JV"/>
      <sheetName val="ITEM_MASTER"/>
      <sheetName val="PUR_JV"/>
      <sheetName val="SLS_JV"/>
      <sheetName val="TB_QUERY"/>
      <sheetName val="TRIAL_BALANCE"/>
      <sheetName val="Paramétrage"/>
      <sheetName val="Tran0104"/>
      <sheetName val="63_Swap"/>
      <sheetName val="Order_Nov_w45"/>
      <sheetName val="P2.220 Retire-PBO"/>
      <sheetName val="Board paper Official"/>
      <sheetName val="Page P&amp;L-Pre IFRS"/>
      <sheetName val="Graph-May'22"/>
      <sheetName val="NTC Graph"/>
      <sheetName val="Graphs-New"/>
      <sheetName val="tag1"/>
      <sheetName val="F-2"/>
      <sheetName val="PEGAWAI"/>
      <sheetName val="Thai"/>
      <sheetName val="IND"/>
      <sheetName val="CBD"/>
      <sheetName val="MALE"/>
      <sheetName val="PNG"/>
      <sheetName val="VIET"/>
      <sheetName val="BPW-Europe"/>
      <sheetName val="s"/>
      <sheetName val="DEPK2003"/>
      <sheetName val="REN2000"/>
      <sheetName val="Vehicle"/>
      <sheetName val="B1"/>
      <sheetName val="AR EXPORT"/>
      <sheetName val="WorkGroup"/>
      <sheetName val="Master Employee"/>
      <sheetName val="Komposisi"/>
      <sheetName val="IN"/>
      <sheetName val="OUT"/>
      <sheetName val="List Pemutihan"/>
      <sheetName val="PKL &amp; KONTRAKTOR"/>
      <sheetName val="BS"/>
      <sheetName val="IMD10"/>
      <sheetName val="mill"/>
      <sheetName val="sbe"/>
      <sheetName val="are"/>
      <sheetName val="mm.page-2.x"/>
      <sheetName val="HARGA CONSUMABLE"/>
      <sheetName val="remain"/>
      <sheetName val="Sat~Bahu"/>
      <sheetName val="hal10"/>
      <sheetName val="ANALISA SATUAN"/>
      <sheetName val="data-hujan"/>
      <sheetName val="XLR_NoRangeSheet"/>
      <sheetName val="Anls"/>
      <sheetName val="cal-foamglass"/>
      <sheetName val="A_Global"/>
      <sheetName val="Returns"/>
      <sheetName val="Tabel OT Karyawan 1-200"/>
      <sheetName val="DB_MP8"/>
      <sheetName val="Sales_Parameter8"/>
      <sheetName val="KONS_BID_P&amp;N9"/>
      <sheetName val="UP_II_DUMAI9"/>
      <sheetName val="KP_DIT_HULU9"/>
      <sheetName val="UP_VI_BALONGAN9"/>
      <sheetName val="UP_1_BRANDAN9"/>
      <sheetName val="UP_V_BALIKPAPAN9"/>
      <sheetName val="DIT_HILIR9"/>
      <sheetName val="UP_IV_CILACAP9"/>
      <sheetName val="UP_III_PLAJU9"/>
      <sheetName val="KONS_DIT_HULU9"/>
      <sheetName val="KR_AMPEL9"/>
      <sheetName val="UP_VII_KASIM9"/>
      <sheetName val="KONS_BID_P9"/>
      <sheetName val="General_Info9"/>
      <sheetName val="2003_ACT_CFlow9"/>
      <sheetName val="2003_BGT_C_Flow9"/>
      <sheetName val="HO_Use9"/>
      <sheetName val="Engineering_Workload9"/>
      <sheetName val="2D_REPNew2_48"/>
      <sheetName val="absen_kebun_288"/>
      <sheetName val="absen_panen_288"/>
      <sheetName val="UPAH_288"/>
      <sheetName val="ocean_voyage8"/>
      <sheetName val="Table_58"/>
      <sheetName val="Income_Statement8"/>
      <sheetName val="Compensation_Data_Worksheet8"/>
      <sheetName val="Data_Opr8"/>
      <sheetName val="Data_Opr_(2)8"/>
      <sheetName val="TANDA_TERIMA6"/>
      <sheetName val="KPC_Coal6"/>
      <sheetName val="DB_MP9"/>
      <sheetName val="Sales_Parameter9"/>
      <sheetName val="KONS_BID_P&amp;N10"/>
      <sheetName val="UP_II_DUMAI10"/>
      <sheetName val="KP_DIT_HULU10"/>
      <sheetName val="UP_VI_BALONGAN10"/>
      <sheetName val="UP_1_BRANDAN10"/>
      <sheetName val="UP_V_BALIKPAPAN10"/>
      <sheetName val="DIT_HILIR10"/>
      <sheetName val="UP_IV_CILACAP10"/>
      <sheetName val="UP_III_PLAJU10"/>
      <sheetName val="KONS_DIT_HULU10"/>
      <sheetName val="KR_AMPEL10"/>
      <sheetName val="UP_VII_KASIM10"/>
      <sheetName val="KONS_BID_P10"/>
      <sheetName val="General_Info10"/>
      <sheetName val="2003_ACT_CFlow10"/>
      <sheetName val="2003_BGT_C_Flow10"/>
      <sheetName val="HO_Use10"/>
      <sheetName val="Engineering_Workload10"/>
      <sheetName val="2D_REPNew2_49"/>
      <sheetName val="absen_kebun_289"/>
      <sheetName val="absen_panen_289"/>
      <sheetName val="UPAH_289"/>
      <sheetName val="ocean_voyage9"/>
      <sheetName val="Data_Opr9"/>
      <sheetName val="Table_59"/>
      <sheetName val="Income_Statement9"/>
      <sheetName val="Compensation_Data_Worksheet9"/>
      <sheetName val="Data_Opr_(2)9"/>
      <sheetName val="TANDA_TERIMA7"/>
      <sheetName val="KPC_Coal7"/>
      <sheetName val="Galian_11"/>
      <sheetName val="List_Unit1"/>
      <sheetName val="DAY_WORK1"/>
      <sheetName val="BAI_Calculation1"/>
      <sheetName val="OTHER_PREPAID_EXPENSE2"/>
      <sheetName val="Altman_Z_Score2"/>
      <sheetName val="Penyusutan_Kendaraan2"/>
      <sheetName val="TBCons_KMB042"/>
      <sheetName val="Exch_rate2"/>
      <sheetName val="rab_33_2011_krt2"/>
      <sheetName val="RADIO_CONTROLS2"/>
      <sheetName val="KPI-Data_Source2"/>
      <sheetName val="Permanent_info2"/>
      <sheetName val="FISIK_RAB_20002"/>
      <sheetName val="Satuan_Harga_Bahan2"/>
      <sheetName val="Satuan_Harga_Upah2"/>
      <sheetName val="Material_SAP2"/>
      <sheetName val="Master_File2"/>
      <sheetName val="Master_Data2"/>
      <sheetName val="Coef_Calculation2"/>
      <sheetName val="SLS-TGT-FEED_(FDM)2"/>
      <sheetName val="C_O_A2"/>
      <sheetName val="List_of_related_party2"/>
      <sheetName val="rekap_pph_232"/>
      <sheetName val="21_&amp;_252"/>
      <sheetName val="Eksisting_Penarikan2"/>
      <sheetName val="Daftar_Harga2"/>
      <sheetName val="CF_Pmt_creditor1"/>
      <sheetName val="Seb_KPI's1"/>
      <sheetName val="P&amp;L_Detail_SARold1"/>
      <sheetName val="BA_Rekon_ARDWS-APTSEL_(IDR)2"/>
      <sheetName val="BA_Rekon_RevDWS-ExpTSEL_(IDR)2"/>
      <sheetName val="BA_Rekon_ARAP_(USD)2"/>
      <sheetName val="BA_Rekon_RevExp_(USD)2"/>
      <sheetName val="BA_Rekon_RevDWS-ExpTSEL_(SLI)2"/>
      <sheetName val="Jurnal_Memo_(USD)2"/>
      <sheetName val="KBT_1"/>
      <sheetName val="cilandak_payroll2"/>
      <sheetName val="PBC_S20032"/>
      <sheetName val="RMS_FUNGSIONAL1"/>
      <sheetName val="RMS_-_STR_(2)1"/>
      <sheetName val="p_mgmt1"/>
      <sheetName val="tabel_rimba1"/>
      <sheetName val="RO344_TOTAL1"/>
      <sheetName val="KBB-CIB_BANK1"/>
      <sheetName val="data_arus_kas1"/>
      <sheetName val="9211_Summary_of_CAJE1"/>
      <sheetName val="9212_Summary_of_AJE1"/>
      <sheetName val="9213_Summary_of_RJE1"/>
      <sheetName val="DAF_INVEN_U_O1"/>
      <sheetName val="Accrued_RO1"/>
      <sheetName val="SEC_Income_Statement1"/>
      <sheetName val="budget_20181"/>
      <sheetName val="An__Harga1"/>
      <sheetName val="VAT__2010_SPM"/>
      <sheetName val="FE-1771$_P1"/>
      <sheetName val="Daf_Harga1"/>
      <sheetName val="Rekap_Bill1"/>
      <sheetName val="Regulated_Tariff1"/>
      <sheetName val="REKAP_Package_I1"/>
      <sheetName val="Fill_this_out_first___1"/>
      <sheetName val="KKP_01_Audit"/>
      <sheetName val="Loan_Calculator"/>
      <sheetName val="Lam_Pool"/>
      <sheetName val="BUTYL_070303_"/>
      <sheetName val="Daftar_Data_Request"/>
      <sheetName val="DIV_6"/>
      <sheetName val="DIV_7"/>
      <sheetName val="RPP01_6"/>
      <sheetName val="RPP01_3"/>
      <sheetName val="Rekap_1"/>
      <sheetName val="7_공정표"/>
      <sheetName val="B_U_A"/>
      <sheetName val="Rekap_Biaya"/>
      <sheetName val="PROJ_CASH"/>
      <sheetName val="Cover_Sheet"/>
      <sheetName val="Exchange_Rates"/>
      <sheetName val="H1b_Accounts_Payable"/>
      <sheetName val="P1_Equity"/>
      <sheetName val="Sale-Leaseback_(2)"/>
      <sheetName val="raw"/>
      <sheetName val="Range"/>
      <sheetName val="S29"/>
      <sheetName val="anlisa"/>
      <sheetName val="P04-02"/>
      <sheetName val="PAK"/>
      <sheetName val="AllocatedEqtyAvg"/>
      <sheetName val="GL_Actual_Sheet"/>
      <sheetName val="Staff KVD Input Page"/>
      <sheetName val="Expense_Graphs"/>
      <sheetName val="FTE12mths"/>
      <sheetName val="HR_Sheet"/>
      <sheetName val="PersTrExp"/>
      <sheetName val="HR Trend Headcount"/>
      <sheetName val="HR Graphs Source"/>
      <sheetName val="HR1dayabs"/>
      <sheetName val="Morale Index"/>
      <sheetName val="Productivity"/>
      <sheetName val="Referrals"/>
      <sheetName val="VCM_Graphs_Data"/>
      <sheetName val="P04_02"/>
      <sheetName val="N201 provisions"/>
      <sheetName val="SHAREHOLDERS"/>
      <sheetName val="Comps"/>
      <sheetName val="Movement p2"/>
      <sheetName val="FA_TP99"/>
      <sheetName val="Building"/>
      <sheetName val="Machinery"/>
      <sheetName val="Office Equipment1"/>
      <sheetName val="PK HJ  HP"/>
      <sheetName val="WS TM"/>
      <sheetName val="For Segmen"/>
      <sheetName val="CAJE"/>
      <sheetName val="AJE"/>
      <sheetName val="RJE"/>
      <sheetName val="EJE"/>
      <sheetName val="Perhitungan Pajak Badan"/>
      <sheetName val="Tax Hitung"/>
      <sheetName val="Pengakuan RL"/>
      <sheetName val="Equity"/>
      <sheetName val="WA Shares"/>
      <sheetName val="PSAK 24"/>
      <sheetName val="Ratio"/>
      <sheetName val="DbKtr"/>
      <sheetName val="Sch15_1stQ04"/>
      <sheetName val="2010 NCT 2.2"/>
      <sheetName val="store id"/>
      <sheetName val="OH Rates"/>
      <sheetName val="THINS"/>
      <sheetName val="pERIOD5"/>
      <sheetName val="Item_Data"/>
      <sheetName val="LMI_CUBE-F18_SKU_(CY)"/>
      <sheetName val="LMI_CUBE-F18_SKU_(FY)"/>
      <sheetName val="LSI_CUBE-F18_SKU_(CY)"/>
      <sheetName val="LSI_CUBE-F18_Sub_Brand_(FY)"/>
      <sheetName val="LSI_CUBE-F19_Sub_Brand_(FY)"/>
      <sheetName val="DFI_CUBE-F18_SKU_(CY)"/>
      <sheetName val="DFI_CUBE-F18_SKU_(FY)"/>
      <sheetName val="DFI_CUBE-F18_BY_Area"/>
      <sheetName val="Kamus_(2)"/>
      <sheetName val="all_acc"/>
      <sheetName val="inc_retur_(2)"/>
      <sheetName val="inc_retur"/>
      <sheetName val="exc_retur"/>
      <sheetName val="procedure_F19_P1"/>
      <sheetName val="Sheet2_(2)"/>
      <sheetName val="BS_Account"/>
      <sheetName val="P&amp;L_Account"/>
      <sheetName val="Profit_Centre"/>
      <sheetName val="Vendor_Code"/>
      <sheetName val="OH_Rates"/>
      <sheetName val="BM"/>
      <sheetName val="CRI05"/>
      <sheetName val="Pagar BRC"/>
      <sheetName val="Upah"/>
      <sheetName val="1.2"/>
      <sheetName val="DAF JUAL JAN - JUN 2010"/>
      <sheetName val="Sheet1075"/>
      <sheetName val="AcqIS"/>
      <sheetName val="AcqBSCF"/>
      <sheetName val="Sheet2171"/>
      <sheetName val="대비표"/>
      <sheetName val="EWTRADE"/>
      <sheetName val="Raw Data"/>
      <sheetName val="UPAH &amp; BAHAN"/>
      <sheetName val="2-(2) Gangguan Peralatan (1)"/>
      <sheetName val="Sheet1073"/>
      <sheetName val="Maintenance"/>
      <sheetName val="Zarnesti"/>
      <sheetName val="Achiz.-08"/>
      <sheetName val="Trsf.-08"/>
      <sheetName val="P&amp;L Review"/>
      <sheetName val="DICTS"/>
      <sheetName val="Base_serv"/>
      <sheetName val="TR"/>
      <sheetName val="Dics"/>
      <sheetName val="IPT inputs"/>
      <sheetName val="IPV inputs"/>
      <sheetName val="Achiz_-08"/>
      <sheetName val="Trsf_-08"/>
      <sheetName val="P&amp;L_Review"/>
      <sheetName val="IPT_inputs"/>
      <sheetName val="IPV_inputs"/>
      <sheetName val="Achiz_-081"/>
      <sheetName val="Trsf_-081"/>
      <sheetName val="P&amp;L_Review1"/>
      <sheetName val="IPT_inputs1"/>
      <sheetName val="IPV_inputs1"/>
      <sheetName val="Achiz_-082"/>
      <sheetName val="Trsf_-082"/>
      <sheetName val="P&amp;L_Review2"/>
      <sheetName val="IPT_inputs2"/>
      <sheetName val="IPV_inputs2"/>
      <sheetName val="DIVISI 3"/>
      <sheetName val="rkap7"/>
      <sheetName val="Extra"/>
      <sheetName val="R - I"/>
      <sheetName val="Particular Sch"/>
      <sheetName val="Fomat  1"/>
      <sheetName val="ged"/>
      <sheetName val="Laterite"/>
      <sheetName val="Jalan"/>
      <sheetName val="B2 (Act by Mth) Total"/>
      <sheetName val="2003 Bgt"/>
      <sheetName val="HO"/>
      <sheetName val="production"/>
      <sheetName val="FE-1770-I"/>
      <sheetName val="FE-1770-II"/>
      <sheetName val="CH_rancangan"/>
      <sheetName val="A_u_g2"/>
      <sheetName val="pihak_iii2"/>
      <sheetName val="nm_kbn2"/>
      <sheetName val="TBM_KR_20062"/>
      <sheetName val="almanak_&amp;hk_2"/>
      <sheetName val="angs_griya2"/>
      <sheetName val="Draft_Neraca2"/>
      <sheetName val="rek_det_1-32"/>
      <sheetName val="HARGA_SATUAN2"/>
      <sheetName val="AU_31_Komputer2"/>
      <sheetName val="bezeting_2"/>
      <sheetName val="rab_8(over_swt)2"/>
      <sheetName val="rab_8_2(swt)2"/>
      <sheetName val="bez_karpel3"/>
      <sheetName val="lembar_kerja3"/>
      <sheetName val="K4__F&amp;F2"/>
      <sheetName val="C1_NOV2"/>
      <sheetName val="Kode_BKU2"/>
      <sheetName val="CA_Sheet2"/>
      <sheetName val="dongia_(2)2"/>
      <sheetName val="DON_GIA2"/>
      <sheetName val="THPDMoi__(2)2"/>
      <sheetName val="CHITIET_VL-NC2"/>
      <sheetName val="CHITIET_VL-NC-TT_-1p2"/>
      <sheetName val="TH_XL2"/>
      <sheetName val="CHITIET_VL-NC-TT-3p2"/>
      <sheetName val="t-h_HA_THE2"/>
      <sheetName val="TONGKE3p_2"/>
      <sheetName val="KPVC-BD_2"/>
      <sheetName val="pro_ra_op3"/>
      <sheetName val="Program_Triwulanan-042"/>
      <sheetName val="data_berat2"/>
      <sheetName val="3_-_Balance_Sheet2"/>
      <sheetName val="5_-_Cash_Flow2"/>
      <sheetName val="Data_Parameter2"/>
      <sheetName val="SC_Pusat_BB3012"/>
      <sheetName val="SC_Pusat_BB3032"/>
      <sheetName val="SC_Pusat_krd2"/>
      <sheetName val="4_-_Income_Statement2"/>
      <sheetName val="Analisa_Harga_Satuan2"/>
      <sheetName val="Tanah_092"/>
      <sheetName val="Chart_Of_Acc2"/>
      <sheetName val="①　BP_vs_SPR_(TTL_Impact)3"/>
      <sheetName val="by_sendiri2"/>
      <sheetName val="H_Satuan2"/>
      <sheetName val="5614_a_Factory_Machinery2"/>
      <sheetName val="5614_b_Diesel_2"/>
      <sheetName val="5614_c_Factory_Equipment2"/>
      <sheetName val="5614_C_Coal_Boiler2"/>
      <sheetName val="Based_Data_wacc2"/>
      <sheetName val="Data_Sheet_2"/>
      <sheetName val="SKCD_DATA_GP_YK2"/>
      <sheetName val="NPWP_DEBITUR2"/>
      <sheetName val="rab_3_krt2"/>
      <sheetName val="rab_4_krt2"/>
      <sheetName val="rab_4_swt2"/>
      <sheetName val="J_u_l2"/>
      <sheetName val="O_c_t2"/>
      <sheetName val="A_p_r2"/>
      <sheetName val="M_a_y2"/>
      <sheetName val="S_e_p2"/>
      <sheetName val="00_received_in_012"/>
      <sheetName val="F_e_b2"/>
      <sheetName val="Per_GL_J_a_n2"/>
      <sheetName val="J_u_n2"/>
      <sheetName val="M_a_r2"/>
      <sheetName val="Bal_1997-19982"/>
      <sheetName val="Lamp_2_2"/>
      <sheetName val="REKAP_OMZET_KAPAL2"/>
      <sheetName val="RESOURCE_MODEL2"/>
      <sheetName val="lp_kmmda2"/>
      <sheetName val="karet_RKAP2"/>
      <sheetName val="INDIRECT_DETAIL2"/>
      <sheetName val="FE-1770_P1"/>
      <sheetName val="Cashflow_Analysis"/>
      <sheetName val="Daftar_Risiko"/>
      <sheetName val="Grafik_(2)"/>
      <sheetName val="Rencana_Mitigasi"/>
      <sheetName val="Dampak_Residual"/>
      <sheetName val="BTR_&amp;_Kertas_kerja_ABI"/>
      <sheetName val="Residual_Exposure"/>
      <sheetName val="Cetak_RR"/>
      <sheetName val="Peta_Inherent"/>
      <sheetName val="Peta_Residual"/>
      <sheetName val="Rencana_Mitigasi_NPV"/>
      <sheetName val="Konfirm"/>
      <sheetName val="Bastille"/>
      <sheetName val="MASTER BAHAN ME"/>
      <sheetName val="FINISHING"/>
      <sheetName val="Hrg.Sat"/>
      <sheetName val="Pro_Base"/>
      <sheetName val="RAB ME"/>
      <sheetName val="DATATRANS"/>
      <sheetName val="MASTER_BAHAN_ME"/>
      <sheetName val="J"/>
      <sheetName val="JAN 2001"/>
      <sheetName val="DAF-7"/>
      <sheetName val="REKAP BQ"/>
      <sheetName val="omzet"/>
      <sheetName val="HARGADASAR"/>
      <sheetName val="co_data"/>
      <sheetName val="Daf 1"/>
      <sheetName val="Grafik Bihunku"/>
      <sheetName val="TRF 150"/>
      <sheetName val="Segment"/>
      <sheetName val="2501"/>
      <sheetName val="Daftar Estate"/>
      <sheetName val="Depr"/>
      <sheetName val="grouping asset"/>
      <sheetName val="CPO (2)"/>
      <sheetName val="TBS (2)"/>
      <sheetName val="SLS_BGT"/>
      <sheetName val="RKP 1"/>
      <sheetName val="Drop Down List"/>
      <sheetName val="look_up_accounts"/>
      <sheetName val="look_up_labor_rate"/>
      <sheetName val="look_up_OH_dept"/>
      <sheetName val="NEW ACT Codes"/>
      <sheetName val="Labor Plan Rates (SV)"/>
      <sheetName val="Drop Downs"/>
      <sheetName val="Cost Elements (SV)"/>
      <sheetName val="Cost Centers (SV)"/>
      <sheetName val="FTEs (SV)"/>
      <sheetName val="Labor Upload"/>
      <sheetName val="WBS (SV)"/>
      <sheetName val="Wrap Rates (SV)"/>
      <sheetName val="Compare Wrap Rates (SV)"/>
      <sheetName val="CN08 Detail"/>
      <sheetName val="CWJ Detail"/>
      <sheetName val="Settings Key"/>
      <sheetName val="4.2 Top Segments"/>
      <sheetName val="Backup Info"/>
      <sheetName val="Region Inputs"/>
      <sheetName val="Drop Down"/>
      <sheetName val="WOR LOOKUP TABLE"/>
      <sheetName val="1601Period 4 Fy98"/>
      <sheetName val="16XX Rollforward"/>
      <sheetName val="Übersicht Märkte"/>
      <sheetName val="Notations"/>
      <sheetName val="Steuerung"/>
      <sheetName val="Balance Sheets"/>
      <sheetName val="TARIP"/>
      <sheetName val="TAB 1"/>
      <sheetName val="2.Control Sheet"/>
      <sheetName val="FF"/>
      <sheetName val="Depre"/>
      <sheetName val="Tax Depreciation Mapping"/>
      <sheetName val="fiscal depr(E)"/>
      <sheetName val="project"/>
      <sheetName val="others"/>
      <sheetName val="depts"/>
      <sheetName val="groups"/>
      <sheetName val="detail2"/>
      <sheetName val="convert to months"/>
      <sheetName val="Asumsi by Own"/>
      <sheetName val="KP23"/>
      <sheetName val="Safety Performance"/>
      <sheetName val="SR MTBU"/>
      <sheetName val="STOCK_AWAL"/>
      <sheetName val="Biaya-Inv"/>
      <sheetName val="CH_FL_QUAR"/>
      <sheetName val="BALANCE"/>
      <sheetName val="DATA_feed"/>
      <sheetName val="CH_FL_YEAR"/>
      <sheetName val="INC_FUN_FIN"/>
      <sheetName val="Kap(17)"/>
      <sheetName val="Pk prod"/>
      <sheetName val="PBG_2"/>
      <sheetName val="Calendar"/>
      <sheetName val="PSAK 73 KIE KAD Juni"/>
      <sheetName val="DB_MP10"/>
      <sheetName val="Sales_Parameter10"/>
      <sheetName val="KONS_BID_P&amp;N11"/>
      <sheetName val="UP_II_DUMAI11"/>
      <sheetName val="KP_DIT_HULU11"/>
      <sheetName val="UP_VI_BALONGAN11"/>
      <sheetName val="UP_1_BRANDAN11"/>
      <sheetName val="UP_V_BALIKPAPAN11"/>
      <sheetName val="DIT_HILIR11"/>
      <sheetName val="UP_IV_CILACAP11"/>
      <sheetName val="UP_III_PLAJU11"/>
      <sheetName val="KONS_DIT_HULU11"/>
      <sheetName val="KR_AMPEL11"/>
      <sheetName val="UP_VII_KASIM11"/>
      <sheetName val="KONS_BID_P11"/>
      <sheetName val="General_Info11"/>
      <sheetName val="2003_ACT_CFlow11"/>
      <sheetName val="2003_BGT_C_Flow11"/>
      <sheetName val="HO_Use11"/>
      <sheetName val="Engineering_Workload11"/>
      <sheetName val="2D_REPNew2_410"/>
      <sheetName val="absen_kebun_2810"/>
      <sheetName val="absen_panen_2810"/>
      <sheetName val="UPAH_2810"/>
      <sheetName val="ocean_voyage10"/>
      <sheetName val="Data_Opr10"/>
      <sheetName val="Table_510"/>
      <sheetName val="Income_Statement10"/>
      <sheetName val="Compensation_Data_Worksheet10"/>
      <sheetName val="Data_Opr_(2)10"/>
      <sheetName val="TANDA_TERIMA8"/>
      <sheetName val="KPC_Coal8"/>
      <sheetName val="Galian_12"/>
      <sheetName val="List_Unit2"/>
      <sheetName val="DAY_WORK2"/>
      <sheetName val="BAI_Calculation2"/>
      <sheetName val="OTHER_PREPAID_EXPENSE3"/>
      <sheetName val="Actuals_&amp;_Prior_Yr__Figures2"/>
      <sheetName val="Annual_Budget_Figures2"/>
      <sheetName val="Financial_Reports2"/>
      <sheetName val="Altman_Z_Score3"/>
      <sheetName val="Penyusutan_Kendaraan3"/>
      <sheetName val="TBCons_KMB043"/>
      <sheetName val="Exch_rate3"/>
      <sheetName val="rab_33_2011_krt3"/>
      <sheetName val="RADIO_CONTROLS3"/>
      <sheetName val="KPI-Data_Source3"/>
      <sheetName val="Permanent_info3"/>
      <sheetName val="FISIK_RAB_20003"/>
      <sheetName val="Satuan_Harga_Bahan3"/>
      <sheetName val="Satuan_Harga_Upah3"/>
      <sheetName val="Material_SAP3"/>
      <sheetName val="Master_File3"/>
      <sheetName val="Master_Data3"/>
      <sheetName val="Coef_Calculation3"/>
      <sheetName val="SLS-TGT-FEED_(FDM)3"/>
      <sheetName val="C_O_A3"/>
      <sheetName val="List_of_related_party3"/>
      <sheetName val="rekap_pph_233"/>
      <sheetName val="21_&amp;_253"/>
      <sheetName val="Scenarios_and_Sensitivities2"/>
      <sheetName val="Global_Assumptions2"/>
      <sheetName val="Eksisting_Penarikan3"/>
      <sheetName val="Daftar_Harga3"/>
      <sheetName val="Summary_UM2"/>
      <sheetName val="CF_Pmt_creditor2"/>
      <sheetName val="Seb_KPI's2"/>
      <sheetName val="P&amp;L_Detail_SARold2"/>
      <sheetName val="BA_Rekon_ARDWS-APTSEL_(IDR)3"/>
      <sheetName val="BA_Rekon_RevDWS-ExpTSEL_(IDR)3"/>
      <sheetName val="BA_Rekon_ARAP_(USD)3"/>
      <sheetName val="BA_Rekon_RevExp_(USD)3"/>
      <sheetName val="BA_Rekon_RevDWS-ExpTSEL_(SLI)3"/>
      <sheetName val="Jurnal_Memo_(USD)3"/>
      <sheetName val="KBT_2"/>
      <sheetName val="cilandak_payroll3"/>
      <sheetName val="PBC_S20033"/>
      <sheetName val="RMS_FUNGSIONAL2"/>
      <sheetName val="RMS_-_STR_(2)2"/>
      <sheetName val="p_mgmt2"/>
      <sheetName val="tabel_rimba2"/>
      <sheetName val="RO344_TOTAL2"/>
      <sheetName val="KBB-CIB_BANK2"/>
      <sheetName val="data_arus_kas2"/>
      <sheetName val="Cost_Analysis2"/>
      <sheetName val="Faktor_Pembatas_Luas_Areal2"/>
      <sheetName val="Fact_Truck2"/>
      <sheetName val="Coal_Boiler2"/>
      <sheetName val="Template_2"/>
      <sheetName val="Base_Data2"/>
      <sheetName val="BGT_Cashflow2"/>
      <sheetName val="TRADING_PROFIT2"/>
      <sheetName val="9211_Summary_of_CAJE2"/>
      <sheetName val="9212_Summary_of_AJE2"/>
      <sheetName val="9213_Summary_of_RJE2"/>
      <sheetName val="Project_Code_관리2"/>
      <sheetName val="List_as_of_October2"/>
      <sheetName val="R_Category3"/>
      <sheetName val="자금세탁_사례관리2"/>
      <sheetName val="전체_리스트2"/>
      <sheetName val="DAF_INVEN_U_O2"/>
      <sheetName val="Power_&amp;_Fuel(SMS)2"/>
      <sheetName val="Power_&amp;_Fuel(new)2"/>
      <sheetName val="Power_&amp;_Fuel_(S)2"/>
      <sheetName val="Power_&amp;_Fuel(c)2"/>
      <sheetName val="THREE_VARIABLES2"/>
      <sheetName val="POTO_MAC2"/>
      <sheetName val="Data_YTD2"/>
      <sheetName val="LARL-4_(TW)2"/>
      <sheetName val="Accrued_RO2"/>
      <sheetName val="SEC_Income_Statement2"/>
      <sheetName val="budget_20182"/>
      <sheetName val="FS_-_US$"/>
      <sheetName val="DATA_WP"/>
      <sheetName val="Penyusutan_Inventaris"/>
      <sheetName val="hardas_dc"/>
      <sheetName val="B3_Stone_Pitching(m3con)"/>
      <sheetName val="Configuration"/>
      <sheetName val="admin"/>
      <sheetName val="tabel nilai"/>
      <sheetName val="Magazzino"/>
      <sheetName val="Har Sat"/>
      <sheetName val="Rekap"/>
      <sheetName val="UBA"/>
      <sheetName val="ANAL.BOW"/>
      <sheetName val="Hsatuan-OK"/>
      <sheetName val="%TASE"/>
      <sheetName val="Bill Of Quantity"/>
      <sheetName val="Analisa Gabungan"/>
      <sheetName val="M2 05 trend"/>
      <sheetName val="Worksheet"/>
      <sheetName val="BAU_BAU"/>
      <sheetName val="Table_SAP"/>
      <sheetName val="HPP_20_"/>
      <sheetName val="trenprod2001"/>
      <sheetName val="Kin1TH"/>
      <sheetName val="Res142001"/>
      <sheetName val="GrafikProd"/>
      <sheetName val="Kin3BLN"/>
      <sheetName val="Kin1BLN"/>
      <sheetName val="Kin2TH"/>
      <sheetName val="Kin2BLN"/>
      <sheetName val="tbl"/>
      <sheetName val="Analisa Upah &amp; Bahan Plum"/>
      <sheetName val="Dec"/>
      <sheetName val="UshDeb00"/>
      <sheetName val="Investasi &amp; depresiasi"/>
      <sheetName val="Expense"/>
      <sheetName val="Assumptions"/>
      <sheetName val="Source HP"/>
      <sheetName val="Source HPI"/>
      <sheetName val="LabaRugi"/>
      <sheetName val="C&amp;E"/>
      <sheetName val="ProdSendiri"/>
      <sheetName val="K2-FA"/>
      <sheetName val="data (2)"/>
      <sheetName val="Fr Jonny-2018 v 12.04.19"/>
      <sheetName val="PPh22"/>
      <sheetName val="PPh 21,25, 23, 4(2)"/>
      <sheetName val="P.P.N"/>
      <sheetName val="Labarugi Compar"/>
      <sheetName val="PMDN MS"/>
      <sheetName val="AGUSTUS05"/>
      <sheetName val="SC_FIELD"/>
      <sheetName val="FIELD"/>
      <sheetName val="F1771-V"/>
      <sheetName val="IS GMM"/>
      <sheetName val="BAB03-VL"/>
      <sheetName val="01-Asumsi - p &amp; i"/>
      <sheetName val="02-Ikhtisar Keuangan-1&amp;2 - i"/>
      <sheetName val="ES_PARK"/>
      <sheetName val="PM-BS"/>
      <sheetName val="Configurator"/>
      <sheetName val="PABRIK (2)"/>
      <sheetName val="PO"/>
      <sheetName val="data TT 2006"/>
      <sheetName val="Rate &amp; Act_P"/>
      <sheetName val="Cashflow Report Act vs Bgt"/>
      <sheetName val="BGT Cashflow "/>
      <sheetName val="synthèse"/>
      <sheetName val="AK (DELTA)"/>
      <sheetName val="Harga Spare Part-revisi"/>
      <sheetName val="BAB-1"/>
      <sheetName val="bni-119c"/>
      <sheetName val="Bill of Qty MEP"/>
      <sheetName val="STOK"/>
      <sheetName val="Input assumptions"/>
      <sheetName val="Scenario Inputs"/>
      <sheetName val=" Results Summary"/>
      <sheetName val="I-O summary"/>
      <sheetName val="KPMG Cash Flow"/>
      <sheetName val="Cashflows"/>
      <sheetName val="Financial Statements"/>
      <sheetName val="NCF (MOD)"/>
      <sheetName val="Key CF"/>
      <sheetName val="RK1"/>
      <sheetName val="Links"/>
      <sheetName val="add-tanah"/>
      <sheetName val="TON  per Jam"/>
      <sheetName val="HLookUP"/>
      <sheetName val="ana-str"/>
      <sheetName val="KEU"/>
      <sheetName val="8LT 12"/>
      <sheetName val="pak1dan4"/>
      <sheetName val="US indoor vs macro outdoor"/>
      <sheetName val="CF-00"/>
      <sheetName val="Std-Industri"/>
      <sheetName val="LK_DBTR"/>
      <sheetName val="FIA"/>
      <sheetName val="BAG-2"/>
      <sheetName val="ATM 2009 W11 ver. JAL"/>
      <sheetName val="PAK-03.C"/>
      <sheetName val="PN"/>
      <sheetName val="Std_Industri"/>
      <sheetName val="aSS"/>
      <sheetName val="SAP"/>
      <sheetName val="I_KAMAR"/>
      <sheetName val="PAK_03"/>
      <sheetName val="BQ-Str"/>
      <sheetName val="past"/>
      <sheetName val="kki"/>
      <sheetName val="fin pro centers"/>
      <sheetName val="Bag_2"/>
      <sheetName val="Bag_9"/>
      <sheetName val="Bag_1"/>
      <sheetName val="DAF-5"/>
      <sheetName val="CF_00"/>
      <sheetName val="Kolom"/>
      <sheetName val="PileCap"/>
      <sheetName val="SIRK"/>
      <sheetName val="Kolom UT"/>
      <sheetName val="CF10"/>
      <sheetName val="Asumsi (2)"/>
      <sheetName val="jadual angsuran"/>
      <sheetName val="PAK4"/>
      <sheetName val="pak.03"/>
      <sheetName val="STR"/>
      <sheetName val="CHECKLIS"/>
      <sheetName val="105"/>
      <sheetName val="calmemo"/>
      <sheetName val="STR04"/>
      <sheetName val="STR05"/>
      <sheetName val="PLNCRN04"/>
      <sheetName val="PLNCRN05"/>
      <sheetName val="exf"/>
      <sheetName val="VER-OTS"/>
      <sheetName val="Elektrikal"/>
      <sheetName val="CAF 2005"/>
      <sheetName val="ADV"/>
      <sheetName val="SAT-BHN"/>
      <sheetName val="#REF!"/>
      <sheetName val="CAT_HRG"/>
      <sheetName val="PAD-F"/>
      <sheetName val="MEytd"/>
      <sheetName val="OFFEREXT"/>
      <sheetName val="cash flow rincian"/>
      <sheetName val="Amortization Table"/>
      <sheetName val="GRAND REKAP"/>
      <sheetName val="KASUS4"/>
      <sheetName val="Analisa &amp; Upah"/>
      <sheetName val="PC-1"/>
      <sheetName val="All"/>
      <sheetName val="Bangunan_Utama_B1"/>
      <sheetName val="SCHEDULE_9A(1_of_3)1"/>
      <sheetName val="Proposed_2003_Salary_Range"/>
      <sheetName val="#16_-_Final_Budgets"/>
      <sheetName val="Comp_equip"/>
      <sheetName val="Exch__rate_calc_"/>
      <sheetName val="loan_1"/>
      <sheetName val="Monthly_RecapLO"/>
      <sheetName val="General_Assumption"/>
      <sheetName val="Project_Data"/>
      <sheetName val="PC_Account"/>
      <sheetName val="Key_Stats"/>
      <sheetName val="EU_Comps"/>
      <sheetName val="17000100_roll_"/>
      <sheetName val="Outdoorization_2021"/>
      <sheetName val="WIP"/>
      <sheetName val="PSGL_20170001"/>
      <sheetName val="REFF WO"/>
      <sheetName val="DATA PV"/>
      <sheetName val="DAR"/>
      <sheetName val="Mar2021"/>
      <sheetName val="TBM-"/>
      <sheetName val="ProArcInfo"/>
      <sheetName val="Region Support"/>
      <sheetName val="Report Support"/>
      <sheetName val="Dropdowns"/>
      <sheetName val="Dropdowns2"/>
      <sheetName val="Third Party Direct Costs"/>
      <sheetName val="ACTUAL - Back Office AUG"/>
      <sheetName val="SEPT. 2019"/>
      <sheetName val="OCT. 2019"/>
      <sheetName val="NOV. 2019"/>
      <sheetName val="DEC. 2019"/>
      <sheetName val="JAN. 2020"/>
      <sheetName val="FEB. 2020"/>
      <sheetName val="MAR. 2020"/>
      <sheetName val="APRIL 2020"/>
      <sheetName val="MAY 2020"/>
      <sheetName val="JUNE 2020"/>
      <sheetName val="Job Codes"/>
      <sheetName val="WH-UA September"/>
      <sheetName val="Input Areas"/>
      <sheetName val="UK GAAP Adjustments"/>
      <sheetName val="UK GAAP Purchase Price"/>
      <sheetName val="piut_sapr"/>
      <sheetName val="A.W. TIGER"/>
      <sheetName val="Manual"/>
      <sheetName val="ACM0131(GT)"/>
      <sheetName val="RUPS"/>
      <sheetName val="spf_fnl"/>
      <sheetName val="spf-fnl"/>
      <sheetName val="bybungafix"/>
      <sheetName val="P'DPTAN &amp; BEBAN LAIN2"/>
      <sheetName val="AKTIVA TETAP"/>
      <sheetName val="PERINC'PASSIVA"/>
      <sheetName val="Labor"/>
      <sheetName val="W1"/>
      <sheetName val="Inv_SULSELRA"/>
      <sheetName val="DDL"/>
      <sheetName val="CPC"/>
      <sheetName val="DATABASE FMC TSEL"/>
      <sheetName val="NEGARA"/>
      <sheetName val="Farmer-Pond-Monodon"/>
      <sheetName val="Rekap Budget"/>
      <sheetName val="trf ns_04"/>
      <sheetName val="tarippasif_wanto"/>
      <sheetName val="Tunda56=1_dodo"/>
      <sheetName val="PDPKonstruksi"/>
      <sheetName val="NerSubsis"/>
      <sheetName val="GABLUARJAWA1 (2)"/>
      <sheetName val="OH Alocation"/>
      <sheetName val="Bank Recon"/>
      <sheetName val="Test Accrue"/>
      <sheetName val="TOP - PLN Konsol"/>
      <sheetName val="PkRp"/>
      <sheetName val="PS&amp;Susut TL"/>
      <sheetName val="SewaBeli"/>
      <sheetName val="Transfer"/>
      <sheetName val="EXTERNA_x005f_x005f_x005f_x005f_x005f_x005f_x00_4"/>
      <sheetName val="EXTERNA_x005f_x005f_x005f_x005f_x005f_x005f_x00_5"/>
      <sheetName val="EXTERNA_x005f_x005f_x005f_x005f_x005f_x005f_x00_6"/>
      <sheetName val="EXTERNA_x005f_x005f_x005f_x005f_x005f_x005f_x00_7"/>
      <sheetName val="EXTERNA_x005f_x005f_x005f_x0000__x005f_x005f_x0_3"/>
      <sheetName val="EXTERNA_x005f_x005f_x005f_x005f_x005f_x005f_x00_8"/>
      <sheetName val="EXTERNA_x005f_x005f_x005f_x005f_x005f_x005f_x00_9"/>
      <sheetName val="EXTERNA_x005f_x005f_x005f_x005f_x005f_x005f_x0_10"/>
      <sheetName val="EXTERNA_x005f_x005f_x005f_x005f_x005f_x005f_x0_11"/>
      <sheetName val="EXTERNA_x005f_x005f_x005f_x005f_x005f_x005f_x0_12"/>
      <sheetName val="EXTERNA_x005f_x005f_x005f_x005f_x005f_x005f_x0_13"/>
      <sheetName val="PRODUCTION_REPORTS12"/>
      <sheetName val="ANIMATION_ONLY12"/>
      <sheetName val="ANIMATION_COST_FORECAST12"/>
      <sheetName val="EXTERNAL_ANIMATION12"/>
      <sheetName val="Stock_Report5"/>
      <sheetName val="lookup_table5"/>
      <sheetName val="NB_UNIT35"/>
      <sheetName val="SCH_35"/>
      <sheetName val="List_Pilihan5"/>
      <sheetName val="Iss_Jrn5"/>
      <sheetName val="Coll_Bulan_ini5"/>
      <sheetName val="Coll_Bulan_lalu5"/>
      <sheetName val="Renc_Bulan_ini5"/>
      <sheetName val="Renc_Bulan_Lalu5"/>
      <sheetName val="Form_41"/>
      <sheetName val="AP_Trade1"/>
      <sheetName val="Indirects_MBR1"/>
      <sheetName val="Nrj_Ljr1"/>
      <sheetName val="fr_BS1"/>
      <sheetName val="Exc__Rate1"/>
      <sheetName val="Deferred_Revenue_Nov_041"/>
      <sheetName val="TAX_COM1"/>
      <sheetName val="Noodles_(assumptions)1"/>
      <sheetName val="ADJ_AUG12,20101"/>
      <sheetName val="Excess_Calc1"/>
      <sheetName val="Doc_Type_Ref1"/>
      <sheetName val="List_as_of_Dec161"/>
      <sheetName val="Operation_01-02071"/>
      <sheetName val="5313_Test_Allowance_(aging)1"/>
      <sheetName val="1_Rollfwd1"/>
      <sheetName val="Pain_data1"/>
      <sheetName val="Recon__Template1"/>
      <sheetName val="Inc_Stmt_Sum1"/>
      <sheetName val="Corp_04_DeprAmort_Recap1"/>
      <sheetName val="Total_NA_Food1"/>
      <sheetName val="QTIL_-BSHEET1"/>
      <sheetName val="Developer_rev_991"/>
      <sheetName val="_Ad_Sales__exp1"/>
      <sheetName val="Bus_Dev1"/>
      <sheetName val="corp__exp1"/>
      <sheetName val="LBO_--&gt;1"/>
      <sheetName val="A_02-I1"/>
      <sheetName val="Bi_kirim1"/>
      <sheetName val="Sheet_21"/>
      <sheetName val="Adf_par_resp1"/>
      <sheetName val="Benefit_Design1"/>
      <sheetName val="Experience_Rating1"/>
      <sheetName val="std_ip_tanpa_abnormal1"/>
      <sheetName val="Summary_Peserta1"/>
      <sheetName val="Data_Peserta1"/>
      <sheetName val="Recap_OT1"/>
      <sheetName val="Proses_Gaji1"/>
      <sheetName val="Premi_Iuran1"/>
      <sheetName val="int-h_wk11"/>
      <sheetName val="REKAP_BKK_BANK1"/>
      <sheetName val="Claim_Ratio_1"/>
      <sheetName val="form_Rnwl1"/>
      <sheetName val="Subs_Details_20041"/>
      <sheetName val="Mt_Ex-CurWk1"/>
      <sheetName val="Fuel_&amp;_Safety_-_21"/>
      <sheetName val="DAIHATSU_1"/>
      <sheetName val="Acsys_Key1"/>
      <sheetName val="CM_Genset_21"/>
      <sheetName val="Spare_Part1"/>
      <sheetName val="SMPS_Relocation1"/>
      <sheetName val="DG_Cranking_System1"/>
      <sheetName val="Site_Support_and_Maintenance1"/>
      <sheetName val="Currency_Spot_Rates1"/>
      <sheetName val="TARGET_FINAL1"/>
      <sheetName val="Account_Codes_1"/>
      <sheetName val="Analis_Kusen_okk1"/>
      <sheetName val="Consolidated_Forecast"/>
      <sheetName val="Consolidated_Actual"/>
      <sheetName val="COGS_TP"/>
      <sheetName val="Sales_GA"/>
      <sheetName val="INCOME_RATNA1"/>
      <sheetName val="Detail_WPL_Jan1"/>
      <sheetName val="Telephone_&amp;_KSO_Rev1"/>
      <sheetName val="List_PT1"/>
      <sheetName val="ABK_04_AWALR+CO+TAB_RUPS1"/>
      <sheetName val="06__CC2706161"/>
      <sheetName val="Organization_Chart1"/>
      <sheetName val="FA_sd_APRIL_071"/>
      <sheetName val="3___Balance_Sheet1"/>
      <sheetName val="_16___Final_Budgets1"/>
      <sheetName val="4___Income_Statement1"/>
      <sheetName val="5___Cash_Flow1"/>
      <sheetName val="DEPN_20011"/>
      <sheetName val="rab_lt_2_bo1"/>
      <sheetName val="Analisa_SNI_STANDART_1"/>
      <sheetName val="Jun_981"/>
      <sheetName val="PV_Demand_Forecast_Breakdown1"/>
      <sheetName val="NB_BOY1"/>
      <sheetName val="NB_ISI1"/>
      <sheetName val="Grand_Sum_BT2"/>
      <sheetName val="Galian_batu1"/>
      <sheetName val="PENJ_NERACA1"/>
      <sheetName val="CASH_FLOW1"/>
      <sheetName val="BSHO_Report1"/>
      <sheetName val="Check_Sheet1"/>
      <sheetName val="PLHO_Report1"/>
      <sheetName val="Bal_Sheet"/>
      <sheetName val="Prod_Plan"/>
      <sheetName val="F_8_2_Details_Premix1"/>
      <sheetName val="Rekons_PPh_21"/>
      <sheetName val="Read_Me"/>
      <sheetName val="BEFORE_ALLOCATION"/>
      <sheetName val="Lap_des1"/>
      <sheetName val="vol_rimba1"/>
      <sheetName val="Data_TBM_I&amp;II1"/>
      <sheetName val="Kantor_Pusat1"/>
      <sheetName val="L12_Akt_Tetap1"/>
      <sheetName val="trf_multiple_dnrks"/>
      <sheetName val="trf_multiple"/>
      <sheetName val="trfakt_sgl"/>
      <sheetName val="A_4_3"/>
      <sheetName val="A_4_2"/>
      <sheetName val="K_2_1"/>
      <sheetName val="C_FA_HO1"/>
      <sheetName val="C_ICL_HO1"/>
      <sheetName val="P_BS1"/>
      <sheetName val="C_CS_HO1"/>
      <sheetName val="C_WC1"/>
      <sheetName val="A_Tax_HO1"/>
      <sheetName val="A_TS1"/>
      <sheetName val="P_IS1"/>
      <sheetName val="C_Tax_HO1"/>
      <sheetName val="C_OBSI_HO1"/>
      <sheetName val="CALCULATE_INDEKS1"/>
      <sheetName val="P_CF1"/>
      <sheetName val="A_FA_HO1"/>
      <sheetName val="A_CAPEX_HO1"/>
      <sheetName val="A_CS_HO1"/>
      <sheetName val="A_WC_HO1"/>
      <sheetName val="A_INV_HO1"/>
      <sheetName val="C_INV_HO_TO1"/>
      <sheetName val="A_ICL_HO1"/>
      <sheetName val="P_IS_P1"/>
      <sheetName val="A_OBSI_HO1"/>
      <sheetName val="Base_Info"/>
      <sheetName val="Data_Sheet1"/>
      <sheetName val="Tab_DPA1"/>
      <sheetName val="RumusTB_1_bln1"/>
      <sheetName val="DATA_LTW"/>
      <sheetName val="upah-bahan_satker_revisi"/>
      <sheetName val="Comparable_Firms"/>
      <sheetName val="addl_cost1"/>
      <sheetName val="pivot_table"/>
      <sheetName val="Plc_Staff_Recharges"/>
      <sheetName val="Grafik_Trial"/>
      <sheetName val="instalasi_disp_Mei"/>
      <sheetName val="Income_Statements"/>
      <sheetName val="Results_from_Nov_98"/>
      <sheetName val="unit_31"/>
      <sheetName val="JJCP_AP_TRADE"/>
      <sheetName val="TB_07_08"/>
      <sheetName val="Posting_control"/>
      <sheetName val="CF_Rp-USD1"/>
      <sheetName val="rab_28_2011_krt"/>
      <sheetName val="rab_24_2011_krt"/>
      <sheetName val="rab_331"/>
      <sheetName val="SO_Incentive_Graphs1"/>
      <sheetName val="SO_Incentive_Graphs2"/>
      <sheetName val="SO_Incentive_Graphs3"/>
      <sheetName val="SO_Incentive_Graphs4"/>
      <sheetName val="Karen_SAP"/>
      <sheetName val="May_03"/>
      <sheetName val="L2_Manpower"/>
      <sheetName val="L2_Summary"/>
      <sheetName val="Adjusted_Beta"/>
      <sheetName val="Risk-Free_Rate"/>
      <sheetName val="Time_Estimates"/>
      <sheetName val="BS_final"/>
      <sheetName val="ACT_HAUL"/>
      <sheetName val="HAUL_C1,C2,C3"/>
      <sheetName val="Asumption_Board"/>
      <sheetName val="Daily_Report"/>
      <sheetName val="F18_EO_Rates"/>
      <sheetName val="F19-F21_Inflation"/>
      <sheetName val="rincian_UMUR"/>
      <sheetName val="key_indic_"/>
      <sheetName val="Fixed_Assets_-_CDN$_-_Detail"/>
      <sheetName val="Curah_hujan"/>
      <sheetName val="Payment_Request_Form"/>
      <sheetName val="Oct_03"/>
      <sheetName val="MLS_2_Add_BP"/>
      <sheetName val="Sandi_laba_rugi"/>
      <sheetName val="MIFA_Description"/>
      <sheetName val="Active_GL"/>
      <sheetName val="PL_(MONTHLY)"/>
      <sheetName val="t_b"/>
      <sheetName val="period_5"/>
      <sheetName val="Basic_Info"/>
      <sheetName val="HT_Nat"/>
      <sheetName val="HT_GT"/>
      <sheetName val="HT_MTDB"/>
      <sheetName val="HT_MTDS"/>
      <sheetName val="HT_E-retail"/>
      <sheetName val="HT_Nat_Channel"/>
      <sheetName val="HT_Nat_Channel_SCP_B20_to_LE19"/>
      <sheetName val="COGS_B2020_vs_B2019_compare"/>
      <sheetName val="COGS_SKU_HT_B2020"/>
      <sheetName val="Listing_by_SKU"/>
      <sheetName val="Summary_&amp;_Phasing_MT"/>
      <sheetName val="Details_GT"/>
      <sheetName val="COGS_B2019_(box)_sum"/>
      <sheetName val="Master_Data_Correction"/>
      <sheetName val="Summary_by_Channel"/>
      <sheetName val="Stock_Projection"/>
      <sheetName val="Other_Valid_Codes"/>
      <sheetName val="R_Lead"/>
      <sheetName val="Tiff-Maried_Gold_&amp;_Choki_S_P"/>
      <sheetName val="MT_Tiff-done"/>
      <sheetName val="East_Coast-done"/>
      <sheetName val="Master_Edit"/>
      <sheetName val="Grinding_by_Month"/>
      <sheetName val="rincian_per_proyek"/>
      <sheetName val="Grinding_by_Quarter"/>
      <sheetName val="Original_Sheet"/>
      <sheetName val="form_evaluasi"/>
      <sheetName val="DETAIL_POS_123"/>
      <sheetName val="Opex_Line_items"/>
      <sheetName val="KAS_$"/>
      <sheetName val="Pareto_pivot"/>
      <sheetName val="Populasi_pivot"/>
      <sheetName val="EXEC_Summary"/>
      <sheetName val="Delay_Down_Chart_pivot"/>
      <sheetName val="Yearly_PA_MTBF_MTTR"/>
      <sheetName val="Delay_Down_Chart"/>
      <sheetName val="Fleet_Pivot"/>
      <sheetName val="Fleet_KPI"/>
      <sheetName val="Summary_Training_Operator"/>
      <sheetName val="Summary_Mechanic_Training"/>
      <sheetName val="ACT_PROD"/>
      <sheetName val="PLAN_PROD"/>
      <sheetName val="AnalisaSIPIL_RIIL_RAP"/>
      <sheetName val="Total_OP"/>
      <sheetName val="Gaikindo Report"/>
      <sheetName val="1195 B1"/>
      <sheetName val="Module2"/>
      <sheetName val="On Time"/>
      <sheetName val="Identitas"/>
      <sheetName val="Curup"/>
      <sheetName val="Prabu"/>
      <sheetName val="PESANTREN"/>
      <sheetName val="G"/>
      <sheetName val="TJ1Q47"/>
      <sheetName val="34"/>
      <sheetName val="35"/>
      <sheetName val="IMPUT PENERIMAAN BULK WB"/>
      <sheetName val="HUTANG PER VENDOR 09"/>
      <sheetName val="IMPUT PENERIMAAN BAG PRODUKSI"/>
      <sheetName val="PEMAKAIAN BY PRODUKSI"/>
      <sheetName val="ACTABLE"/>
      <sheetName val="Nominals"/>
      <sheetName val="WASTE BY MATERIAL"/>
      <sheetName val="Balsht Input"/>
      <sheetName val="P&amp;L Input"/>
      <sheetName val="Sales Rpt"/>
      <sheetName val="Check Errors"/>
      <sheetName val="Parameter RR"/>
      <sheetName val="Tc"/>
      <sheetName val="MKT-GA EXP"/>
      <sheetName val="Trial balance"/>
      <sheetName val="FS BM (ALL)"/>
      <sheetName val="N201_provisions"/>
      <sheetName val="SH. in 4 - BDPLC"/>
      <sheetName val="Two Step Revenue Testing Master"/>
      <sheetName val="EXTERNA__x000"/>
      <sheetName val="汎用設備調達日程表"/>
      <sheetName val="Input sheet"/>
      <sheetName val="kjkt1418"/>
      <sheetName val="Ｃ実績①"/>
      <sheetName val="PLINK1"/>
      <sheetName val="Actuals no OEM"/>
      <sheetName val="Piutang P"/>
      <sheetName val="Outlook"/>
      <sheetName val="CAPSUM"/>
      <sheetName val="TB_GAAP"/>
      <sheetName val="Drop_Down_List1"/>
      <sheetName val="Drop_Down_List"/>
      <sheetName val="Assumptions and Inputs"/>
      <sheetName val="Product A"/>
      <sheetName val="Product B"/>
      <sheetName val="Product C"/>
      <sheetName val="Product D"/>
      <sheetName val="Product E"/>
      <sheetName val="Product F"/>
      <sheetName val="Product G"/>
      <sheetName val="Product H"/>
      <sheetName val="Product I"/>
      <sheetName val="Product J"/>
      <sheetName val="Forecast Driv -#2"/>
      <sheetName val="Summary of Values"/>
      <sheetName val="WACC and WARA"/>
      <sheetName val="אגן"/>
      <sheetName val="Data Payslip Emp Details"/>
      <sheetName val="Print Employee Payslip"/>
      <sheetName val="Full Information"/>
      <sheetName val="OT"/>
      <sheetName val="Expat Daily Allowance"/>
      <sheetName val="Bank Payment Transfer"/>
      <sheetName val="Salary Tax information"/>
      <sheetName val="Final Tem_Employee Slip"/>
      <sheetName val="Salary Tax info for FIN"/>
      <sheetName val="FCST  00 to DB"/>
      <sheetName val="Gastos"/>
      <sheetName val="May 16-Head Count"/>
      <sheetName val="DATI1"/>
      <sheetName val="PL_ ALL"/>
      <sheetName val="FS10N"/>
      <sheetName val="BAHAN BAKU"/>
      <sheetName val="MCSI"/>
      <sheetName val="LIST Cost center"/>
      <sheetName val="LIST GL"/>
      <sheetName val="BD"/>
      <sheetName val="TGT KENDIS"/>
      <sheetName val="BUA"/>
      <sheetName val="BP"/>
      <sheetName val="KE30"/>
      <sheetName val="ZFIRPT065"/>
      <sheetName val="COST ELEMEN"/>
      <sheetName val="INDUSTRI"/>
      <sheetName val="KEND. CABANG"/>
      <sheetName val="REKAP_RL"/>
      <sheetName val="KEY LAPORAN"/>
      <sheetName val="LIST GL DIVISI"/>
      <sheetName val="LIST KAPASITAS"/>
      <sheetName val="LIST MATERIAL PROD"/>
      <sheetName val="LIST RELASI ELIM GM"/>
      <sheetName val="LIST REL SEKTOR"/>
      <sheetName val="PL SAP TGT 2021"/>
      <sheetName val="COPA 2019"/>
      <sheetName val="Factors"/>
      <sheetName val="Q_all_fixphone_bukopin_jan_mar_"/>
      <sheetName val="Q_all_flexi_bukopin_jan_mar_06"/>
      <sheetName val="Q_cdr_bukopin_jan_06"/>
      <sheetName val="Q_cdr_bukopin_mar_06"/>
      <sheetName val="Q_cdr_bukopin_peb_06"/>
      <sheetName val="Q_fixphone_luar_jkt_bukopin_jan"/>
      <sheetName val="Q_fixphone_luar_jkt_bukopin_peb"/>
      <sheetName val="Q_flexi_luar_jkt_bukopin_jan_06"/>
      <sheetName val="Q_flexi_luar_jkt_bukopin_mar_06"/>
      <sheetName val="cashflow-in-vs-out "/>
      <sheetName val="KPI-Data Entry"/>
      <sheetName val="Cost Production"/>
      <sheetName val="UNITPRICE"/>
      <sheetName val="frek 3.3"/>
      <sheetName val="Validations"/>
      <sheetName val="FPJr2"/>
      <sheetName val="Marshal -1"/>
      <sheetName val="Prepaid"/>
      <sheetName val="Expenses"/>
      <sheetName val="WCL-6Bln"/>
      <sheetName val="RKP Alat Ktr"/>
      <sheetName val="TB98,oct99&amp;sap99-WPL"/>
      <sheetName val="daffin"/>
      <sheetName val="Rekap Petty cash"/>
      <sheetName val="Daftar Hutang"/>
      <sheetName val="Milk"/>
      <sheetName val="Inventory"/>
      <sheetName val="CAUDIT"/>
      <sheetName val="dfmea"/>
      <sheetName val="Output"/>
      <sheetName val="8-bin"/>
      <sheetName val="Forex Anal"/>
      <sheetName val="Plant Data"/>
      <sheetName val="Changes"/>
      <sheetName val="OEM-Engr-Product Data"/>
      <sheetName val="WEIGHT"/>
      <sheetName val="Focused Factory"/>
      <sheetName val="Volume &amp; Assumptions"/>
      <sheetName val="Purchasing"/>
      <sheetName val="F&amp;T &amp; Labour"/>
      <sheetName val=" DN8 P#2 부품검사 Check Sheet (DN8)"/>
      <sheetName val="현재"/>
      <sheetName val="주행"/>
      <sheetName val="외주현황.wq1"/>
      <sheetName val="Mapping Tool"/>
      <sheetName val="Vietnam - Detailed"/>
      <sheetName val="IRR Valuation"/>
      <sheetName val="IRR_Valuation"/>
      <sheetName val="Reference List"/>
      <sheetName val="Built"/>
      <sheetName val="Data26"/>
      <sheetName val="ACC_NUM"/>
      <sheetName val="Football Field"/>
      <sheetName val="Kas 2006"/>
      <sheetName val="Balance Sheet"/>
      <sheetName val="資產負債表-0310"/>
      <sheetName val="Vendors"/>
      <sheetName val="ALVXXL01"/>
      <sheetName val="Dictionary"/>
      <sheetName val="PRODUCTDIBY"/>
      <sheetName val="BALANCE ANALYTIQUE"/>
      <sheetName val="dico mois"/>
      <sheetName val="SCHEME INS"/>
      <sheetName val="gudang"/>
      <sheetName val="os"/>
      <sheetName val="BET CHART"/>
      <sheetName val="TABEL MASTER"/>
      <sheetName val="Detail Petty Cash Pbr"/>
      <sheetName val="ANAL-str2"/>
      <sheetName val="RAB-LANSEKAP"/>
      <sheetName val="Rek"/>
      <sheetName val="Kebut. Alat"/>
      <sheetName val="Kebut. Bahan"/>
      <sheetName val="Schedule Bahan"/>
      <sheetName val="budgetsched1-17"/>
      <sheetName val="05RCBYP"/>
      <sheetName val="Key Assumptions"/>
      <sheetName val="v Plan_Gt Indo"/>
      <sheetName val="Prices"/>
      <sheetName val="Day 7 Summary"/>
      <sheetName val="SDCs"/>
      <sheetName val="SG&amp;A"/>
      <sheetName val="BRLIST"/>
      <sheetName val="PNL"/>
      <sheetName val="Branch List"/>
      <sheetName val="R1-CAPEX-03-A"/>
      <sheetName val="Details BS YTD"/>
      <sheetName val="VALIDASI"/>
      <sheetName val="FF-2"/>
      <sheetName val="201-203"/>
      <sheetName val="8"/>
      <sheetName val="11"/>
      <sheetName val="22 Kr"/>
      <sheetName val="_22 Ks"/>
      <sheetName val="33 kr"/>
      <sheetName val="33 ks"/>
      <sheetName val="RAB-1"/>
      <sheetName val="olah swt2"/>
      <sheetName val="prod.prog"/>
      <sheetName val="Jabar"/>
      <sheetName val="Pusat"/>
      <sheetName val="Sulawesi"/>
      <sheetName val="Sumbagsel"/>
      <sheetName val="KONS_BID_P&amp;N12"/>
      <sheetName val="UP_II_DUMAI12"/>
      <sheetName val="KP_DIT_HULU12"/>
      <sheetName val="UP_VI_BALONGAN12"/>
      <sheetName val="UP_1_BRANDAN12"/>
      <sheetName val="UP_V_BALIKPAPAN12"/>
      <sheetName val="DIT_HILIR12"/>
      <sheetName val="UP_IV_CILACAP12"/>
      <sheetName val="UP_III_PLAJU12"/>
      <sheetName val="KONS_DIT_HULU12"/>
      <sheetName val="KR_AMPEL12"/>
      <sheetName val="UP_VII_KASIM12"/>
      <sheetName val="KONS_BID_P12"/>
      <sheetName val="2003_ACT_CFlow12"/>
      <sheetName val="2003_BGT_C_Flow12"/>
      <sheetName val="HO_Use12"/>
      <sheetName val="Engineering_Workload12"/>
      <sheetName val="General_Info12"/>
      <sheetName val="C_O_A4"/>
      <sheetName val="Penyusutan_Kendaraan4"/>
      <sheetName val="SLS-TGT-FEED_(FDM)4"/>
      <sheetName val="List_of_related_party4"/>
      <sheetName val="rekap_pph_234"/>
      <sheetName val="21_&amp;_254"/>
      <sheetName val="2D_REPNew2_411"/>
      <sheetName val="Table_511"/>
      <sheetName val="Income_Statement11"/>
      <sheetName val="5614_a_Factory_Machinery3"/>
      <sheetName val="5614_b_Diesel_3"/>
      <sheetName val="5614_c_Factory_Equipment3"/>
      <sheetName val="5614_C_Coal_Boiler3"/>
      <sheetName val="Permanent_info4"/>
      <sheetName val="Faktor_Pembatas_Luas_Areal3"/>
      <sheetName val="Fact_Truck3"/>
      <sheetName val="Coal_Boiler3"/>
      <sheetName val="Altman_Z_Score4"/>
      <sheetName val="absen_kebun_2811"/>
      <sheetName val="absen_panen_2811"/>
      <sheetName val="UPAH_2811"/>
      <sheetName val="Eksisting_Penarikan4"/>
      <sheetName val="Daftar_Harga4"/>
      <sheetName val="TBCons_KMB044"/>
      <sheetName val="Coef_Calculation4"/>
      <sheetName val="Exch_rate4"/>
      <sheetName val="rab_33_2011_krt4"/>
      <sheetName val="RADIO_CONTROLS4"/>
      <sheetName val="KPI-Data_Source4"/>
      <sheetName val="ocean_voyage11"/>
      <sheetName val="①　BP_vs_SPR_(TTL_Impact)4"/>
      <sheetName val="FISIK_RAB_20004"/>
      <sheetName val="Satuan_Harga_Bahan4"/>
      <sheetName val="Satuan_Harga_Upah4"/>
      <sheetName val="Material_SAP4"/>
      <sheetName val="Master_File4"/>
      <sheetName val="Master_Data4"/>
      <sheetName val="BA_Rekon_ARDWS-APTSEL_(IDR)4"/>
      <sheetName val="BA_Rekon_RevDWS-ExpTSEL_(IDR)4"/>
      <sheetName val="BA_Rekon_ARAP_(USD)4"/>
      <sheetName val="BA_Rekon_RevExp_(USD)4"/>
      <sheetName val="BA_Rekon_RevDWS-ExpTSEL_(SLI)4"/>
      <sheetName val="Jurnal_Memo_(USD)4"/>
      <sheetName val="OTHER_PREPAID_EXPENSE4"/>
      <sheetName val="cilandak_payroll4"/>
      <sheetName val="PBC_S20034"/>
      <sheetName val="Actuals_&amp;_Prior_Yr__Figures3"/>
      <sheetName val="Annual_Budget_Figures3"/>
      <sheetName val="Financial_Reports3"/>
      <sheetName val="Cost_Analysis3"/>
      <sheetName val="A_u_g3"/>
      <sheetName val="pihak_iii3"/>
      <sheetName val="nm_kbn3"/>
      <sheetName val="TBM_KR_20063"/>
      <sheetName val="almanak_&amp;hk_3"/>
      <sheetName val="K4__F&amp;F3"/>
      <sheetName val="C1_NOV3"/>
      <sheetName val="angs_griya3"/>
      <sheetName val="Draft_Neraca3"/>
      <sheetName val="rek_det_1-33"/>
      <sheetName val="HARGA_SATUAN3"/>
      <sheetName val="dongia_(2)3"/>
      <sheetName val="DON_GIA3"/>
      <sheetName val="THPDMoi__(2)3"/>
      <sheetName val="CHITIET_VL-NC3"/>
      <sheetName val="CHITIET_VL-NC-TT_-1p3"/>
      <sheetName val="TH_XL3"/>
      <sheetName val="CHITIET_VL-NC-TT-3p3"/>
      <sheetName val="t-h_HA_THE3"/>
      <sheetName val="TONGKE3p_3"/>
      <sheetName val="KPVC-BD_3"/>
      <sheetName val="pro_ra_op4"/>
      <sheetName val="Program_Triwulanan-043"/>
      <sheetName val="data_berat3"/>
      <sheetName val="3_-_Balance_Sheet3"/>
      <sheetName val="5_-_Cash_Flow3"/>
      <sheetName val="Data_Parameter3"/>
      <sheetName val="SC_Pusat_BB3013"/>
      <sheetName val="SC_Pusat_BB3033"/>
      <sheetName val="SC_Pusat_krd3"/>
      <sheetName val="4_-_Income_Statement3"/>
      <sheetName val="Analisa_Harga_Satuan3"/>
      <sheetName val="Tanah_093"/>
      <sheetName val="Chart_Of_Acc3"/>
      <sheetName val="TRADING_PROFIT3"/>
      <sheetName val="Base_Data3"/>
      <sheetName val="9211_Summary_of_CAJE3"/>
      <sheetName val="9212_Summary_of_AJE3"/>
      <sheetName val="9213_Summary_of_RJE3"/>
      <sheetName val="BGT_Cashflow3"/>
      <sheetName val="Data_YTD3"/>
      <sheetName val="LARL-4_(TW)3"/>
      <sheetName val="Lamp_2_3"/>
      <sheetName val="H_Satuan3"/>
      <sheetName val="Based_Data_wacc3"/>
      <sheetName val="Data_Sheet_3"/>
      <sheetName val="by_sendiri3"/>
      <sheetName val="bezeting_3"/>
      <sheetName val="SKCD_DATA_GP_YK3"/>
      <sheetName val="NPWP_DEBITUR3"/>
      <sheetName val="rab_3_krt3"/>
      <sheetName val="rab_4_krt3"/>
      <sheetName val="rab_4_swt3"/>
      <sheetName val="J_u_l3"/>
      <sheetName val="O_c_t3"/>
      <sheetName val="A_p_r3"/>
      <sheetName val="M_a_y3"/>
      <sheetName val="S_e_p3"/>
      <sheetName val="00_received_in_013"/>
      <sheetName val="F_e_b3"/>
      <sheetName val="Per_GL_J_a_n3"/>
      <sheetName val="J_u_n3"/>
      <sheetName val="M_a_r3"/>
      <sheetName val="Bal_1997-19983"/>
      <sheetName val="REKAP_OMZET_KAPAL3"/>
      <sheetName val="RMS_FUNGSIONAL3"/>
      <sheetName val="RMS_-_STR_(2)3"/>
      <sheetName val="p_mgmt3"/>
      <sheetName val="tabel_rimba3"/>
      <sheetName val="RO344_TOTAL3"/>
      <sheetName val="KBB-CIB_BANK3"/>
      <sheetName val="data_arus_kas3"/>
      <sheetName val="RESOURCE_MODEL3"/>
      <sheetName val="Summary_UM3"/>
      <sheetName val="Scenarios_and_Sensitivities3"/>
      <sheetName val="Global_Assumptions3"/>
      <sheetName val="POTO_MAC3"/>
      <sheetName val="CF_Pmt_creditor3"/>
      <sheetName val="Seb_KPI's3"/>
      <sheetName val="P&amp;L_Detail_SARold3"/>
      <sheetName val="KBT_3"/>
      <sheetName val="Template_3"/>
      <sheetName val="Project_Code_관리3"/>
      <sheetName val="List_as_of_October3"/>
      <sheetName val="R_Category4"/>
      <sheetName val="자금세탁_사례관리3"/>
      <sheetName val="전체_리스트3"/>
      <sheetName val="DAF_INVEN_U_O3"/>
      <sheetName val="Power_&amp;_Fuel(SMS)3"/>
      <sheetName val="Power_&amp;_Fuel(new)3"/>
      <sheetName val="Power_&amp;_Fuel_(S)3"/>
      <sheetName val="Power_&amp;_Fuel(c)3"/>
      <sheetName val="THREE_VARIABLES3"/>
      <sheetName val="DB_MP11"/>
      <sheetName val="Sales_Parameter11"/>
      <sheetName val="Compensation_Data_Worksheet11"/>
      <sheetName val="TANDA_TERIMA9"/>
      <sheetName val="KPC_Coal9"/>
      <sheetName val="Accrued_RO3"/>
      <sheetName val="SEC_Income_Statement3"/>
      <sheetName val="budget_20183"/>
      <sheetName val="Bangunan_Utama_B2"/>
      <sheetName val="SCHEDULE_9A(1_of_3)2"/>
      <sheetName val="Galian_13"/>
      <sheetName val="List_Unit3"/>
      <sheetName val="DAY_WORK3"/>
      <sheetName val="BAI_Calculation3"/>
      <sheetName val="Data_Opr11"/>
      <sheetName val="Data_Opr_(2)11"/>
      <sheetName val="FS_-_US$1"/>
      <sheetName val="DATA_WP1"/>
      <sheetName val="Penyusutan_Inventaris1"/>
      <sheetName val="hardas_dc1"/>
      <sheetName val="B3_Stone_Pitching(m3con)1"/>
      <sheetName val="PC_Account1"/>
      <sheetName val="BUTYL_070303_1"/>
      <sheetName val="VAT__2010_SPM1"/>
      <sheetName val="FE-1771$_P11"/>
      <sheetName val="Comp_equip1"/>
      <sheetName val="Proposed_2003_Salary_Range1"/>
      <sheetName val="#16_-_Final_Budgets1"/>
      <sheetName val="Exch__rate_calc_1"/>
      <sheetName val="loan_11"/>
      <sheetName val="Monthly_RecapLO1"/>
      <sheetName val="General_Assumption1"/>
      <sheetName val="EU_Comps1"/>
      <sheetName val="FE-1770_P11"/>
      <sheetName val="Project_Data1"/>
      <sheetName val="Outdoorization_20211"/>
      <sheetName val="Invested_capital_VDF"/>
      <sheetName val="PV_of_Op_Leases_VDF"/>
      <sheetName val="Income_Statement_VDF"/>
      <sheetName val="Key_Stats1"/>
      <sheetName val="17000100_roll_1"/>
      <sheetName val="Trading_Statement"/>
      <sheetName val="Input_assumptions"/>
      <sheetName val="Scenario_Inputs"/>
      <sheetName val="_Results_Summary"/>
      <sheetName val="I-O_summary"/>
      <sheetName val="KPMG_Cash_Flow"/>
      <sheetName val="Financial_Statements"/>
      <sheetName val="NCF_(MOD)"/>
      <sheetName val="Key_CF"/>
      <sheetName val="WS_TM"/>
      <sheetName val="For_Segmen"/>
      <sheetName val="Perhitungan_Pajak_Badan"/>
      <sheetName val="Tax_Hitung"/>
      <sheetName val="Pengakuan_RL"/>
      <sheetName val="WA_Shares"/>
      <sheetName val="PSAK_24"/>
      <sheetName val="Data_Base"/>
      <sheetName val="Analisa_Upah_&amp;_Bahan_Plum"/>
      <sheetName val="Investasi_&amp;_depresiasi"/>
      <sheetName val="Source_HP"/>
      <sheetName val="Source_HPI"/>
      <sheetName val="132_"/>
      <sheetName val="Past_Performance"/>
      <sheetName val="FRP_2007"/>
      <sheetName val="HS_"/>
      <sheetName val="CF_2005"/>
      <sheetName val="RKP_PLUMBING"/>
      <sheetName val="BQ_ARS"/>
      <sheetName val="Supl_X"/>
      <sheetName val="lam-ssp_Mdn"/>
      <sheetName val="MASTER_"/>
      <sheetName val="8LT_12"/>
      <sheetName val="US_indoor_vs_macro_outdoor"/>
      <sheetName val="Staff_KVD_Input_Page"/>
      <sheetName val="HR_Trend_Headcount"/>
      <sheetName val="HR_Graphs_Source"/>
      <sheetName val="Morale_Index"/>
      <sheetName val="ATM_2009_W11_ver__JAL"/>
      <sheetName val="Bill_Of_Quantity"/>
      <sheetName val="PAK-03_C"/>
      <sheetName val="Bill_of_Qty_MEP"/>
      <sheetName val="fin_pro_centers"/>
      <sheetName val="Pk_prod"/>
      <sheetName val="Kolom_UT"/>
      <sheetName val="Asumsi_(2)"/>
      <sheetName val="jadual_angsuran"/>
      <sheetName val="CAF_2005"/>
      <sheetName val="cash_flow_rincian"/>
      <sheetName val="Amortization_Table"/>
      <sheetName val="GRAND_REKAP"/>
      <sheetName val="Analisa_&amp;_Upah"/>
      <sheetName val="Komp_Rev"/>
      <sheetName val="604b_jadi"/>
      <sheetName val="sawit_RKAP"/>
      <sheetName val="LABA_RUGI"/>
      <sheetName val="Cawang_Tomang_Cengkareng"/>
      <sheetName val="Jakarta_Cikampek"/>
      <sheetName val="Padalarang_Cileunyi"/>
      <sheetName val="Surabaya_Gempol_Mojokerto"/>
      <sheetName val="Board_paper_Official"/>
      <sheetName val="Page_P&amp;L-Pre_IFRS"/>
      <sheetName val="NTC_Graph"/>
      <sheetName val="2010_NCT_2_2"/>
      <sheetName val="store_id"/>
      <sheetName val="data_benefit(2)"/>
      <sheetName val="Reports"/>
      <sheetName val="Chemicals"/>
      <sheetName val="newrot3"/>
      <sheetName val="Actuals"/>
      <sheetName val="GL Acct Groups"/>
      <sheetName val="Data link"/>
      <sheetName val="Pre-IMPORT"/>
      <sheetName val="FY2017 Sales Plan"/>
      <sheetName val="DOH"/>
      <sheetName val="MERGER"/>
      <sheetName val="data_val"/>
      <sheetName val="Support"/>
      <sheetName val="Actuals (LY-1)"/>
      <sheetName val="Actuals (LY)"/>
      <sheetName val="Actuals (TY)"/>
      <sheetName val="All_Items_Sum"/>
      <sheetName val="entitlements"/>
      <sheetName val="Msn-2"/>
      <sheetName val="TAXES"/>
      <sheetName val="LUK(B)-KTR12"/>
      <sheetName val="MUTU BUAH"/>
      <sheetName val="hal_8"/>
      <sheetName val="16"/>
      <sheetName val="Attn"/>
      <sheetName val="GTS I PS"/>
      <sheetName val="M2"/>
      <sheetName val="ACTUALS MAY"/>
      <sheetName val="ACTUALS MAY_YTD"/>
      <sheetName val="Label"/>
      <sheetName val="ISI DISINI"/>
      <sheetName val="대차대조표"/>
      <sheetName val="FAB별"/>
      <sheetName val="PRODUCTION_REPORTS13"/>
      <sheetName val="ANIMATION_ONLY13"/>
      <sheetName val="ANIMATION_COST_FORECAST13"/>
      <sheetName val="EXTERNAL_ANIMATION13"/>
      <sheetName val="5313_Test_Allowance_(aging)2"/>
      <sheetName val="1_Rollfwd2"/>
      <sheetName val="Pain_data2"/>
      <sheetName val="INDIRECT_DETAIL3"/>
      <sheetName val="ADJ_AUG12,20102"/>
      <sheetName val="Subs_Details_20042"/>
      <sheetName val="Mt_Ex-CurWk2"/>
      <sheetName val="Fuel_&amp;_Safety_-_22"/>
      <sheetName val="Currency_Spot_Rates2"/>
      <sheetName val="TARGET_FINAL2"/>
      <sheetName val="fr_BS2"/>
      <sheetName val="Benefit_Design2"/>
      <sheetName val="Experience_Rating2"/>
      <sheetName val="DAIHATSU_2"/>
      <sheetName val="Acsys_Key2"/>
      <sheetName val="CM_Genset_22"/>
      <sheetName val="Spare_Part2"/>
      <sheetName val="SMPS_Relocation2"/>
      <sheetName val="DG_Cranking_System2"/>
      <sheetName val="Site_Support_and_Maintenance2"/>
      <sheetName val="Exc__Rate2"/>
      <sheetName val="AP_Trade2"/>
      <sheetName val="Account_Codes_2"/>
      <sheetName val="Analis_Kusen_okk2"/>
      <sheetName val="Kode_BKU3"/>
      <sheetName val="AU_31_Komputer3"/>
      <sheetName val="rab_8(over_swt)3"/>
      <sheetName val="rab_8_2(swt)3"/>
      <sheetName val="lp_kmmda3"/>
      <sheetName val="karet_RKAP3"/>
      <sheetName val="bez_karpel4"/>
      <sheetName val="lembar_kerja4"/>
      <sheetName val="CA_Sheet3"/>
      <sheetName val="Adf_par_resp2"/>
      <sheetName val="Doc_Type_Ref2"/>
      <sheetName val="List_as_of_Dec162"/>
      <sheetName val="rab_lt_2_bo2"/>
      <sheetName val="An__Harga2"/>
      <sheetName val="Analisa_SNI_STANDART_2"/>
      <sheetName val="Jun_982"/>
      <sheetName val="Detail_WPL_Jan2"/>
      <sheetName val="Telephone_&amp;_KSO_Rev2"/>
      <sheetName val="Deferred_Revenue_Nov_042"/>
      <sheetName val="TAX_COM2"/>
      <sheetName val="Noodles_(assumptions)2"/>
      <sheetName val="Operation_01-02072"/>
      <sheetName val="Nrj_Ljr2"/>
      <sheetName val="Indirects_MBR2"/>
      <sheetName val="Recon__Template2"/>
      <sheetName val="Inc_Stmt_Sum2"/>
      <sheetName val="Corp_04_DeprAmort_Recap2"/>
      <sheetName val="Total_NA_Food2"/>
      <sheetName val="QTIL_-BSHEET2"/>
      <sheetName val="Developer_rev_992"/>
      <sheetName val="_Ad_Sales__exp2"/>
      <sheetName val="Bus_Dev2"/>
      <sheetName val="corp__exp2"/>
      <sheetName val="LBO_--&gt;2"/>
      <sheetName val="PENJ_NERACA2"/>
      <sheetName val="CASH_FLOW2"/>
      <sheetName val="Excess_Calc2"/>
      <sheetName val="Bi_kirim2"/>
      <sheetName val="Sheet_22"/>
      <sheetName val="std_ip_tanpa_abnormal2"/>
      <sheetName val="Summary_Peserta2"/>
      <sheetName val="Data_Peserta2"/>
      <sheetName val="Recap_OT2"/>
      <sheetName val="Proses_Gaji2"/>
      <sheetName val="Premi_Iuran2"/>
      <sheetName val="int-h_wk12"/>
      <sheetName val="REKAP_BKK_BANK2"/>
      <sheetName val="Claim_Ratio_2"/>
      <sheetName val="form_Rnwl2"/>
      <sheetName val="INCOME_RATNA2"/>
      <sheetName val="List_PT2"/>
      <sheetName val="PV_Demand_Forecast_Breakdown2"/>
      <sheetName val="NB_BOY2"/>
      <sheetName val="NB_ISI2"/>
      <sheetName val="Galian_batu2"/>
      <sheetName val="Form_42"/>
      <sheetName val="A_02-I2"/>
      <sheetName val="ACT_PROD1"/>
      <sheetName val="PLAN_PROD1"/>
      <sheetName val="DIV_61"/>
      <sheetName val="DIV_71"/>
      <sheetName val="RPP01_61"/>
      <sheetName val="RPP01_31"/>
      <sheetName val="Rekap_11"/>
      <sheetName val="7_공정표1"/>
      <sheetName val="B_U_A1"/>
      <sheetName val="Rekap_Biaya1"/>
      <sheetName val="Sale-Leaseback_(2)1"/>
      <sheetName val="instalasi_disp_Mei1"/>
      <sheetName val="Income_Statements1"/>
      <sheetName val="Results_from_Nov_981"/>
      <sheetName val="Lap_des2"/>
      <sheetName val="vol_rimba2"/>
      <sheetName val="Data_TBM_I&amp;II2"/>
      <sheetName val="Grand_Sum_BT3"/>
      <sheetName val="FA_sd_APRIL_072"/>
      <sheetName val="3___Balance_Sheet2"/>
      <sheetName val="_16___Final_Budgets2"/>
      <sheetName val="4___Income_Statement2"/>
      <sheetName val="5___Cash_Flow2"/>
      <sheetName val="DEPN_20012"/>
      <sheetName val="pivot_table1"/>
      <sheetName val="trf_multiple_dnrks1"/>
      <sheetName val="trf_multiple1"/>
      <sheetName val="trfakt_sgl1"/>
      <sheetName val="A_4_31"/>
      <sheetName val="A_4_21"/>
      <sheetName val="K_2_11"/>
      <sheetName val="Lam_Pool1"/>
      <sheetName val="Plc_Staff_Recharges1"/>
      <sheetName val="PROJ_CASH1"/>
      <sheetName val="Cover_Sheet1"/>
      <sheetName val="Exchange_Rates1"/>
      <sheetName val="H1b_Accounts_Payable1"/>
      <sheetName val="P1_Equity1"/>
      <sheetName val="Oct_031"/>
      <sheetName val="MLS_2_Add_BP1"/>
      <sheetName val="Sandi_laba_rugi1"/>
      <sheetName val="KAS_$1"/>
      <sheetName val="DATA_LTW1"/>
      <sheetName val="upah-bahan_satker_revisi1"/>
      <sheetName val="Comparable_Firms1"/>
      <sheetName val="CH_rancangan1"/>
      <sheetName val="LP_01_4"/>
      <sheetName val="Current BP"/>
      <sheetName val="DAT-2"/>
      <sheetName val="Sheet1002"/>
      <sheetName val="Sheet959"/>
      <sheetName val="Reg 4 Calculation (Dashboard)"/>
      <sheetName val="2000 Actual "/>
      <sheetName val="0+12 Forecast"/>
      <sheetName val="Selected Trend Report"/>
      <sheetName val="jobhist"/>
      <sheetName val="RF"/>
      <sheetName val="Code"/>
      <sheetName val="EQL"/>
      <sheetName val="MDB"/>
      <sheetName val="Slip Gaji"/>
      <sheetName val="Row Data"/>
      <sheetName val="SMU Rental"/>
      <sheetName val="PL_INPUT"/>
      <sheetName val="DEBTORS ANALYSIS"/>
      <sheetName val="Rek. Kas"/>
      <sheetName val="MCD"/>
      <sheetName val="Tabel PErkiraan"/>
      <sheetName val="TAGIHAN"/>
      <sheetName val="r.shoot"/>
      <sheetName val="Résultats"/>
      <sheetName val="Sheet 1"/>
      <sheetName val="Jan _08"/>
      <sheetName val="Manual JE"/>
      <sheetName val="SMU"/>
      <sheetName val="20_bptl"/>
      <sheetName val="costing"/>
      <sheetName val="30"/>
      <sheetName val="4-Basic Price"/>
      <sheetName val="FORM 3A"/>
      <sheetName val="After LoI"/>
      <sheetName val="Irregular Income"/>
      <sheetName val="Submission Form"/>
      <sheetName val="As"/>
      <sheetName val="LK-gate"/>
      <sheetName val="Add_trans"/>
      <sheetName val="S_2"/>
      <sheetName val="S_1"/>
      <sheetName val="Add_rev"/>
      <sheetName val="Depreciation  schedule"/>
      <sheetName val="XY"/>
      <sheetName val="Harsat_marina"/>
      <sheetName val="ALEK"/>
      <sheetName val="Data23"/>
      <sheetName val="SEX"/>
      <sheetName val="Kuantitas &amp; Harga"/>
      <sheetName val="Ana"/>
      <sheetName val="Daftar"/>
      <sheetName val="SE-C"/>
      <sheetName val="olah produksi"/>
      <sheetName val="by.olah"/>
      <sheetName val="bagi"/>
      <sheetName val="Ratios"/>
      <sheetName val="EK-JAN-07"/>
      <sheetName val="Cum. BTS "/>
      <sheetName val="03 Detailed"/>
      <sheetName val="01 Bid Price summary"/>
      <sheetName val="Peso"/>
      <sheetName val="Detail-PARENT"/>
      <sheetName val="C4_"/>
      <sheetName val="MPL 技連"/>
      <sheetName val="342E BLOCK"/>
      <sheetName val="ﾀﾘﾌ"/>
      <sheetName val="AccUpdateDump"/>
      <sheetName val="P-FMEA Chrysler LE"/>
      <sheetName val="Market Positioning"/>
      <sheetName val="INFA0505"/>
      <sheetName val="Journal Template"/>
      <sheetName val="3800-Interim"/>
      <sheetName val="tbl_tarip"/>
      <sheetName val="tarif"/>
      <sheetName val="Depresiasi"/>
      <sheetName val="Additional"/>
      <sheetName val="Mutasi Final"/>
      <sheetName val="Form 18-10"/>
      <sheetName val="Urugan Pasir"/>
      <sheetName val="PNT"/>
      <sheetName val="DivVII"/>
      <sheetName val="ACTUAL"/>
      <sheetName val="Bill 1 - 9"/>
      <sheetName val="Bill 12"/>
      <sheetName val="Bill 10"/>
      <sheetName val="Daf-Harga"/>
      <sheetName val="Agregat Halus &amp; Kasar"/>
      <sheetName val="BDM"/>
      <sheetName val="RAB-30"/>
      <sheetName val="prod_sched"/>
      <sheetName val="Level"/>
      <sheetName val="SIMULASI (2)"/>
      <sheetName val="RFU"/>
      <sheetName val="SETMENU"/>
      <sheetName val="LV"/>
      <sheetName val="PERFORMANCE"/>
      <sheetName val="HR,GEA,SHE"/>
      <sheetName val="Absen Log"/>
      <sheetName val="Absen Prod"/>
      <sheetName val="Absen RM"/>
      <sheetName val="Absen Staff"/>
      <sheetName val="BDA"/>
      <sheetName val="Gaji GA"/>
      <sheetName val="Gaji Log"/>
      <sheetName val="Gaji Prod"/>
      <sheetName val="Gaji RM"/>
      <sheetName val="Gaji Staff"/>
      <sheetName val="Period"/>
      <sheetName val="OVERBURDEN"/>
      <sheetName val="RKP TBM DIV"/>
      <sheetName val="RKP TM Div"/>
      <sheetName val="Dhtar upah bahan dan alat"/>
      <sheetName val="B&amp;U"/>
      <sheetName val="TABLE DAYA DUKUNG"/>
      <sheetName val="RAW MATERIALS "/>
      <sheetName val="DAF-2"/>
      <sheetName val="AHS"/>
      <sheetName val="Bahan B"/>
      <sheetName val="Upah B"/>
      <sheetName val="PRODUCTION_REPORTS14"/>
      <sheetName val="ANIMATION_ONLY14"/>
      <sheetName val="ANIMATION_COST_FORECAST14"/>
      <sheetName val="EXTERNAL_ANIMATION14"/>
      <sheetName val="Iss_Jrn6"/>
      <sheetName val="Stock_Report6"/>
      <sheetName val="lookup_table6"/>
      <sheetName val="SCH_36"/>
      <sheetName val="NB_UNIT36"/>
      <sheetName val="List_Pilihan6"/>
      <sheetName val="Coll_Bulan_ini6"/>
      <sheetName val="Coll_Bulan_lalu6"/>
      <sheetName val="Renc_Bulan_ini6"/>
      <sheetName val="Renc_Bulan_Lalu6"/>
      <sheetName val="①　BP_vs_SPR_(TTL_Impact)5"/>
      <sheetName val="3_-_Balance_Sheet4"/>
      <sheetName val="4_-_Income_Statement4"/>
      <sheetName val="5_-_Cash_Flow4"/>
      <sheetName val="dongia_(2)4"/>
      <sheetName val="DON_GIA4"/>
      <sheetName val="THPDMoi__(2)4"/>
      <sheetName val="CHITIET_VL-NC4"/>
      <sheetName val="CHITIET_VL-NC-TT_-1p4"/>
      <sheetName val="TH_XL4"/>
      <sheetName val="CHITIET_VL-NC-TT-3p4"/>
      <sheetName val="t-h_HA_THE4"/>
      <sheetName val="TONGKE3p_4"/>
      <sheetName val="KPVC-BD_4"/>
      <sheetName val="pro_ra_op5"/>
      <sheetName val="Program_Triwulanan-044"/>
      <sheetName val="data_berat4"/>
      <sheetName val="Data_Parameter4"/>
      <sheetName val="SC_Pusat_BB3014"/>
      <sheetName val="SC_Pusat_BB3034"/>
      <sheetName val="SC_Pusat_krd4"/>
      <sheetName val="Analisa_Harga_Satuan4"/>
      <sheetName val="Tanah_094"/>
      <sheetName val="A_u_g4"/>
      <sheetName val="pihak_iii4"/>
      <sheetName val="nm_kbn4"/>
      <sheetName val="TBM_KR_20064"/>
      <sheetName val="almanak_&amp;hk_4"/>
      <sheetName val="K4__F&amp;F4"/>
      <sheetName val="C1_NOV4"/>
      <sheetName val="angs_griya4"/>
      <sheetName val="Draft_Neraca4"/>
      <sheetName val="rek_det_1-34"/>
      <sheetName val="HARGA_SATUAN4"/>
      <sheetName val="Chart_Of_Acc4"/>
      <sheetName val="SKCD_DATA_GP_YK4"/>
      <sheetName val="RESOURCE_MODEL4"/>
      <sheetName val="Bal_1997-19984"/>
      <sheetName val="H_Satuan4"/>
      <sheetName val="5614_a_Factory_Machinery4"/>
      <sheetName val="5614_b_Diesel_4"/>
      <sheetName val="5614_c_Factory_Equipment4"/>
      <sheetName val="5614_C_Coal_Boiler4"/>
      <sheetName val="Based_Data_wacc4"/>
      <sheetName val="Data_Sheet_4"/>
      <sheetName val="by_sendiri4"/>
      <sheetName val="bezeting_4"/>
      <sheetName val="NPWP_DEBITUR4"/>
      <sheetName val="rab_3_krt4"/>
      <sheetName val="rab_4_krt4"/>
      <sheetName val="rab_4_swt4"/>
      <sheetName val="J_u_l4"/>
      <sheetName val="O_c_t4"/>
      <sheetName val="A_p_r4"/>
      <sheetName val="M_a_y4"/>
      <sheetName val="S_e_p4"/>
      <sheetName val="00_received_in_014"/>
      <sheetName val="F_e_b4"/>
      <sheetName val="Per_GL_J_a_n4"/>
      <sheetName val="J_u_n4"/>
      <sheetName val="M_a_r4"/>
      <sheetName val="Lamp_2_4"/>
      <sheetName val="REKAP_OMZET_KAPAL4"/>
      <sheetName val="5313_Test_Allowance_(aging)3"/>
      <sheetName val="1_Rollfwd3"/>
      <sheetName val="Pain_data3"/>
      <sheetName val="INDIRECT_DETAIL4"/>
      <sheetName val="ADJ_AUG12,20103"/>
      <sheetName val="Subs_Details_20043"/>
      <sheetName val="Mt_Ex-CurWk3"/>
      <sheetName val="Fuel_&amp;_Safety_-_23"/>
      <sheetName val="SCHEDULE_9A(1_of_3)3"/>
      <sheetName val="Currency_Spot_Rates3"/>
      <sheetName val="TARGET_FINAL3"/>
      <sheetName val="fr_BS3"/>
      <sheetName val="Benefit_Design3"/>
      <sheetName val="Experience_Rating3"/>
      <sheetName val="DAIHATSU_3"/>
      <sheetName val="Acsys_Key3"/>
      <sheetName val="CM_Genset_23"/>
      <sheetName val="Spare_Part3"/>
      <sheetName val="SMPS_Relocation3"/>
      <sheetName val="DG_Cranking_System3"/>
      <sheetName val="Site_Support_and_Maintenance3"/>
      <sheetName val="Exc__Rate3"/>
      <sheetName val="AP_Trade3"/>
      <sheetName val="Account_Codes_3"/>
      <sheetName val="Analis_Kusen_okk3"/>
      <sheetName val="Kode_BKU4"/>
      <sheetName val="AU_31_Komputer4"/>
      <sheetName val="rab_8(over_swt)4"/>
      <sheetName val="rab_8_2(swt)4"/>
      <sheetName val="lp_kmmda4"/>
      <sheetName val="karet_RKAP4"/>
      <sheetName val="bez_karpel5"/>
      <sheetName val="lembar_kerja5"/>
      <sheetName val="CA_Sheet4"/>
      <sheetName val="Adf_par_resp3"/>
      <sheetName val="Doc_Type_Ref3"/>
      <sheetName val="List_as_of_Dec163"/>
      <sheetName val="rab_lt_2_bo3"/>
      <sheetName val="An__Harga3"/>
      <sheetName val="Analisa_SNI_STANDART_3"/>
      <sheetName val="Jun_983"/>
      <sheetName val="Detail_WPL_Jan3"/>
      <sheetName val="Telephone_&amp;_KSO_Rev3"/>
      <sheetName val="Deferred_Revenue_Nov_043"/>
      <sheetName val="TAX_COM3"/>
      <sheetName val="Noodles_(assumptions)3"/>
      <sheetName val="Operation_01-02073"/>
      <sheetName val="Nrj_Ljr3"/>
      <sheetName val="Indirects_MBR3"/>
      <sheetName val="Recon__Template3"/>
      <sheetName val="Inc_Stmt_Sum3"/>
      <sheetName val="Corp_04_DeprAmort_Recap3"/>
      <sheetName val="Total_NA_Food3"/>
      <sheetName val="QTIL_-BSHEET3"/>
      <sheetName val="Developer_rev_993"/>
      <sheetName val="_Ad_Sales__exp3"/>
      <sheetName val="Bus_Dev3"/>
      <sheetName val="corp__exp3"/>
      <sheetName val="LBO_--&gt;3"/>
      <sheetName val="PENJ_NERACA3"/>
      <sheetName val="CASH_FLOW3"/>
      <sheetName val="Excess_Calc3"/>
      <sheetName val="Bi_kirim3"/>
      <sheetName val="Sheet_23"/>
      <sheetName val="std_ip_tanpa_abnormal3"/>
      <sheetName val="Summary_Peserta3"/>
      <sheetName val="Data_Peserta3"/>
      <sheetName val="Recap_OT3"/>
      <sheetName val="Proses_Gaji3"/>
      <sheetName val="Premi_Iuran3"/>
      <sheetName val="int-h_wk13"/>
      <sheetName val="REKAP_BKK_BANK3"/>
      <sheetName val="Claim_Ratio_3"/>
      <sheetName val="form_Rnwl3"/>
      <sheetName val="INCOME_RATNA3"/>
      <sheetName val="List_PT3"/>
      <sheetName val="PV_Demand_Forecast_Breakdown3"/>
      <sheetName val="NB_BOY3"/>
      <sheetName val="NB_ISI3"/>
      <sheetName val="Bangunan_Utama_B3"/>
      <sheetName val="Galian_batu3"/>
      <sheetName val="Form_43"/>
      <sheetName val="Organization_Chart2"/>
      <sheetName val="A_02-I3"/>
      <sheetName val="ACT_PROD2"/>
      <sheetName val="PLAN_PROD2"/>
      <sheetName val="DIV_62"/>
      <sheetName val="DIV_72"/>
      <sheetName val="RPP01_62"/>
      <sheetName val="RPP01_32"/>
      <sheetName val="Rekap_12"/>
      <sheetName val="7_공정표2"/>
      <sheetName val="B_U_A2"/>
      <sheetName val="Rekap_Biaya2"/>
      <sheetName val="BUTYL_070303_2"/>
      <sheetName val="CF_Rp-USD2"/>
      <sheetName val="Sale-Leaseback_(2)2"/>
      <sheetName val="PC_Account2"/>
      <sheetName val="instalasi_disp_Mei2"/>
      <sheetName val="Income_Statements2"/>
      <sheetName val="Results_from_Nov_982"/>
      <sheetName val="Lap_des3"/>
      <sheetName val="vol_rimba3"/>
      <sheetName val="Data_TBM_I&amp;II3"/>
      <sheetName val="Kantor_Pusat2"/>
      <sheetName val="L12_Akt_Tetap2"/>
      <sheetName val="ABK_04_AWALR+CO+TAB_RUPS2"/>
      <sheetName val="06__CC2706162"/>
      <sheetName val="Grand_Sum_BT4"/>
      <sheetName val="FA_sd_APRIL_073"/>
      <sheetName val="3___Balance_Sheet3"/>
      <sheetName val="_16___Final_Budgets3"/>
      <sheetName val="4___Income_Statement3"/>
      <sheetName val="5___Cash_Flow3"/>
      <sheetName val="DEPN_20013"/>
      <sheetName val="F_8_2_Details_Premix2"/>
      <sheetName val="FS_-_US$2"/>
      <sheetName val="DATA_WP2"/>
      <sheetName val="Penyusutan_Inventaris2"/>
      <sheetName val="pivot_table2"/>
      <sheetName val="VAT__2010_SPM2"/>
      <sheetName val="FE-1771$_P12"/>
      <sheetName val="trf_multiple_dnrks2"/>
      <sheetName val="trf_multiple2"/>
      <sheetName val="trfakt_sgl2"/>
      <sheetName val="Comp_equip2"/>
      <sheetName val="A_4_32"/>
      <sheetName val="A_4_22"/>
      <sheetName val="K_2_12"/>
      <sheetName val="Lam_Pool2"/>
      <sheetName val="Data_Sheet2"/>
      <sheetName val="Plc_Staff_Recharges2"/>
      <sheetName val="addl_cost2"/>
      <sheetName val="unit_32"/>
      <sheetName val="PROJ_CASH2"/>
      <sheetName val="Cover_Sheet2"/>
      <sheetName val="Exchange_Rates2"/>
      <sheetName val="H1b_Accounts_Payable2"/>
      <sheetName val="P1_Equity2"/>
      <sheetName val="Oct_032"/>
      <sheetName val="MLS_2_Add_BP2"/>
      <sheetName val="Sandi_laba_rugi2"/>
      <sheetName val="FE-1770_P12"/>
      <sheetName val="KAS_$2"/>
      <sheetName val="Proposed_2003_Salary_Range2"/>
      <sheetName val="#16_-_Final_Budgets2"/>
      <sheetName val="Exch__rate_calc_2"/>
      <sheetName val="loan_12"/>
      <sheetName val="Monthly_RecapLO2"/>
      <sheetName val="General_Assumption2"/>
      <sheetName val="DATA_LTW2"/>
      <sheetName val="upah-bahan_satker_revisi2"/>
      <sheetName val="Comparable_Firms2"/>
      <sheetName val="C_FA_HO2"/>
      <sheetName val="C_ICL_HO2"/>
      <sheetName val="P_BS2"/>
      <sheetName val="C_CS_HO2"/>
      <sheetName val="C_WC2"/>
      <sheetName val="A_Tax_HO2"/>
      <sheetName val="A_TS2"/>
      <sheetName val="P_IS2"/>
      <sheetName val="C_Tax_HO2"/>
      <sheetName val="C_OBSI_HO2"/>
      <sheetName val="CALCULATE_INDEKS2"/>
      <sheetName val="P_CF2"/>
      <sheetName val="A_FA_HO2"/>
      <sheetName val="A_CAPEX_HO2"/>
      <sheetName val="A_CS_HO2"/>
      <sheetName val="A_WC_HO2"/>
      <sheetName val="A_INV_HO2"/>
      <sheetName val="C_INV_HO_TO2"/>
      <sheetName val="A_ICL_HO2"/>
      <sheetName val="P_IS_P2"/>
      <sheetName val="A_OBSI_HO2"/>
      <sheetName val="BSHO_Report2"/>
      <sheetName val="Check_Sheet2"/>
      <sheetName val="PLHO_Report2"/>
      <sheetName val="CH_rancangan2"/>
      <sheetName val="Budgets"/>
      <sheetName val="SAYILAR"/>
      <sheetName val="Areal"/>
      <sheetName val="TOTALP&amp;L"/>
      <sheetName val="PC_1"/>
      <sheetName val="PC_2"/>
      <sheetName val="SLS-TGT-FEED_(FDM_x0000_1"/>
      <sheetName val="SLS-TGT-FEED_(FDM1"/>
      <sheetName val="validation"/>
      <sheetName val="KD"/>
      <sheetName val="plan"/>
      <sheetName val="input Bezeting"/>
      <sheetName val="SENSITIVITAS"/>
      <sheetName val="colection"/>
      <sheetName val="Cashflow_Analysis1"/>
      <sheetName val="Daftar_Risiko1"/>
      <sheetName val="Grafik_(2)1"/>
      <sheetName val="Rencana_Mitigasi1"/>
      <sheetName val="Dampak_Residual1"/>
      <sheetName val="BTR_&amp;_Kertas_kerja_ABI1"/>
      <sheetName val="Residual_Exposure1"/>
      <sheetName val="Cetak_RR1"/>
      <sheetName val="Peta_Inherent1"/>
      <sheetName val="Peta_Residual1"/>
      <sheetName val="Rencana_Mitigasi_NPV1"/>
      <sheetName val="Head"/>
      <sheetName val="Hit Bgn"/>
      <sheetName val="Grunddaten"/>
      <sheetName val="CustomerList"/>
      <sheetName val="Fin.Summary"/>
      <sheetName val="GL report"/>
      <sheetName val="Total"/>
      <sheetName val="SP"/>
      <sheetName val="Drilling Calc"/>
      <sheetName val="WBS"/>
      <sheetName val="Sales Mining"/>
      <sheetName val="Cost Parameter"/>
      <sheetName val="ITPar"/>
      <sheetName val="VHCPar"/>
      <sheetName val="22"/>
      <sheetName val="FK per BH"/>
      <sheetName val="PROG_605XX"/>
      <sheetName val="Blkng"/>
    </sheetNames>
    <sheetDataSet>
      <sheetData sheetId="0" refreshError="1"/>
      <sheetData sheetId="1" refreshError="1"/>
      <sheetData sheetId="2" refreshError="1">
        <row r="1">
          <cell r="A1">
            <v>0</v>
          </cell>
        </row>
        <row r="18">
          <cell r="N18" t="str">
            <v>ENGINEERING</v>
          </cell>
          <cell r="O18">
            <v>0</v>
          </cell>
          <cell r="P18">
            <v>0</v>
          </cell>
          <cell r="Q18">
            <v>0</v>
          </cell>
          <cell r="Y18" t="str">
            <v>WK Count</v>
          </cell>
          <cell r="Z18" t="str">
            <v>Total Days</v>
          </cell>
        </row>
        <row r="19">
          <cell r="Y19" t="str">
            <v>WK Count</v>
          </cell>
          <cell r="Z19" t="str">
            <v>Total Days</v>
          </cell>
        </row>
        <row r="20">
          <cell r="A20" t="str">
            <v>PREP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 t="str">
            <v>ANIMATION</v>
          </cell>
          <cell r="G20">
            <v>0</v>
          </cell>
          <cell r="H20">
            <v>0</v>
          </cell>
          <cell r="I20" t="str">
            <v>INK &amp; PAINT</v>
          </cell>
          <cell r="J20">
            <v>0</v>
          </cell>
          <cell r="K20">
            <v>0</v>
          </cell>
          <cell r="L20" t="str">
            <v>ALPHA</v>
          </cell>
          <cell r="M20">
            <v>0</v>
          </cell>
          <cell r="N20" t="str">
            <v>BETA</v>
          </cell>
          <cell r="O20">
            <v>0</v>
          </cell>
          <cell r="P20" t="str">
            <v>RTM</v>
          </cell>
          <cell r="Q20">
            <v>0</v>
          </cell>
          <cell r="Y20">
            <v>11</v>
          </cell>
          <cell r="Z20">
            <v>77</v>
          </cell>
        </row>
        <row r="30">
          <cell r="Y30">
            <v>11</v>
          </cell>
          <cell r="Z30">
            <v>77</v>
          </cell>
        </row>
        <row r="31">
          <cell r="A31" t="str">
            <v>Wks</v>
          </cell>
          <cell r="B31" t="str">
            <v>Days</v>
          </cell>
          <cell r="C31">
            <v>0</v>
          </cell>
          <cell r="D31">
            <v>0</v>
          </cell>
          <cell r="E31">
            <v>0</v>
          </cell>
          <cell r="F31" t="str">
            <v>Wks</v>
          </cell>
          <cell r="G31" t="str">
            <v>Days</v>
          </cell>
          <cell r="H31" t="str">
            <v>Frames</v>
          </cell>
          <cell r="I31" t="str">
            <v>Wks</v>
          </cell>
          <cell r="J31" t="str">
            <v>Days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Y31">
            <v>16</v>
          </cell>
          <cell r="Z31">
            <v>110</v>
          </cell>
        </row>
        <row r="32">
          <cell r="A32">
            <v>9</v>
          </cell>
          <cell r="B32">
            <v>77</v>
          </cell>
          <cell r="C32">
            <v>0</v>
          </cell>
          <cell r="D32">
            <v>0</v>
          </cell>
          <cell r="E32">
            <v>0</v>
          </cell>
          <cell r="F32">
            <v>10</v>
          </cell>
          <cell r="G32">
            <v>110</v>
          </cell>
          <cell r="H32">
            <v>4500</v>
          </cell>
          <cell r="I32">
            <v>5</v>
          </cell>
          <cell r="J32">
            <v>49</v>
          </cell>
          <cell r="K32">
            <v>21</v>
          </cell>
          <cell r="L32">
            <v>0</v>
          </cell>
          <cell r="M32">
            <v>29</v>
          </cell>
          <cell r="N32">
            <v>0</v>
          </cell>
          <cell r="O32">
            <v>29</v>
          </cell>
          <cell r="P32">
            <v>0</v>
          </cell>
          <cell r="Q32">
            <v>29</v>
          </cell>
          <cell r="Y32">
            <v>7</v>
          </cell>
          <cell r="Z32">
            <v>49</v>
          </cell>
        </row>
        <row r="44">
          <cell r="Y44">
            <v>7</v>
          </cell>
          <cell r="Z44">
            <v>49</v>
          </cell>
        </row>
        <row r="45">
          <cell r="Y45">
            <v>154</v>
          </cell>
          <cell r="Z45">
            <v>35</v>
          </cell>
        </row>
        <row r="48">
          <cell r="Y48">
            <v>154</v>
          </cell>
          <cell r="Z48">
            <v>35</v>
          </cell>
        </row>
        <row r="49">
          <cell r="N49" t="str">
            <v>ENGINEERING</v>
          </cell>
          <cell r="O49">
            <v>0</v>
          </cell>
          <cell r="P49">
            <v>0</v>
          </cell>
          <cell r="Q49">
            <v>0</v>
          </cell>
          <cell r="Y49" t="str">
            <v>WK Count</v>
          </cell>
          <cell r="Z49" t="str">
            <v>Total Days</v>
          </cell>
        </row>
        <row r="52">
          <cell r="Y52" t="str">
            <v>WK Count</v>
          </cell>
          <cell r="Z52" t="str">
            <v>Total Days</v>
          </cell>
        </row>
        <row r="53">
          <cell r="A53" t="str">
            <v>PREP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 t="str">
            <v>ANIMATION</v>
          </cell>
          <cell r="G53">
            <v>0</v>
          </cell>
          <cell r="H53">
            <v>0</v>
          </cell>
          <cell r="I53" t="str">
            <v>INK &amp; PAINT</v>
          </cell>
          <cell r="J53">
            <v>0</v>
          </cell>
          <cell r="K53">
            <v>0</v>
          </cell>
          <cell r="L53" t="str">
            <v>ALPHA</v>
          </cell>
          <cell r="M53">
            <v>0</v>
          </cell>
          <cell r="N53" t="str">
            <v>BETA</v>
          </cell>
          <cell r="O53">
            <v>0</v>
          </cell>
          <cell r="P53" t="str">
            <v>RTM</v>
          </cell>
          <cell r="Q53">
            <v>0</v>
          </cell>
          <cell r="Y53">
            <v>22</v>
          </cell>
          <cell r="Z53">
            <v>154</v>
          </cell>
        </row>
        <row r="63">
          <cell r="Y63">
            <v>22</v>
          </cell>
          <cell r="Z63">
            <v>154</v>
          </cell>
        </row>
        <row r="64">
          <cell r="A64" t="str">
            <v>Wks</v>
          </cell>
          <cell r="B64" t="str">
            <v>Days</v>
          </cell>
          <cell r="C64">
            <v>0</v>
          </cell>
          <cell r="D64">
            <v>0</v>
          </cell>
          <cell r="E64">
            <v>0</v>
          </cell>
          <cell r="F64" t="str">
            <v>Wks</v>
          </cell>
          <cell r="G64" t="str">
            <v>Days</v>
          </cell>
          <cell r="H64" t="str">
            <v>Frames</v>
          </cell>
          <cell r="I64" t="str">
            <v>Wks</v>
          </cell>
          <cell r="J64" t="str">
            <v>Days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Y64">
            <v>16</v>
          </cell>
          <cell r="Z64">
            <v>76.666666666666671</v>
          </cell>
        </row>
        <row r="65">
          <cell r="A65">
            <v>20</v>
          </cell>
          <cell r="B65">
            <v>154</v>
          </cell>
          <cell r="C65">
            <v>0</v>
          </cell>
          <cell r="D65">
            <v>0</v>
          </cell>
          <cell r="E65">
            <v>0</v>
          </cell>
          <cell r="F65">
            <v>6.666666666666667</v>
          </cell>
          <cell r="G65">
            <v>76.666666666666671</v>
          </cell>
          <cell r="H65">
            <v>3000</v>
          </cell>
          <cell r="I65">
            <v>3.3333333333333335</v>
          </cell>
          <cell r="J65">
            <v>37.333333333333336</v>
          </cell>
          <cell r="K65">
            <v>21</v>
          </cell>
          <cell r="L65">
            <v>0</v>
          </cell>
          <cell r="M65">
            <v>29</v>
          </cell>
          <cell r="N65">
            <v>0</v>
          </cell>
          <cell r="O65">
            <v>29</v>
          </cell>
          <cell r="P65">
            <v>0</v>
          </cell>
          <cell r="Q65">
            <v>29</v>
          </cell>
          <cell r="Y65">
            <v>9</v>
          </cell>
          <cell r="Z65">
            <v>37.333333333333336</v>
          </cell>
        </row>
        <row r="92">
          <cell r="Y92">
            <v>9</v>
          </cell>
          <cell r="Z92">
            <v>37.333333333333336</v>
          </cell>
        </row>
        <row r="93">
          <cell r="Y93">
            <v>154</v>
          </cell>
          <cell r="Z93">
            <v>23.333333333333336</v>
          </cell>
        </row>
        <row r="94">
          <cell r="Y94">
            <v>154</v>
          </cell>
          <cell r="Z94">
            <v>23.333333333333336</v>
          </cell>
        </row>
        <row r="96">
          <cell r="Y96">
            <v>154</v>
          </cell>
          <cell r="Z96">
            <v>23.333333333333336</v>
          </cell>
        </row>
        <row r="97">
          <cell r="N97" t="str">
            <v>ENGINEERING</v>
          </cell>
          <cell r="O97">
            <v>0</v>
          </cell>
          <cell r="P97">
            <v>0</v>
          </cell>
          <cell r="Q97">
            <v>0</v>
          </cell>
          <cell r="Y97" t="str">
            <v>WK Count</v>
          </cell>
          <cell r="Z97" t="str">
            <v>Total Days</v>
          </cell>
        </row>
        <row r="98">
          <cell r="N98" t="str">
            <v>ENGINEERING</v>
          </cell>
          <cell r="O98">
            <v>0</v>
          </cell>
          <cell r="P98">
            <v>0</v>
          </cell>
          <cell r="Q98">
            <v>0</v>
          </cell>
          <cell r="R98" t="str">
            <v>MULAN STORY STUDIO</v>
          </cell>
          <cell r="S98">
            <v>0</v>
          </cell>
          <cell r="T98">
            <v>0</v>
          </cell>
          <cell r="U98">
            <v>0</v>
          </cell>
          <cell r="V98" t="str">
            <v xml:space="preserve">START </v>
          </cell>
          <cell r="W98" t="str">
            <v>FRAMES</v>
          </cell>
          <cell r="X98">
            <v>5100</v>
          </cell>
          <cell r="Y98" t="str">
            <v>WK Count</v>
          </cell>
          <cell r="Z98" t="str">
            <v>Total Days</v>
          </cell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 t="str">
            <v/>
          </cell>
          <cell r="AH98" t="str">
            <v/>
          </cell>
          <cell r="AI98" t="str">
            <v/>
          </cell>
          <cell r="AJ98" t="str">
            <v/>
          </cell>
          <cell r="AK98" t="str">
            <v/>
          </cell>
          <cell r="AL98" t="str">
            <v/>
          </cell>
          <cell r="AM98">
            <v>35639</v>
          </cell>
          <cell r="AN98">
            <v>35646</v>
          </cell>
          <cell r="AO98">
            <v>35653</v>
          </cell>
          <cell r="AP98">
            <v>35660</v>
          </cell>
          <cell r="AQ98">
            <v>35667</v>
          </cell>
          <cell r="AR98">
            <v>35674</v>
          </cell>
          <cell r="AS98">
            <v>35681</v>
          </cell>
          <cell r="AT98">
            <v>35688</v>
          </cell>
          <cell r="AU98">
            <v>35695</v>
          </cell>
          <cell r="AV98">
            <v>35702</v>
          </cell>
          <cell r="AW98">
            <v>35709</v>
          </cell>
          <cell r="AX98">
            <v>35716</v>
          </cell>
          <cell r="AY98">
            <v>35723</v>
          </cell>
          <cell r="AZ98">
            <v>35730</v>
          </cell>
          <cell r="BA98" t="str">
            <v/>
          </cell>
          <cell r="BB98" t="str">
            <v/>
          </cell>
          <cell r="BC98" t="str">
            <v/>
          </cell>
          <cell r="BD98" t="str">
            <v/>
          </cell>
          <cell r="BE98" t="str">
            <v/>
          </cell>
          <cell r="BF98" t="str">
            <v/>
          </cell>
          <cell r="BG98" t="str">
            <v/>
          </cell>
          <cell r="BH98" t="str">
            <v/>
          </cell>
          <cell r="BI98">
            <v>0</v>
          </cell>
          <cell r="BJ98" t="str">
            <v/>
          </cell>
          <cell r="BK98" t="str">
            <v/>
          </cell>
          <cell r="BL98" t="str">
            <v/>
          </cell>
          <cell r="BM98" t="str">
            <v/>
          </cell>
          <cell r="BN98" t="str">
            <v/>
          </cell>
          <cell r="BO98" t="str">
            <v/>
          </cell>
          <cell r="BP98" t="str">
            <v/>
          </cell>
          <cell r="BQ98" t="str">
            <v/>
          </cell>
          <cell r="BR98" t="str">
            <v/>
          </cell>
          <cell r="BS98" t="str">
            <v/>
          </cell>
          <cell r="BT98" t="str">
            <v/>
          </cell>
          <cell r="BU98" t="str">
            <v/>
          </cell>
          <cell r="BV98" t="str">
            <v/>
          </cell>
          <cell r="BW98" t="str">
            <v/>
          </cell>
          <cell r="BX98" t="str">
            <v/>
          </cell>
          <cell r="BY98" t="str">
            <v/>
          </cell>
          <cell r="BZ98" t="str">
            <v/>
          </cell>
          <cell r="CA98" t="str">
            <v/>
          </cell>
          <cell r="CB98" t="str">
            <v/>
          </cell>
          <cell r="CC98" t="str">
            <v/>
          </cell>
          <cell r="CD98" t="str">
            <v/>
          </cell>
          <cell r="CE98" t="str">
            <v/>
          </cell>
          <cell r="CF98" t="str">
            <v/>
          </cell>
          <cell r="CG98" t="str">
            <v/>
          </cell>
          <cell r="CH98" t="str">
            <v/>
          </cell>
          <cell r="CI98" t="str">
            <v/>
          </cell>
          <cell r="CJ98" t="str">
            <v/>
          </cell>
          <cell r="CK98" t="str">
            <v/>
          </cell>
          <cell r="CL98" t="str">
            <v/>
          </cell>
          <cell r="CM98" t="str">
            <v/>
          </cell>
          <cell r="CN98" t="str">
            <v/>
          </cell>
          <cell r="CO98" t="str">
            <v/>
          </cell>
          <cell r="CP98" t="str">
            <v/>
          </cell>
          <cell r="CQ98" t="str">
            <v/>
          </cell>
          <cell r="CR98" t="str">
            <v/>
          </cell>
          <cell r="CS98" t="str">
            <v/>
          </cell>
          <cell r="CT98" t="str">
            <v/>
          </cell>
          <cell r="CU98" t="str">
            <v/>
          </cell>
          <cell r="CV98" t="str">
            <v/>
          </cell>
          <cell r="CW98" t="str">
            <v/>
          </cell>
          <cell r="CX98" t="str">
            <v/>
          </cell>
          <cell r="CY98" t="str">
            <v/>
          </cell>
          <cell r="CZ98" t="str">
            <v/>
          </cell>
          <cell r="DA98" t="str">
            <v/>
          </cell>
          <cell r="DB98" t="str">
            <v/>
          </cell>
          <cell r="DC98" t="str">
            <v/>
          </cell>
          <cell r="DD98" t="str">
            <v/>
          </cell>
          <cell r="DE98" t="str">
            <v/>
          </cell>
          <cell r="DF98" t="str">
            <v/>
          </cell>
          <cell r="DG98" t="str">
            <v/>
          </cell>
          <cell r="DH98" t="str">
            <v/>
          </cell>
          <cell r="DI98" t="str">
            <v/>
          </cell>
          <cell r="DJ98" t="str">
            <v/>
          </cell>
          <cell r="DK98" t="str">
            <v/>
          </cell>
          <cell r="DL98" t="str">
            <v/>
          </cell>
          <cell r="DM98" t="str">
            <v/>
          </cell>
          <cell r="DN98" t="str">
            <v/>
          </cell>
          <cell r="DO98" t="str">
            <v/>
          </cell>
          <cell r="DP98" t="str">
            <v/>
          </cell>
          <cell r="DQ98" t="str">
            <v/>
          </cell>
          <cell r="DR98" t="str">
            <v/>
          </cell>
          <cell r="DS98" t="str">
            <v/>
          </cell>
          <cell r="DT98" t="str">
            <v/>
          </cell>
          <cell r="DU98" t="str">
            <v/>
          </cell>
          <cell r="DV98" t="str">
            <v/>
          </cell>
          <cell r="DW98" t="str">
            <v/>
          </cell>
          <cell r="DX98" t="str">
            <v/>
          </cell>
          <cell r="DY98" t="str">
            <v/>
          </cell>
          <cell r="DZ98" t="str">
            <v/>
          </cell>
          <cell r="EA98" t="str">
            <v/>
          </cell>
          <cell r="EB98" t="str">
            <v/>
          </cell>
          <cell r="EC98" t="str">
            <v/>
          </cell>
          <cell r="ED98" t="str">
            <v/>
          </cell>
          <cell r="EE98" t="str">
            <v/>
          </cell>
          <cell r="EF98" t="str">
            <v/>
          </cell>
          <cell r="EG98" t="str">
            <v/>
          </cell>
          <cell r="EH98" t="str">
            <v/>
          </cell>
          <cell r="EI98" t="str">
            <v/>
          </cell>
          <cell r="EJ98" t="str">
            <v/>
          </cell>
          <cell r="EK98" t="str">
            <v/>
          </cell>
          <cell r="EL98" t="str">
            <v/>
          </cell>
          <cell r="EM98" t="str">
            <v/>
          </cell>
          <cell r="EN98" t="str">
            <v/>
          </cell>
          <cell r="EO98" t="str">
            <v/>
          </cell>
          <cell r="EP98" t="str">
            <v/>
          </cell>
          <cell r="EQ98" t="str">
            <v/>
          </cell>
          <cell r="ER98" t="str">
            <v/>
          </cell>
          <cell r="ES98" t="str">
            <v/>
          </cell>
          <cell r="ET98" t="str">
            <v/>
          </cell>
          <cell r="EU98" t="str">
            <v/>
          </cell>
          <cell r="EV98" t="str">
            <v/>
          </cell>
          <cell r="EW98">
            <v>0</v>
          </cell>
          <cell r="EX98">
            <v>0</v>
          </cell>
          <cell r="EY98">
            <v>0</v>
          </cell>
          <cell r="EZ98">
            <v>0</v>
          </cell>
        </row>
        <row r="99">
          <cell r="A99" t="str">
            <v>PREP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 t="str">
            <v>ANIMATION</v>
          </cell>
          <cell r="G99">
            <v>0</v>
          </cell>
          <cell r="H99">
            <v>0</v>
          </cell>
          <cell r="I99" t="str">
            <v>INK &amp; PAINT</v>
          </cell>
          <cell r="J99">
            <v>0</v>
          </cell>
          <cell r="K99">
            <v>0</v>
          </cell>
          <cell r="L99" t="str">
            <v>ALPHA</v>
          </cell>
          <cell r="M99">
            <v>0</v>
          </cell>
          <cell r="N99" t="str">
            <v>BETA</v>
          </cell>
          <cell r="O99">
            <v>0</v>
          </cell>
          <cell r="P99" t="str">
            <v>RTM</v>
          </cell>
          <cell r="Q99">
            <v>0</v>
          </cell>
          <cell r="R99" t="str">
            <v>STREET</v>
          </cell>
          <cell r="S99">
            <v>0</v>
          </cell>
          <cell r="T99" t="str">
            <v>Prep Projection</v>
          </cell>
          <cell r="U99">
            <v>0</v>
          </cell>
          <cell r="V99" t="str">
            <v xml:space="preserve">START </v>
          </cell>
          <cell r="W99" t="str">
            <v>END</v>
          </cell>
          <cell r="X99">
            <v>500</v>
          </cell>
          <cell r="Y99">
            <v>14</v>
          </cell>
          <cell r="Z99">
            <v>94.5</v>
          </cell>
          <cell r="AA99" t="str">
            <v/>
          </cell>
          <cell r="AB99" t="str">
            <v/>
          </cell>
          <cell r="AC99" t="str">
            <v/>
          </cell>
          <cell r="AD99" t="str">
            <v/>
          </cell>
          <cell r="AE99" t="str">
            <v/>
          </cell>
          <cell r="AF99" t="str">
            <v/>
          </cell>
          <cell r="AG99" t="str">
            <v/>
          </cell>
          <cell r="AH99" t="str">
            <v/>
          </cell>
          <cell r="AI99" t="str">
            <v/>
          </cell>
          <cell r="AJ99" t="str">
            <v/>
          </cell>
          <cell r="AK99" t="str">
            <v/>
          </cell>
          <cell r="AL99" t="str">
            <v/>
          </cell>
          <cell r="AM99">
            <v>35639</v>
          </cell>
          <cell r="AN99">
            <v>35646</v>
          </cell>
          <cell r="AO99">
            <v>35653</v>
          </cell>
          <cell r="AP99">
            <v>35660</v>
          </cell>
          <cell r="AQ99">
            <v>35667</v>
          </cell>
          <cell r="AR99">
            <v>35674</v>
          </cell>
          <cell r="AS99">
            <v>35681</v>
          </cell>
          <cell r="AT99">
            <v>35688</v>
          </cell>
          <cell r="AU99">
            <v>35695</v>
          </cell>
          <cell r="AV99">
            <v>35702</v>
          </cell>
          <cell r="AW99">
            <v>35709</v>
          </cell>
          <cell r="AX99">
            <v>35716</v>
          </cell>
          <cell r="AY99" t="str">
            <v/>
          </cell>
          <cell r="AZ99" t="str">
            <v/>
          </cell>
          <cell r="BA99" t="str">
            <v/>
          </cell>
          <cell r="BB99" t="str">
            <v/>
          </cell>
          <cell r="BC99" t="str">
            <v/>
          </cell>
          <cell r="BD99" t="str">
            <v/>
          </cell>
          <cell r="BE99" t="str">
            <v/>
          </cell>
          <cell r="BF99" t="str">
            <v/>
          </cell>
          <cell r="BG99" t="str">
            <v/>
          </cell>
          <cell r="BH99" t="str">
            <v/>
          </cell>
          <cell r="BI99">
            <v>0</v>
          </cell>
          <cell r="BJ99" t="str">
            <v/>
          </cell>
          <cell r="BK99" t="str">
            <v/>
          </cell>
          <cell r="BL99" t="str">
            <v/>
          </cell>
          <cell r="BM99" t="str">
            <v/>
          </cell>
          <cell r="BN99" t="str">
            <v/>
          </cell>
          <cell r="BO99" t="str">
            <v/>
          </cell>
          <cell r="BP99" t="str">
            <v/>
          </cell>
          <cell r="BQ99" t="str">
            <v/>
          </cell>
          <cell r="BR99" t="str">
            <v/>
          </cell>
          <cell r="BS99" t="str">
            <v/>
          </cell>
          <cell r="BT99" t="str">
            <v/>
          </cell>
          <cell r="BU99" t="str">
            <v/>
          </cell>
          <cell r="BV99" t="str">
            <v/>
          </cell>
          <cell r="BW99" t="str">
            <v/>
          </cell>
          <cell r="BX99" t="str">
            <v/>
          </cell>
          <cell r="BY99" t="str">
            <v/>
          </cell>
          <cell r="BZ99" t="str">
            <v/>
          </cell>
          <cell r="CA99" t="str">
            <v/>
          </cell>
          <cell r="CB99" t="str">
            <v/>
          </cell>
          <cell r="CC99" t="str">
            <v/>
          </cell>
          <cell r="CD99" t="str">
            <v/>
          </cell>
          <cell r="CE99" t="str">
            <v/>
          </cell>
          <cell r="CF99" t="str">
            <v/>
          </cell>
          <cell r="CG99" t="str">
            <v/>
          </cell>
          <cell r="CH99" t="str">
            <v/>
          </cell>
          <cell r="CI99" t="str">
            <v/>
          </cell>
          <cell r="CJ99" t="str">
            <v/>
          </cell>
          <cell r="CK99" t="str">
            <v/>
          </cell>
          <cell r="CL99" t="str">
            <v/>
          </cell>
          <cell r="CM99" t="str">
            <v/>
          </cell>
          <cell r="CN99" t="str">
            <v/>
          </cell>
          <cell r="CO99" t="str">
            <v/>
          </cell>
          <cell r="CP99" t="str">
            <v/>
          </cell>
          <cell r="CQ99" t="str">
            <v/>
          </cell>
          <cell r="CR99" t="str">
            <v/>
          </cell>
          <cell r="CS99" t="str">
            <v/>
          </cell>
          <cell r="CT99" t="str">
            <v/>
          </cell>
          <cell r="CU99" t="str">
            <v/>
          </cell>
          <cell r="CV99" t="str">
            <v/>
          </cell>
          <cell r="CW99" t="str">
            <v/>
          </cell>
          <cell r="CX99" t="str">
            <v/>
          </cell>
          <cell r="CY99" t="str">
            <v/>
          </cell>
          <cell r="CZ99" t="str">
            <v/>
          </cell>
          <cell r="DA99" t="str">
            <v/>
          </cell>
          <cell r="DB99" t="str">
            <v/>
          </cell>
          <cell r="DC99" t="str">
            <v/>
          </cell>
          <cell r="DD99" t="str">
            <v/>
          </cell>
          <cell r="DE99" t="str">
            <v/>
          </cell>
          <cell r="DF99" t="str">
            <v/>
          </cell>
          <cell r="DG99" t="str">
            <v/>
          </cell>
          <cell r="DH99" t="str">
            <v/>
          </cell>
          <cell r="DI99" t="str">
            <v/>
          </cell>
          <cell r="DJ99" t="str">
            <v/>
          </cell>
          <cell r="DK99" t="str">
            <v/>
          </cell>
          <cell r="DL99" t="str">
            <v/>
          </cell>
          <cell r="DM99" t="str">
            <v/>
          </cell>
          <cell r="DN99" t="str">
            <v/>
          </cell>
          <cell r="DO99" t="str">
            <v/>
          </cell>
          <cell r="DP99" t="str">
            <v/>
          </cell>
          <cell r="DQ99" t="str">
            <v/>
          </cell>
          <cell r="DR99" t="str">
            <v/>
          </cell>
          <cell r="DS99" t="str">
            <v/>
          </cell>
          <cell r="DT99" t="str">
            <v/>
          </cell>
          <cell r="DU99" t="str">
            <v/>
          </cell>
          <cell r="DV99" t="str">
            <v/>
          </cell>
          <cell r="DW99" t="str">
            <v/>
          </cell>
          <cell r="DX99" t="str">
            <v/>
          </cell>
          <cell r="DY99" t="str">
            <v/>
          </cell>
          <cell r="DZ99" t="str">
            <v/>
          </cell>
          <cell r="EA99" t="str">
            <v/>
          </cell>
          <cell r="EB99" t="str">
            <v/>
          </cell>
          <cell r="EC99" t="str">
            <v/>
          </cell>
          <cell r="ED99" t="str">
            <v/>
          </cell>
          <cell r="EE99" t="str">
            <v/>
          </cell>
          <cell r="EF99" t="str">
            <v/>
          </cell>
          <cell r="EG99" t="str">
            <v/>
          </cell>
          <cell r="EH99" t="str">
            <v/>
          </cell>
          <cell r="EI99" t="str">
            <v/>
          </cell>
          <cell r="EJ99" t="str">
            <v/>
          </cell>
          <cell r="EK99" t="str">
            <v/>
          </cell>
          <cell r="EL99" t="str">
            <v/>
          </cell>
          <cell r="EM99" t="str">
            <v/>
          </cell>
          <cell r="EN99" t="str">
            <v/>
          </cell>
          <cell r="EO99" t="str">
            <v/>
          </cell>
          <cell r="EP99" t="str">
            <v/>
          </cell>
          <cell r="EQ99" t="str">
            <v/>
          </cell>
          <cell r="ER99" t="str">
            <v/>
          </cell>
          <cell r="ES99" t="str">
            <v/>
          </cell>
          <cell r="ET99" t="str">
            <v/>
          </cell>
          <cell r="EU99" t="str">
            <v/>
          </cell>
          <cell r="EV99" t="str">
            <v/>
          </cell>
          <cell r="EW99">
            <v>0</v>
          </cell>
          <cell r="EX99">
            <v>0</v>
          </cell>
          <cell r="EY99">
            <v>0</v>
          </cell>
          <cell r="EZ99">
            <v>0</v>
          </cell>
        </row>
        <row r="100">
          <cell r="A100" t="str">
            <v>PREP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 t="str">
            <v>ANIMATION</v>
          </cell>
          <cell r="G100">
            <v>0</v>
          </cell>
          <cell r="H100">
            <v>0</v>
          </cell>
          <cell r="I100" t="str">
            <v>INK &amp; PAINT</v>
          </cell>
          <cell r="J100">
            <v>0</v>
          </cell>
          <cell r="K100">
            <v>0</v>
          </cell>
          <cell r="L100" t="str">
            <v>ALPHA</v>
          </cell>
          <cell r="M100">
            <v>0</v>
          </cell>
          <cell r="N100" t="str">
            <v>BETA</v>
          </cell>
          <cell r="O100">
            <v>0</v>
          </cell>
          <cell r="P100" t="str">
            <v>RTM</v>
          </cell>
          <cell r="Q100">
            <v>0</v>
          </cell>
          <cell r="R100" t="str">
            <v>STREET</v>
          </cell>
          <cell r="S100" t="str">
            <v>PRODUCTION TO DATE</v>
          </cell>
          <cell r="T100" t="str">
            <v>Prep Projection</v>
          </cell>
          <cell r="U100">
            <v>0</v>
          </cell>
          <cell r="V100">
            <v>35636</v>
          </cell>
          <cell r="W100">
            <v>35721.4</v>
          </cell>
          <cell r="X100">
            <v>500</v>
          </cell>
          <cell r="Y100">
            <v>12</v>
          </cell>
          <cell r="Z100">
            <v>85.399999999999991</v>
          </cell>
          <cell r="AA100" t="str">
            <v/>
          </cell>
          <cell r="AB100" t="str">
            <v/>
          </cell>
          <cell r="AC100" t="str">
            <v/>
          </cell>
          <cell r="AD100" t="str">
            <v/>
          </cell>
          <cell r="AE100" t="str">
            <v/>
          </cell>
          <cell r="AF100" t="str">
            <v/>
          </cell>
          <cell r="AG100" t="str">
            <v/>
          </cell>
          <cell r="AH100" t="str">
            <v/>
          </cell>
          <cell r="AI100" t="str">
            <v/>
          </cell>
          <cell r="AJ100" t="str">
            <v/>
          </cell>
          <cell r="AK100" t="str">
            <v/>
          </cell>
          <cell r="AL100" t="str">
            <v/>
          </cell>
          <cell r="AM100">
            <v>125</v>
          </cell>
          <cell r="AN100">
            <v>250</v>
          </cell>
          <cell r="AO100">
            <v>375</v>
          </cell>
          <cell r="AP100">
            <v>500</v>
          </cell>
          <cell r="AQ100">
            <v>500</v>
          </cell>
          <cell r="AR100">
            <v>500</v>
          </cell>
          <cell r="AS100">
            <v>500</v>
          </cell>
          <cell r="AT100">
            <v>500</v>
          </cell>
          <cell r="AU100">
            <v>500</v>
          </cell>
          <cell r="AV100">
            <v>500</v>
          </cell>
          <cell r="AW100">
            <v>500</v>
          </cell>
          <cell r="AX100">
            <v>500</v>
          </cell>
          <cell r="AY100" t="str">
            <v/>
          </cell>
          <cell r="AZ100" t="str">
            <v/>
          </cell>
          <cell r="BA100" t="str">
            <v/>
          </cell>
          <cell r="BB100" t="str">
            <v/>
          </cell>
          <cell r="BC100" t="str">
            <v/>
          </cell>
          <cell r="BD100" t="str">
            <v/>
          </cell>
          <cell r="BE100" t="str">
            <v/>
          </cell>
          <cell r="BF100" t="str">
            <v/>
          </cell>
          <cell r="BG100" t="str">
            <v/>
          </cell>
          <cell r="BH100" t="str">
            <v/>
          </cell>
          <cell r="BI100">
            <v>0</v>
          </cell>
          <cell r="BJ100" t="str">
            <v/>
          </cell>
          <cell r="BK100" t="str">
            <v/>
          </cell>
          <cell r="BL100" t="str">
            <v/>
          </cell>
          <cell r="BM100" t="str">
            <v/>
          </cell>
          <cell r="BN100" t="str">
            <v/>
          </cell>
          <cell r="BO100" t="str">
            <v/>
          </cell>
          <cell r="BP100" t="str">
            <v/>
          </cell>
          <cell r="BQ100" t="str">
            <v/>
          </cell>
          <cell r="BR100" t="str">
            <v/>
          </cell>
          <cell r="BS100" t="str">
            <v/>
          </cell>
          <cell r="BT100" t="str">
            <v/>
          </cell>
          <cell r="BU100" t="str">
            <v/>
          </cell>
          <cell r="BV100" t="str">
            <v/>
          </cell>
          <cell r="BW100" t="str">
            <v/>
          </cell>
          <cell r="BX100" t="str">
            <v/>
          </cell>
          <cell r="BY100" t="str">
            <v/>
          </cell>
          <cell r="BZ100" t="str">
            <v/>
          </cell>
          <cell r="CA100" t="str">
            <v/>
          </cell>
          <cell r="CB100" t="str">
            <v/>
          </cell>
          <cell r="CC100" t="str">
            <v/>
          </cell>
          <cell r="CD100" t="str">
            <v/>
          </cell>
          <cell r="CE100" t="str">
            <v/>
          </cell>
          <cell r="CF100" t="str">
            <v/>
          </cell>
          <cell r="CG100" t="str">
            <v/>
          </cell>
          <cell r="CH100" t="str">
            <v/>
          </cell>
          <cell r="CI100" t="str">
            <v/>
          </cell>
          <cell r="CJ100" t="str">
            <v/>
          </cell>
          <cell r="CK100" t="str">
            <v/>
          </cell>
          <cell r="CL100" t="str">
            <v/>
          </cell>
          <cell r="CM100" t="str">
            <v/>
          </cell>
          <cell r="CN100" t="str">
            <v/>
          </cell>
          <cell r="CO100" t="str">
            <v/>
          </cell>
          <cell r="CP100" t="str">
            <v/>
          </cell>
          <cell r="CQ100" t="str">
            <v/>
          </cell>
          <cell r="CR100" t="str">
            <v/>
          </cell>
          <cell r="CS100" t="str">
            <v/>
          </cell>
          <cell r="CT100" t="str">
            <v/>
          </cell>
          <cell r="CU100" t="str">
            <v/>
          </cell>
          <cell r="CV100" t="str">
            <v/>
          </cell>
          <cell r="CW100" t="str">
            <v/>
          </cell>
          <cell r="CX100" t="str">
            <v/>
          </cell>
          <cell r="CY100" t="str">
            <v/>
          </cell>
          <cell r="CZ100" t="str">
            <v/>
          </cell>
          <cell r="DA100" t="str">
            <v/>
          </cell>
          <cell r="DB100" t="str">
            <v/>
          </cell>
          <cell r="DC100" t="str">
            <v/>
          </cell>
          <cell r="DD100" t="str">
            <v/>
          </cell>
          <cell r="DE100" t="str">
            <v/>
          </cell>
          <cell r="DF100" t="str">
            <v/>
          </cell>
          <cell r="DG100" t="str">
            <v/>
          </cell>
          <cell r="DH100" t="str">
            <v/>
          </cell>
          <cell r="DI100" t="str">
            <v/>
          </cell>
          <cell r="DJ100" t="str">
            <v/>
          </cell>
          <cell r="DK100" t="str">
            <v/>
          </cell>
          <cell r="DL100" t="str">
            <v/>
          </cell>
          <cell r="DM100" t="str">
            <v/>
          </cell>
          <cell r="DN100" t="str">
            <v/>
          </cell>
          <cell r="DO100" t="str">
            <v/>
          </cell>
          <cell r="DP100" t="str">
            <v/>
          </cell>
          <cell r="DQ100" t="str">
            <v/>
          </cell>
          <cell r="DR100" t="str">
            <v/>
          </cell>
          <cell r="DS100" t="str">
            <v/>
          </cell>
          <cell r="DT100" t="str">
            <v/>
          </cell>
          <cell r="DU100" t="str">
            <v/>
          </cell>
          <cell r="DV100" t="str">
            <v/>
          </cell>
          <cell r="DW100" t="str">
            <v/>
          </cell>
          <cell r="DX100" t="str">
            <v/>
          </cell>
          <cell r="DY100" t="str">
            <v/>
          </cell>
          <cell r="DZ100" t="str">
            <v/>
          </cell>
          <cell r="EA100" t="str">
            <v/>
          </cell>
          <cell r="EB100" t="str">
            <v/>
          </cell>
          <cell r="EC100" t="str">
            <v/>
          </cell>
          <cell r="ED100" t="str">
            <v/>
          </cell>
          <cell r="EE100" t="str">
            <v/>
          </cell>
          <cell r="EF100" t="str">
            <v/>
          </cell>
          <cell r="EG100" t="str">
            <v/>
          </cell>
          <cell r="EH100" t="str">
            <v/>
          </cell>
          <cell r="EI100" t="str">
            <v/>
          </cell>
          <cell r="EJ100" t="str">
            <v/>
          </cell>
          <cell r="EK100" t="str">
            <v/>
          </cell>
          <cell r="EL100" t="str">
            <v/>
          </cell>
          <cell r="EM100" t="str">
            <v/>
          </cell>
          <cell r="EN100" t="str">
            <v/>
          </cell>
          <cell r="EO100" t="str">
            <v/>
          </cell>
          <cell r="EP100" t="str">
            <v/>
          </cell>
          <cell r="EQ100" t="str">
            <v/>
          </cell>
          <cell r="ER100" t="str">
            <v/>
          </cell>
          <cell r="ES100" t="str">
            <v/>
          </cell>
          <cell r="ET100" t="str">
            <v/>
          </cell>
          <cell r="EU100" t="str">
            <v/>
          </cell>
          <cell r="EV100" t="str">
            <v/>
          </cell>
          <cell r="EW100">
            <v>0</v>
          </cell>
          <cell r="EX100">
            <v>0</v>
          </cell>
          <cell r="EY100">
            <v>0</v>
          </cell>
          <cell r="EZ100">
            <v>0</v>
          </cell>
        </row>
        <row r="101">
          <cell r="S101" t="str">
            <v>PRODUCTION TO DATE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 t="str">
            <v>WK 1</v>
          </cell>
          <cell r="AT101" t="str">
            <v>WK 2</v>
          </cell>
          <cell r="AU101" t="str">
            <v>WK 3</v>
          </cell>
          <cell r="AV101" t="str">
            <v>WK 4</v>
          </cell>
          <cell r="AW101" t="str">
            <v>WK 5</v>
          </cell>
          <cell r="AX101" t="str">
            <v>WK 6</v>
          </cell>
          <cell r="AY101" t="str">
            <v>WK 7</v>
          </cell>
          <cell r="AZ101" t="str">
            <v>WK 8</v>
          </cell>
          <cell r="BA101" t="str">
            <v>WK 9</v>
          </cell>
          <cell r="BB101" t="str">
            <v>WK 10</v>
          </cell>
          <cell r="BC101" t="str">
            <v>WK 11</v>
          </cell>
          <cell r="BD101" t="str">
            <v>WK 12</v>
          </cell>
          <cell r="BE101" t="str">
            <v>WK 13</v>
          </cell>
        </row>
        <row r="102">
          <cell r="T102" t="str">
            <v>Scenes Issued</v>
          </cell>
          <cell r="U102">
            <v>0.87008695652173917</v>
          </cell>
          <cell r="V102">
            <v>5003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1700</v>
          </cell>
          <cell r="AT102">
            <v>0</v>
          </cell>
          <cell r="AU102">
            <v>568</v>
          </cell>
          <cell r="AV102">
            <v>0</v>
          </cell>
          <cell r="AW102">
            <v>262</v>
          </cell>
          <cell r="AX102">
            <v>864</v>
          </cell>
          <cell r="AY102">
            <v>486</v>
          </cell>
          <cell r="AZ102">
            <v>347</v>
          </cell>
          <cell r="BA102">
            <v>0</v>
          </cell>
          <cell r="BB102">
            <v>666</v>
          </cell>
          <cell r="BC102">
            <v>110</v>
          </cell>
          <cell r="BD102">
            <v>0</v>
          </cell>
          <cell r="BE102">
            <v>0</v>
          </cell>
        </row>
        <row r="103">
          <cell r="T103" t="str">
            <v>Scenes Issued</v>
          </cell>
          <cell r="U103">
            <v>0.98098039215686272</v>
          </cell>
          <cell r="V103">
            <v>5003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1700</v>
          </cell>
          <cell r="AT103">
            <v>0</v>
          </cell>
          <cell r="AU103">
            <v>568</v>
          </cell>
          <cell r="AV103">
            <v>0</v>
          </cell>
          <cell r="AW103">
            <v>262</v>
          </cell>
          <cell r="AX103">
            <v>864</v>
          </cell>
          <cell r="AY103">
            <v>486</v>
          </cell>
          <cell r="AZ103">
            <v>347</v>
          </cell>
          <cell r="BA103">
            <v>0</v>
          </cell>
          <cell r="BB103">
            <v>666</v>
          </cell>
          <cell r="BC103">
            <v>110</v>
          </cell>
          <cell r="BD103">
            <v>0</v>
          </cell>
          <cell r="BE103">
            <v>0</v>
          </cell>
        </row>
        <row r="104">
          <cell r="T104" t="str">
            <v>Into Rough</v>
          </cell>
          <cell r="U104">
            <v>0.87235294117647055</v>
          </cell>
          <cell r="V104">
            <v>4449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60</v>
          </cell>
          <cell r="AV104">
            <v>170</v>
          </cell>
          <cell r="AW104">
            <v>527</v>
          </cell>
          <cell r="AX104">
            <v>115</v>
          </cell>
          <cell r="AY104">
            <v>0</v>
          </cell>
          <cell r="AZ104">
            <v>1019</v>
          </cell>
          <cell r="BA104">
            <v>0</v>
          </cell>
          <cell r="BB104">
            <v>593</v>
          </cell>
          <cell r="BC104">
            <v>1148</v>
          </cell>
          <cell r="BD104">
            <v>817</v>
          </cell>
          <cell r="BE104">
            <v>0</v>
          </cell>
        </row>
        <row r="105">
          <cell r="T105" t="str">
            <v>Rough Complete</v>
          </cell>
          <cell r="U105">
            <v>0.81803921568627447</v>
          </cell>
          <cell r="V105">
            <v>4172</v>
          </cell>
          <cell r="W105">
            <v>0</v>
          </cell>
          <cell r="X105">
            <v>323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60</v>
          </cell>
          <cell r="AV105">
            <v>65</v>
          </cell>
          <cell r="AW105">
            <v>114</v>
          </cell>
          <cell r="AX105">
            <v>323</v>
          </cell>
          <cell r="AY105">
            <v>352</v>
          </cell>
          <cell r="AZ105">
            <v>121</v>
          </cell>
          <cell r="BA105">
            <v>0</v>
          </cell>
          <cell r="BB105">
            <v>1204</v>
          </cell>
          <cell r="BC105">
            <v>274</v>
          </cell>
          <cell r="BD105">
            <v>1139</v>
          </cell>
          <cell r="BE105">
            <v>520</v>
          </cell>
        </row>
        <row r="106">
          <cell r="T106" t="str">
            <v>Ruff Approved</v>
          </cell>
          <cell r="U106">
            <v>0.7415686274509804</v>
          </cell>
          <cell r="V106">
            <v>3782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60</v>
          </cell>
          <cell r="AV106">
            <v>65</v>
          </cell>
          <cell r="AW106">
            <v>10</v>
          </cell>
          <cell r="AX106">
            <v>294</v>
          </cell>
          <cell r="AY106">
            <v>294</v>
          </cell>
          <cell r="AZ106">
            <v>157</v>
          </cell>
          <cell r="BA106">
            <v>0</v>
          </cell>
          <cell r="BB106">
            <v>1116</v>
          </cell>
          <cell r="BC106">
            <v>238</v>
          </cell>
          <cell r="BD106">
            <v>1077</v>
          </cell>
          <cell r="BE106">
            <v>471</v>
          </cell>
        </row>
        <row r="107">
          <cell r="T107" t="str">
            <v>Clean Complete</v>
          </cell>
          <cell r="U107">
            <v>0.50901960784313727</v>
          </cell>
          <cell r="V107">
            <v>2596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3</v>
          </cell>
          <cell r="AV107">
            <v>64</v>
          </cell>
          <cell r="AW107">
            <v>2</v>
          </cell>
          <cell r="AX107">
            <v>18</v>
          </cell>
          <cell r="AY107">
            <v>167</v>
          </cell>
          <cell r="AZ107">
            <v>115</v>
          </cell>
          <cell r="BA107">
            <v>0</v>
          </cell>
          <cell r="BB107">
            <v>600</v>
          </cell>
          <cell r="BC107">
            <v>148</v>
          </cell>
          <cell r="BD107">
            <v>1126</v>
          </cell>
          <cell r="BE107">
            <v>353</v>
          </cell>
        </row>
        <row r="108">
          <cell r="C108">
            <v>0</v>
          </cell>
          <cell r="T108" t="str">
            <v>Approved</v>
          </cell>
          <cell r="U108">
            <v>0.40490196078431373</v>
          </cell>
          <cell r="V108">
            <v>2065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3</v>
          </cell>
          <cell r="AV108">
            <v>53</v>
          </cell>
          <cell r="AW108">
            <v>0</v>
          </cell>
          <cell r="AX108">
            <v>20</v>
          </cell>
          <cell r="AY108">
            <v>150</v>
          </cell>
          <cell r="AZ108">
            <v>188</v>
          </cell>
          <cell r="BA108">
            <v>0</v>
          </cell>
          <cell r="BB108">
            <v>577</v>
          </cell>
          <cell r="BC108">
            <v>486</v>
          </cell>
          <cell r="BD108">
            <v>297</v>
          </cell>
          <cell r="BE108">
            <v>291</v>
          </cell>
        </row>
        <row r="109">
          <cell r="T109" t="str">
            <v>Turned In</v>
          </cell>
          <cell r="U109">
            <v>0.26078431372549021</v>
          </cell>
          <cell r="V109">
            <v>1330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121</v>
          </cell>
          <cell r="BA109">
            <v>0</v>
          </cell>
          <cell r="BB109">
            <v>74</v>
          </cell>
          <cell r="BC109">
            <v>506</v>
          </cell>
          <cell r="BD109">
            <v>0</v>
          </cell>
          <cell r="BE109">
            <v>629</v>
          </cell>
        </row>
        <row r="110">
          <cell r="A110" t="str">
            <v>Wks</v>
          </cell>
          <cell r="B110" t="str">
            <v>Days</v>
          </cell>
          <cell r="C110">
            <v>0</v>
          </cell>
          <cell r="D110">
            <v>0</v>
          </cell>
          <cell r="E110">
            <v>0</v>
          </cell>
          <cell r="F110" t="str">
            <v>Wks</v>
          </cell>
          <cell r="G110" t="str">
            <v>Days</v>
          </cell>
          <cell r="H110" t="str">
            <v>Frames</v>
          </cell>
          <cell r="I110" t="str">
            <v>Wks</v>
          </cell>
          <cell r="J110" t="str">
            <v>Days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str">
            <v xml:space="preserve"> </v>
          </cell>
          <cell r="S110">
            <v>0</v>
          </cell>
          <cell r="T110" t="str">
            <v>Animation Projection</v>
          </cell>
          <cell r="U110">
            <v>0</v>
          </cell>
          <cell r="V110">
            <v>35718</v>
          </cell>
          <cell r="W110">
            <v>35814</v>
          </cell>
          <cell r="X110">
            <v>750</v>
          </cell>
          <cell r="Y110">
            <v>11</v>
          </cell>
          <cell r="Z110">
            <v>83.666666666666671</v>
          </cell>
          <cell r="AA110" t="str">
            <v/>
          </cell>
          <cell r="AB110" t="str">
            <v/>
          </cell>
          <cell r="AC110" t="str">
            <v/>
          </cell>
          <cell r="AD110" t="str">
            <v/>
          </cell>
          <cell r="AE110" t="str">
            <v/>
          </cell>
          <cell r="AF110" t="str">
            <v/>
          </cell>
          <cell r="AG110" t="str">
            <v/>
          </cell>
          <cell r="AH110" t="str">
            <v/>
          </cell>
          <cell r="AI110" t="str">
            <v/>
          </cell>
          <cell r="AJ110" t="str">
            <v/>
          </cell>
          <cell r="AK110" t="str">
            <v/>
          </cell>
          <cell r="AL110" t="str">
            <v/>
          </cell>
          <cell r="AM110" t="str">
            <v/>
          </cell>
          <cell r="AN110" t="str">
            <v/>
          </cell>
          <cell r="AO110" t="str">
            <v/>
          </cell>
          <cell r="AP110" t="str">
            <v/>
          </cell>
          <cell r="AQ110" t="str">
            <v/>
          </cell>
          <cell r="AR110" t="str">
            <v/>
          </cell>
          <cell r="AS110" t="str">
            <v/>
          </cell>
          <cell r="AT110" t="str">
            <v/>
          </cell>
          <cell r="AU110" t="str">
            <v/>
          </cell>
          <cell r="AV110" t="str">
            <v/>
          </cell>
          <cell r="AW110" t="str">
            <v/>
          </cell>
          <cell r="AX110" t="str">
            <v/>
          </cell>
          <cell r="AY110">
            <v>0</v>
          </cell>
          <cell r="AZ110">
            <v>0</v>
          </cell>
          <cell r="BA110">
            <v>0</v>
          </cell>
          <cell r="BB110">
            <v>187.5</v>
          </cell>
          <cell r="BC110">
            <v>375</v>
          </cell>
          <cell r="BD110">
            <v>562.5</v>
          </cell>
          <cell r="BE110">
            <v>500</v>
          </cell>
          <cell r="BF110">
            <v>500</v>
          </cell>
          <cell r="BG110">
            <v>500</v>
          </cell>
          <cell r="BH110">
            <v>500</v>
          </cell>
          <cell r="BI110">
            <v>0</v>
          </cell>
          <cell r="BJ110">
            <v>0</v>
          </cell>
          <cell r="BK110">
            <v>500</v>
          </cell>
          <cell r="BL110" t="str">
            <v/>
          </cell>
          <cell r="BM110" t="str">
            <v/>
          </cell>
          <cell r="BN110" t="str">
            <v/>
          </cell>
          <cell r="BO110" t="str">
            <v/>
          </cell>
          <cell r="BP110" t="str">
            <v/>
          </cell>
          <cell r="BQ110" t="str">
            <v/>
          </cell>
          <cell r="BR110" t="str">
            <v/>
          </cell>
          <cell r="BS110" t="str">
            <v/>
          </cell>
          <cell r="BT110" t="str">
            <v/>
          </cell>
          <cell r="BU110" t="str">
            <v/>
          </cell>
          <cell r="BV110" t="str">
            <v/>
          </cell>
          <cell r="BW110" t="str">
            <v/>
          </cell>
          <cell r="BX110" t="str">
            <v/>
          </cell>
          <cell r="BY110" t="str">
            <v/>
          </cell>
          <cell r="BZ110" t="str">
            <v/>
          </cell>
          <cell r="CA110" t="str">
            <v/>
          </cell>
          <cell r="CB110" t="str">
            <v/>
          </cell>
          <cell r="CC110" t="str">
            <v/>
          </cell>
          <cell r="CD110" t="str">
            <v/>
          </cell>
          <cell r="CE110" t="str">
            <v/>
          </cell>
          <cell r="CF110" t="str">
            <v/>
          </cell>
          <cell r="CG110" t="str">
            <v/>
          </cell>
          <cell r="CH110" t="str">
            <v/>
          </cell>
          <cell r="CI110" t="str">
            <v/>
          </cell>
          <cell r="CJ110" t="str">
            <v/>
          </cell>
          <cell r="CK110" t="str">
            <v/>
          </cell>
          <cell r="CL110" t="str">
            <v/>
          </cell>
          <cell r="CM110" t="str">
            <v/>
          </cell>
          <cell r="CN110" t="str">
            <v/>
          </cell>
          <cell r="CO110" t="str">
            <v/>
          </cell>
          <cell r="CP110" t="str">
            <v/>
          </cell>
          <cell r="CQ110" t="str">
            <v/>
          </cell>
          <cell r="CR110" t="str">
            <v/>
          </cell>
          <cell r="CS110" t="str">
            <v/>
          </cell>
          <cell r="CT110" t="str">
            <v/>
          </cell>
          <cell r="CU110" t="str">
            <v/>
          </cell>
          <cell r="CV110" t="str">
            <v/>
          </cell>
          <cell r="CW110" t="str">
            <v/>
          </cell>
          <cell r="CX110" t="str">
            <v/>
          </cell>
          <cell r="CY110" t="str">
            <v/>
          </cell>
          <cell r="CZ110" t="str">
            <v/>
          </cell>
          <cell r="DA110" t="str">
            <v/>
          </cell>
          <cell r="DB110" t="str">
            <v/>
          </cell>
          <cell r="DC110" t="str">
            <v/>
          </cell>
          <cell r="DD110" t="str">
            <v/>
          </cell>
          <cell r="DE110" t="str">
            <v/>
          </cell>
          <cell r="DF110" t="str">
            <v/>
          </cell>
          <cell r="DG110" t="str">
            <v/>
          </cell>
          <cell r="DH110" t="str">
            <v/>
          </cell>
          <cell r="DI110" t="str">
            <v/>
          </cell>
          <cell r="DJ110" t="str">
            <v/>
          </cell>
          <cell r="DK110" t="str">
            <v/>
          </cell>
          <cell r="DL110" t="str">
            <v/>
          </cell>
          <cell r="DM110" t="str">
            <v/>
          </cell>
          <cell r="DN110" t="str">
            <v/>
          </cell>
          <cell r="DO110" t="str">
            <v/>
          </cell>
          <cell r="DP110" t="str">
            <v/>
          </cell>
          <cell r="DQ110" t="str">
            <v/>
          </cell>
          <cell r="DR110" t="str">
            <v/>
          </cell>
          <cell r="DS110" t="str">
            <v/>
          </cell>
          <cell r="DT110" t="str">
            <v/>
          </cell>
          <cell r="DU110" t="str">
            <v/>
          </cell>
          <cell r="DV110" t="str">
            <v/>
          </cell>
          <cell r="DW110" t="str">
            <v/>
          </cell>
          <cell r="DX110" t="str">
            <v/>
          </cell>
          <cell r="DY110" t="str">
            <v/>
          </cell>
          <cell r="DZ110" t="str">
            <v/>
          </cell>
          <cell r="EA110" t="str">
            <v/>
          </cell>
          <cell r="EB110" t="str">
            <v/>
          </cell>
          <cell r="EC110" t="str">
            <v/>
          </cell>
          <cell r="ED110" t="str">
            <v/>
          </cell>
          <cell r="EE110" t="str">
            <v/>
          </cell>
          <cell r="EF110" t="str">
            <v/>
          </cell>
          <cell r="EG110" t="str">
            <v/>
          </cell>
          <cell r="EH110" t="str">
            <v/>
          </cell>
          <cell r="EI110" t="str">
            <v/>
          </cell>
          <cell r="EJ110" t="str">
            <v/>
          </cell>
          <cell r="EK110" t="str">
            <v/>
          </cell>
          <cell r="EL110" t="str">
            <v/>
          </cell>
          <cell r="EM110" t="str">
            <v/>
          </cell>
          <cell r="EN110" t="str">
            <v/>
          </cell>
          <cell r="EO110" t="str">
            <v/>
          </cell>
          <cell r="EP110" t="str">
            <v/>
          </cell>
          <cell r="EQ110" t="str">
            <v/>
          </cell>
          <cell r="ER110" t="str">
            <v/>
          </cell>
          <cell r="ES110" t="str">
            <v/>
          </cell>
          <cell r="ET110" t="str">
            <v/>
          </cell>
          <cell r="EU110" t="str">
            <v/>
          </cell>
          <cell r="EV110" t="str">
            <v/>
          </cell>
          <cell r="EW110">
            <v>0</v>
          </cell>
          <cell r="EX110">
            <v>0</v>
          </cell>
          <cell r="EY110">
            <v>0</v>
          </cell>
          <cell r="EZ110">
            <v>0</v>
          </cell>
        </row>
        <row r="111">
          <cell r="A111" t="str">
            <v>Wks</v>
          </cell>
          <cell r="B111" t="str">
            <v>Days</v>
          </cell>
          <cell r="C111">
            <v>0</v>
          </cell>
          <cell r="D111">
            <v>0</v>
          </cell>
          <cell r="E111">
            <v>0</v>
          </cell>
          <cell r="F111" t="str">
            <v>Wks</v>
          </cell>
          <cell r="G111" t="str">
            <v>Days</v>
          </cell>
          <cell r="H111" t="str">
            <v>Frames</v>
          </cell>
          <cell r="I111" t="str">
            <v>Wks</v>
          </cell>
          <cell r="J111" t="str">
            <v>Days</v>
          </cell>
          <cell r="K111">
            <v>21</v>
          </cell>
          <cell r="L111">
            <v>0</v>
          </cell>
          <cell r="M111">
            <v>29</v>
          </cell>
          <cell r="N111">
            <v>0</v>
          </cell>
          <cell r="O111">
            <v>29</v>
          </cell>
          <cell r="P111">
            <v>0</v>
          </cell>
          <cell r="Q111">
            <v>29</v>
          </cell>
          <cell r="R111" t="str">
            <v xml:space="preserve"> </v>
          </cell>
          <cell r="S111">
            <v>0</v>
          </cell>
          <cell r="T111" t="str">
            <v>Animation Projection</v>
          </cell>
          <cell r="U111">
            <v>0</v>
          </cell>
          <cell r="V111">
            <v>35718</v>
          </cell>
          <cell r="W111">
            <v>35814</v>
          </cell>
          <cell r="X111">
            <v>750</v>
          </cell>
          <cell r="Y111">
            <v>11</v>
          </cell>
          <cell r="Z111">
            <v>77.599999999999994</v>
          </cell>
          <cell r="AA111" t="str">
            <v/>
          </cell>
          <cell r="AB111" t="str">
            <v/>
          </cell>
          <cell r="AC111" t="str">
            <v/>
          </cell>
          <cell r="AD111" t="str">
            <v/>
          </cell>
          <cell r="AE111" t="str">
            <v/>
          </cell>
          <cell r="AF111" t="str">
            <v/>
          </cell>
          <cell r="AG111" t="str">
            <v/>
          </cell>
          <cell r="AH111" t="str">
            <v/>
          </cell>
          <cell r="AI111" t="str">
            <v/>
          </cell>
          <cell r="AJ111" t="str">
            <v/>
          </cell>
          <cell r="AK111" t="str">
            <v/>
          </cell>
          <cell r="AL111" t="str">
            <v/>
          </cell>
          <cell r="AM111" t="str">
            <v/>
          </cell>
          <cell r="AN111" t="str">
            <v/>
          </cell>
          <cell r="AO111" t="str">
            <v/>
          </cell>
          <cell r="AP111" t="str">
            <v/>
          </cell>
          <cell r="AQ111" t="str">
            <v/>
          </cell>
          <cell r="AR111" t="str">
            <v/>
          </cell>
          <cell r="AS111" t="str">
            <v/>
          </cell>
          <cell r="AT111" t="str">
            <v/>
          </cell>
          <cell r="AU111" t="str">
            <v/>
          </cell>
          <cell r="AV111" t="str">
            <v/>
          </cell>
          <cell r="AW111" t="str">
            <v/>
          </cell>
          <cell r="AX111" t="str">
            <v/>
          </cell>
          <cell r="AY111">
            <v>0</v>
          </cell>
          <cell r="AZ111">
            <v>0</v>
          </cell>
          <cell r="BA111">
            <v>0</v>
          </cell>
          <cell r="BB111">
            <v>187.5</v>
          </cell>
          <cell r="BC111">
            <v>375</v>
          </cell>
          <cell r="BD111">
            <v>562.5</v>
          </cell>
          <cell r="BE111">
            <v>500</v>
          </cell>
          <cell r="BF111">
            <v>500</v>
          </cell>
          <cell r="BG111">
            <v>500</v>
          </cell>
          <cell r="BH111">
            <v>500</v>
          </cell>
          <cell r="BI111">
            <v>0</v>
          </cell>
          <cell r="BJ111">
            <v>0</v>
          </cell>
          <cell r="BK111">
            <v>500</v>
          </cell>
          <cell r="BL111" t="str">
            <v/>
          </cell>
          <cell r="BM111" t="str">
            <v/>
          </cell>
          <cell r="BN111" t="str">
            <v/>
          </cell>
          <cell r="BO111" t="str">
            <v/>
          </cell>
          <cell r="BP111" t="str">
            <v/>
          </cell>
          <cell r="BQ111" t="str">
            <v/>
          </cell>
          <cell r="BR111" t="str">
            <v/>
          </cell>
          <cell r="BS111" t="str">
            <v/>
          </cell>
          <cell r="BT111" t="str">
            <v/>
          </cell>
          <cell r="BU111" t="str">
            <v/>
          </cell>
          <cell r="BV111" t="str">
            <v/>
          </cell>
          <cell r="BW111" t="str">
            <v/>
          </cell>
          <cell r="BX111" t="str">
            <v/>
          </cell>
          <cell r="BY111" t="str">
            <v/>
          </cell>
          <cell r="BZ111" t="str">
            <v/>
          </cell>
          <cell r="CA111" t="str">
            <v/>
          </cell>
          <cell r="CB111" t="str">
            <v/>
          </cell>
          <cell r="CC111" t="str">
            <v/>
          </cell>
          <cell r="CD111" t="str">
            <v/>
          </cell>
          <cell r="CE111" t="str">
            <v/>
          </cell>
          <cell r="CF111" t="str">
            <v/>
          </cell>
          <cell r="CG111" t="str">
            <v/>
          </cell>
          <cell r="CH111" t="str">
            <v/>
          </cell>
          <cell r="CI111" t="str">
            <v/>
          </cell>
          <cell r="CJ111" t="str">
            <v/>
          </cell>
          <cell r="CK111" t="str">
            <v/>
          </cell>
          <cell r="CL111" t="str">
            <v/>
          </cell>
          <cell r="CM111" t="str">
            <v/>
          </cell>
          <cell r="CN111" t="str">
            <v/>
          </cell>
          <cell r="CO111" t="str">
            <v/>
          </cell>
          <cell r="CP111" t="str">
            <v/>
          </cell>
          <cell r="CQ111" t="str">
            <v/>
          </cell>
          <cell r="CR111" t="str">
            <v/>
          </cell>
          <cell r="CS111" t="str">
            <v/>
          </cell>
          <cell r="CT111" t="str">
            <v/>
          </cell>
          <cell r="CU111" t="str">
            <v/>
          </cell>
          <cell r="CV111" t="str">
            <v/>
          </cell>
          <cell r="CW111" t="str">
            <v/>
          </cell>
          <cell r="CX111" t="str">
            <v/>
          </cell>
          <cell r="CY111" t="str">
            <v/>
          </cell>
          <cell r="CZ111" t="str">
            <v/>
          </cell>
          <cell r="DA111" t="str">
            <v/>
          </cell>
          <cell r="DB111" t="str">
            <v/>
          </cell>
          <cell r="DC111" t="str">
            <v/>
          </cell>
          <cell r="DD111" t="str">
            <v/>
          </cell>
          <cell r="DE111" t="str">
            <v/>
          </cell>
          <cell r="DF111" t="str">
            <v/>
          </cell>
          <cell r="DG111" t="str">
            <v/>
          </cell>
          <cell r="DH111" t="str">
            <v/>
          </cell>
          <cell r="DI111" t="str">
            <v/>
          </cell>
          <cell r="DJ111" t="str">
            <v/>
          </cell>
          <cell r="DK111" t="str">
            <v/>
          </cell>
          <cell r="DL111" t="str">
            <v/>
          </cell>
          <cell r="DM111" t="str">
            <v/>
          </cell>
          <cell r="DN111" t="str">
            <v/>
          </cell>
          <cell r="DO111" t="str">
            <v/>
          </cell>
          <cell r="DP111" t="str">
            <v/>
          </cell>
          <cell r="DQ111" t="str">
            <v/>
          </cell>
          <cell r="DR111" t="str">
            <v/>
          </cell>
          <cell r="DS111" t="str">
            <v/>
          </cell>
          <cell r="DT111" t="str">
            <v/>
          </cell>
          <cell r="DU111" t="str">
            <v/>
          </cell>
          <cell r="DV111" t="str">
            <v/>
          </cell>
          <cell r="DW111" t="str">
            <v/>
          </cell>
          <cell r="DX111" t="str">
            <v/>
          </cell>
          <cell r="DY111" t="str">
            <v/>
          </cell>
          <cell r="DZ111" t="str">
            <v/>
          </cell>
          <cell r="EA111" t="str">
            <v/>
          </cell>
          <cell r="EB111" t="str">
            <v/>
          </cell>
          <cell r="EC111" t="str">
            <v/>
          </cell>
          <cell r="ED111" t="str">
            <v/>
          </cell>
          <cell r="EE111" t="str">
            <v/>
          </cell>
          <cell r="EF111" t="str">
            <v/>
          </cell>
          <cell r="EG111" t="str">
            <v/>
          </cell>
          <cell r="EH111" t="str">
            <v/>
          </cell>
          <cell r="EI111" t="str">
            <v/>
          </cell>
          <cell r="EJ111" t="str">
            <v/>
          </cell>
          <cell r="EK111" t="str">
            <v/>
          </cell>
          <cell r="EL111" t="str">
            <v/>
          </cell>
          <cell r="EM111" t="str">
            <v/>
          </cell>
          <cell r="EN111" t="str">
            <v/>
          </cell>
          <cell r="EO111" t="str">
            <v/>
          </cell>
          <cell r="EP111" t="str">
            <v/>
          </cell>
          <cell r="EQ111" t="str">
            <v/>
          </cell>
          <cell r="ER111" t="str">
            <v/>
          </cell>
          <cell r="ES111" t="str">
            <v/>
          </cell>
          <cell r="ET111" t="str">
            <v/>
          </cell>
          <cell r="EU111" t="str">
            <v/>
          </cell>
          <cell r="EV111" t="str">
            <v/>
          </cell>
          <cell r="EW111">
            <v>0</v>
          </cell>
          <cell r="EX111">
            <v>0</v>
          </cell>
          <cell r="EY111">
            <v>0</v>
          </cell>
          <cell r="EZ111">
            <v>0</v>
          </cell>
        </row>
        <row r="112">
          <cell r="A112">
            <v>10.199999999999999</v>
          </cell>
          <cell r="B112">
            <v>85.399999999999991</v>
          </cell>
          <cell r="C112">
            <v>0</v>
          </cell>
          <cell r="D112">
            <v>0</v>
          </cell>
          <cell r="E112">
            <v>0</v>
          </cell>
          <cell r="F112">
            <v>6.8</v>
          </cell>
          <cell r="G112">
            <v>77.599999999999994</v>
          </cell>
          <cell r="H112">
            <v>5100</v>
          </cell>
          <cell r="I112">
            <v>5.666666666666667</v>
          </cell>
          <cell r="J112">
            <v>53.666666666666671</v>
          </cell>
          <cell r="K112">
            <v>21</v>
          </cell>
          <cell r="L112">
            <v>0</v>
          </cell>
          <cell r="M112">
            <v>29</v>
          </cell>
          <cell r="N112">
            <v>0</v>
          </cell>
          <cell r="O112">
            <v>29</v>
          </cell>
          <cell r="P112">
            <v>0</v>
          </cell>
          <cell r="Q112">
            <v>29</v>
          </cell>
          <cell r="R112">
            <v>35961</v>
          </cell>
          <cell r="S112">
            <v>0</v>
          </cell>
          <cell r="T112" t="str">
            <v>Ink &amp; Paint Projection</v>
          </cell>
          <cell r="U112">
            <v>0</v>
          </cell>
          <cell r="V112">
            <v>35774.333333333336</v>
          </cell>
          <cell r="W112">
            <v>35828</v>
          </cell>
          <cell r="X112">
            <v>900</v>
          </cell>
          <cell r="Y112">
            <v>5</v>
          </cell>
          <cell r="Z112">
            <v>53.666666666666671</v>
          </cell>
          <cell r="AA112" t="str">
            <v/>
          </cell>
          <cell r="AB112" t="str">
            <v/>
          </cell>
          <cell r="AC112" t="str">
            <v/>
          </cell>
          <cell r="AD112" t="str">
            <v/>
          </cell>
          <cell r="AE112" t="str">
            <v/>
          </cell>
          <cell r="AF112" t="str">
            <v/>
          </cell>
          <cell r="AG112" t="str">
            <v/>
          </cell>
          <cell r="AH112" t="str">
            <v/>
          </cell>
          <cell r="AI112" t="str">
            <v/>
          </cell>
          <cell r="AJ112" t="str">
            <v/>
          </cell>
          <cell r="AK112" t="str">
            <v/>
          </cell>
          <cell r="AL112" t="str">
            <v/>
          </cell>
          <cell r="AM112" t="str">
            <v/>
          </cell>
          <cell r="AN112" t="str">
            <v/>
          </cell>
          <cell r="AO112" t="str">
            <v/>
          </cell>
          <cell r="AP112" t="str">
            <v/>
          </cell>
          <cell r="AQ112" t="str">
            <v/>
          </cell>
          <cell r="AR112" t="str">
            <v/>
          </cell>
          <cell r="AS112" t="str">
            <v/>
          </cell>
          <cell r="AT112" t="str">
            <v/>
          </cell>
          <cell r="AU112" t="str">
            <v/>
          </cell>
          <cell r="AV112" t="str">
            <v/>
          </cell>
          <cell r="AW112" t="str">
            <v/>
          </cell>
          <cell r="AX112" t="str">
            <v/>
          </cell>
          <cell r="AY112" t="str">
            <v/>
          </cell>
          <cell r="AZ112" t="str">
            <v/>
          </cell>
          <cell r="BA112" t="str">
            <v/>
          </cell>
          <cell r="BB112" t="str">
            <v/>
          </cell>
          <cell r="BC112" t="str">
            <v/>
          </cell>
          <cell r="BD112" t="str">
            <v/>
          </cell>
          <cell r="BE112" t="str">
            <v/>
          </cell>
          <cell r="BF112" t="str">
            <v/>
          </cell>
          <cell r="BG112">
            <v>225</v>
          </cell>
          <cell r="BH112">
            <v>450</v>
          </cell>
          <cell r="BI112">
            <v>0</v>
          </cell>
          <cell r="BJ112">
            <v>0</v>
          </cell>
          <cell r="BK112">
            <v>900</v>
          </cell>
          <cell r="BL112">
            <v>900</v>
          </cell>
          <cell r="BM112">
            <v>900</v>
          </cell>
          <cell r="BN112" t="str">
            <v/>
          </cell>
          <cell r="BO112" t="str">
            <v/>
          </cell>
          <cell r="BP112" t="str">
            <v/>
          </cell>
          <cell r="BQ112" t="str">
            <v/>
          </cell>
          <cell r="BR112" t="str">
            <v/>
          </cell>
          <cell r="BS112" t="str">
            <v/>
          </cell>
          <cell r="BT112" t="str">
            <v/>
          </cell>
          <cell r="BU112" t="str">
            <v/>
          </cell>
          <cell r="BV112" t="str">
            <v/>
          </cell>
          <cell r="BW112" t="str">
            <v/>
          </cell>
          <cell r="BX112" t="str">
            <v/>
          </cell>
          <cell r="BY112" t="str">
            <v/>
          </cell>
          <cell r="BZ112" t="str">
            <v/>
          </cell>
          <cell r="CA112" t="str">
            <v/>
          </cell>
          <cell r="CB112" t="str">
            <v/>
          </cell>
          <cell r="CC112" t="str">
            <v/>
          </cell>
          <cell r="CD112" t="str">
            <v/>
          </cell>
          <cell r="CE112" t="str">
            <v/>
          </cell>
          <cell r="CF112" t="str">
            <v/>
          </cell>
          <cell r="CG112" t="str">
            <v/>
          </cell>
          <cell r="CH112" t="str">
            <v/>
          </cell>
          <cell r="CI112" t="str">
            <v/>
          </cell>
          <cell r="CJ112" t="str">
            <v/>
          </cell>
          <cell r="CK112" t="str">
            <v/>
          </cell>
          <cell r="CL112" t="str">
            <v/>
          </cell>
          <cell r="CM112" t="str">
            <v/>
          </cell>
          <cell r="CN112" t="str">
            <v/>
          </cell>
          <cell r="CO112" t="str">
            <v/>
          </cell>
          <cell r="CP112" t="str">
            <v/>
          </cell>
          <cell r="CQ112" t="str">
            <v/>
          </cell>
          <cell r="CR112" t="str">
            <v/>
          </cell>
          <cell r="CS112" t="str">
            <v/>
          </cell>
          <cell r="CT112" t="str">
            <v/>
          </cell>
          <cell r="CU112" t="str">
            <v/>
          </cell>
          <cell r="CV112" t="str">
            <v/>
          </cell>
          <cell r="CW112" t="str">
            <v/>
          </cell>
          <cell r="CX112" t="str">
            <v/>
          </cell>
          <cell r="CY112" t="str">
            <v/>
          </cell>
          <cell r="CZ112" t="str">
            <v/>
          </cell>
          <cell r="DA112" t="str">
            <v/>
          </cell>
          <cell r="DB112" t="str">
            <v/>
          </cell>
          <cell r="DC112" t="str">
            <v/>
          </cell>
          <cell r="DD112" t="str">
            <v/>
          </cell>
          <cell r="DE112" t="str">
            <v/>
          </cell>
          <cell r="DF112" t="str">
            <v/>
          </cell>
          <cell r="DG112" t="str">
            <v/>
          </cell>
          <cell r="DH112" t="str">
            <v/>
          </cell>
          <cell r="DI112" t="str">
            <v/>
          </cell>
          <cell r="DJ112" t="str">
            <v/>
          </cell>
          <cell r="DK112" t="str">
            <v/>
          </cell>
          <cell r="DL112" t="str">
            <v/>
          </cell>
          <cell r="DM112" t="str">
            <v/>
          </cell>
          <cell r="DN112" t="str">
            <v/>
          </cell>
          <cell r="DO112" t="str">
            <v/>
          </cell>
          <cell r="DP112" t="str">
            <v/>
          </cell>
          <cell r="DQ112" t="str">
            <v/>
          </cell>
          <cell r="DR112" t="str">
            <v/>
          </cell>
          <cell r="DS112" t="str">
            <v/>
          </cell>
          <cell r="DT112" t="str">
            <v/>
          </cell>
          <cell r="DU112" t="str">
            <v/>
          </cell>
          <cell r="DV112" t="str">
            <v/>
          </cell>
          <cell r="DW112" t="str">
            <v/>
          </cell>
          <cell r="DX112" t="str">
            <v/>
          </cell>
          <cell r="DY112" t="str">
            <v/>
          </cell>
          <cell r="DZ112" t="str">
            <v/>
          </cell>
          <cell r="EA112" t="str">
            <v/>
          </cell>
          <cell r="EB112" t="str">
            <v/>
          </cell>
          <cell r="EC112" t="str">
            <v/>
          </cell>
          <cell r="ED112" t="str">
            <v/>
          </cell>
          <cell r="EE112" t="str">
            <v/>
          </cell>
          <cell r="EF112" t="str">
            <v/>
          </cell>
          <cell r="EG112" t="str">
            <v/>
          </cell>
          <cell r="EH112" t="str">
            <v/>
          </cell>
          <cell r="EI112" t="str">
            <v/>
          </cell>
          <cell r="EJ112" t="str">
            <v/>
          </cell>
          <cell r="EK112" t="str">
            <v/>
          </cell>
          <cell r="EL112" t="str">
            <v/>
          </cell>
          <cell r="EM112" t="str">
            <v/>
          </cell>
          <cell r="EN112" t="str">
            <v/>
          </cell>
          <cell r="EO112" t="str">
            <v/>
          </cell>
          <cell r="EP112" t="str">
            <v/>
          </cell>
          <cell r="EQ112" t="str">
            <v/>
          </cell>
          <cell r="ER112" t="str">
            <v/>
          </cell>
          <cell r="ES112" t="str">
            <v/>
          </cell>
          <cell r="ET112" t="str">
            <v/>
          </cell>
          <cell r="EU112" t="str">
            <v/>
          </cell>
          <cell r="EV112" t="str">
            <v/>
          </cell>
          <cell r="EW112">
            <v>0</v>
          </cell>
          <cell r="EX112">
            <v>0</v>
          </cell>
          <cell r="EY112">
            <v>0</v>
          </cell>
          <cell r="EZ112">
            <v>0</v>
          </cell>
        </row>
        <row r="113">
          <cell r="BK113">
            <v>900</v>
          </cell>
          <cell r="BL113">
            <v>900</v>
          </cell>
          <cell r="BM113">
            <v>900</v>
          </cell>
          <cell r="BN113" t="str">
            <v/>
          </cell>
          <cell r="BO113" t="str">
            <v/>
          </cell>
          <cell r="BP113" t="str">
            <v/>
          </cell>
          <cell r="BQ113" t="str">
            <v/>
          </cell>
          <cell r="BR113" t="str">
            <v/>
          </cell>
          <cell r="BS113" t="str">
            <v/>
          </cell>
          <cell r="BT113" t="str">
            <v/>
          </cell>
          <cell r="BU113" t="str">
            <v/>
          </cell>
          <cell r="BV113" t="str">
            <v/>
          </cell>
          <cell r="BW113" t="str">
            <v/>
          </cell>
          <cell r="BX113" t="str">
            <v/>
          </cell>
          <cell r="BY113" t="str">
            <v/>
          </cell>
          <cell r="BZ113" t="str">
            <v/>
          </cell>
          <cell r="CA113" t="str">
            <v/>
          </cell>
          <cell r="CB113" t="str">
            <v/>
          </cell>
          <cell r="CC113" t="str">
            <v/>
          </cell>
          <cell r="CD113" t="str">
            <v/>
          </cell>
          <cell r="CE113" t="str">
            <v/>
          </cell>
          <cell r="CF113" t="str">
            <v/>
          </cell>
          <cell r="CG113" t="str">
            <v/>
          </cell>
          <cell r="CH113" t="str">
            <v/>
          </cell>
          <cell r="CI113" t="str">
            <v/>
          </cell>
          <cell r="CJ113" t="str">
            <v/>
          </cell>
          <cell r="CK113" t="str">
            <v/>
          </cell>
          <cell r="CL113" t="str">
            <v/>
          </cell>
          <cell r="CM113" t="str">
            <v/>
          </cell>
          <cell r="CN113" t="str">
            <v/>
          </cell>
          <cell r="CO113" t="str">
            <v/>
          </cell>
          <cell r="CP113" t="str">
            <v/>
          </cell>
          <cell r="CQ113" t="str">
            <v/>
          </cell>
          <cell r="CR113" t="str">
            <v/>
          </cell>
          <cell r="CS113" t="str">
            <v/>
          </cell>
          <cell r="CT113" t="str">
            <v/>
          </cell>
          <cell r="CU113" t="str">
            <v/>
          </cell>
          <cell r="CV113" t="str">
            <v/>
          </cell>
          <cell r="CW113" t="str">
            <v/>
          </cell>
          <cell r="CX113" t="str">
            <v/>
          </cell>
          <cell r="CY113" t="str">
            <v/>
          </cell>
          <cell r="CZ113" t="str">
            <v/>
          </cell>
          <cell r="DA113" t="str">
            <v/>
          </cell>
          <cell r="DB113" t="str">
            <v/>
          </cell>
          <cell r="DC113" t="str">
            <v/>
          </cell>
          <cell r="DD113" t="str">
            <v/>
          </cell>
          <cell r="DE113" t="str">
            <v/>
          </cell>
          <cell r="DF113" t="str">
            <v/>
          </cell>
          <cell r="DG113" t="str">
            <v/>
          </cell>
          <cell r="DH113" t="str">
            <v/>
          </cell>
          <cell r="DI113" t="str">
            <v/>
          </cell>
          <cell r="DJ113" t="str">
            <v/>
          </cell>
          <cell r="DK113" t="str">
            <v/>
          </cell>
          <cell r="DL113" t="str">
            <v/>
          </cell>
          <cell r="DM113" t="str">
            <v/>
          </cell>
          <cell r="DN113" t="str">
            <v/>
          </cell>
          <cell r="DO113" t="str">
            <v/>
          </cell>
          <cell r="DP113" t="str">
            <v/>
          </cell>
          <cell r="DQ113" t="str">
            <v/>
          </cell>
          <cell r="DR113" t="str">
            <v/>
          </cell>
          <cell r="DS113" t="str">
            <v/>
          </cell>
          <cell r="DT113" t="str">
            <v/>
          </cell>
          <cell r="DU113" t="str">
            <v/>
          </cell>
          <cell r="DV113" t="str">
            <v/>
          </cell>
          <cell r="DW113" t="str">
            <v/>
          </cell>
          <cell r="DX113" t="str">
            <v/>
          </cell>
          <cell r="DY113" t="str">
            <v/>
          </cell>
          <cell r="DZ113" t="str">
            <v/>
          </cell>
          <cell r="EA113" t="str">
            <v/>
          </cell>
          <cell r="EB113" t="str">
            <v/>
          </cell>
          <cell r="EC113" t="str">
            <v/>
          </cell>
          <cell r="ED113" t="str">
            <v/>
          </cell>
          <cell r="EE113" t="str">
            <v/>
          </cell>
          <cell r="EF113" t="str">
            <v/>
          </cell>
          <cell r="EG113" t="str">
            <v/>
          </cell>
          <cell r="EH113" t="str">
            <v/>
          </cell>
          <cell r="EI113" t="str">
            <v/>
          </cell>
          <cell r="EJ113" t="str">
            <v/>
          </cell>
          <cell r="EK113" t="str">
            <v/>
          </cell>
          <cell r="EL113" t="str">
            <v/>
          </cell>
          <cell r="EM113" t="str">
            <v/>
          </cell>
          <cell r="EN113" t="str">
            <v/>
          </cell>
          <cell r="EO113" t="str">
            <v/>
          </cell>
          <cell r="EP113" t="str">
            <v/>
          </cell>
          <cell r="EQ113" t="str">
            <v/>
          </cell>
          <cell r="ER113" t="str">
            <v/>
          </cell>
          <cell r="ES113" t="str">
            <v/>
          </cell>
          <cell r="ET113" t="str">
            <v/>
          </cell>
          <cell r="EU113" t="str">
            <v/>
          </cell>
          <cell r="EV113" t="str">
            <v/>
          </cell>
        </row>
        <row r="114">
          <cell r="T114" t="str">
            <v>BUDGET FORECAST</v>
          </cell>
          <cell r="U114">
            <v>0</v>
          </cell>
          <cell r="V114">
            <v>0</v>
          </cell>
          <cell r="W114">
            <v>153000</v>
          </cell>
          <cell r="X114">
            <v>40800</v>
          </cell>
          <cell r="Y114">
            <v>0</v>
          </cell>
          <cell r="Z114">
            <v>0</v>
          </cell>
          <cell r="AA114" t="str">
            <v/>
          </cell>
          <cell r="AB114" t="str">
            <v/>
          </cell>
          <cell r="AC114" t="str">
            <v/>
          </cell>
          <cell r="AD114" t="str">
            <v/>
          </cell>
          <cell r="AE114" t="str">
            <v/>
          </cell>
          <cell r="AF114" t="str">
            <v/>
          </cell>
          <cell r="AG114" t="str">
            <v/>
          </cell>
          <cell r="AH114" t="str">
            <v/>
          </cell>
          <cell r="AI114" t="str">
            <v/>
          </cell>
          <cell r="AJ114" t="str">
            <v/>
          </cell>
          <cell r="AK114" t="str">
            <v/>
          </cell>
          <cell r="AL114" t="str">
            <v/>
          </cell>
          <cell r="AM114">
            <v>35639</v>
          </cell>
          <cell r="AN114">
            <v>35646</v>
          </cell>
          <cell r="AO114">
            <v>35653</v>
          </cell>
          <cell r="AP114">
            <v>35660</v>
          </cell>
          <cell r="AQ114">
            <v>35667</v>
          </cell>
          <cell r="AR114">
            <v>35674</v>
          </cell>
          <cell r="AS114">
            <v>35681</v>
          </cell>
          <cell r="AT114">
            <v>35688</v>
          </cell>
          <cell r="AU114">
            <v>35695</v>
          </cell>
          <cell r="AV114">
            <v>35702</v>
          </cell>
          <cell r="AW114">
            <v>35709</v>
          </cell>
          <cell r="AX114">
            <v>35716</v>
          </cell>
          <cell r="AY114">
            <v>35723</v>
          </cell>
          <cell r="AZ114">
            <v>35730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T115" t="str">
            <v>BUDGET FORECAST</v>
          </cell>
          <cell r="U115">
            <v>0</v>
          </cell>
          <cell r="V115" t="str">
            <v>PRE PROD</v>
          </cell>
          <cell r="W115">
            <v>765000</v>
          </cell>
          <cell r="X115">
            <v>60000</v>
          </cell>
          <cell r="Y115">
            <v>0</v>
          </cell>
          <cell r="Z115">
            <v>0</v>
          </cell>
          <cell r="AA115">
            <v>35555</v>
          </cell>
          <cell r="AB115" t="str">
            <v/>
          </cell>
          <cell r="AC115" t="str">
            <v/>
          </cell>
          <cell r="AD115" t="str">
            <v/>
          </cell>
          <cell r="AE115" t="str">
            <v/>
          </cell>
          <cell r="AF115" t="str">
            <v/>
          </cell>
          <cell r="AG115" t="str">
            <v/>
          </cell>
          <cell r="AH115" t="str">
            <v/>
          </cell>
          <cell r="AI115" t="str">
            <v/>
          </cell>
          <cell r="AJ115" t="str">
            <v/>
          </cell>
          <cell r="AK115" t="str">
            <v/>
          </cell>
          <cell r="AL115" t="str">
            <v/>
          </cell>
          <cell r="AM115">
            <v>3750</v>
          </cell>
          <cell r="AN115">
            <v>7500</v>
          </cell>
          <cell r="AO115">
            <v>11250</v>
          </cell>
          <cell r="AP115">
            <v>15000</v>
          </cell>
          <cell r="AQ115">
            <v>15000</v>
          </cell>
          <cell r="AR115">
            <v>15000</v>
          </cell>
          <cell r="AS115">
            <v>15000</v>
          </cell>
          <cell r="AT115">
            <v>15000</v>
          </cell>
          <cell r="AU115">
            <v>15000</v>
          </cell>
          <cell r="AV115">
            <v>15000</v>
          </cell>
          <cell r="AW115">
            <v>15000</v>
          </cell>
          <cell r="AX115">
            <v>15000</v>
          </cell>
          <cell r="AY115">
            <v>15000</v>
          </cell>
          <cell r="AZ115">
            <v>15000</v>
          </cell>
          <cell r="BA115" t="str">
            <v/>
          </cell>
          <cell r="BB115" t="str">
            <v/>
          </cell>
          <cell r="BC115" t="str">
            <v/>
          </cell>
          <cell r="BD115" t="str">
            <v/>
          </cell>
          <cell r="BE115" t="str">
            <v/>
          </cell>
          <cell r="BF115" t="str">
            <v/>
          </cell>
          <cell r="BG115" t="str">
            <v/>
          </cell>
          <cell r="BH115" t="str">
            <v/>
          </cell>
          <cell r="BI115" t="str">
            <v/>
          </cell>
          <cell r="BJ115" t="str">
            <v/>
          </cell>
          <cell r="BK115" t="str">
            <v/>
          </cell>
          <cell r="BL115" t="str">
            <v/>
          </cell>
          <cell r="BM115" t="str">
            <v/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</row>
        <row r="116">
          <cell r="V116" t="str">
            <v>PRE PROD</v>
          </cell>
          <cell r="W116">
            <v>30</v>
          </cell>
          <cell r="X116">
            <v>180000</v>
          </cell>
          <cell r="Y116">
            <v>0</v>
          </cell>
          <cell r="Z116">
            <v>0</v>
          </cell>
          <cell r="AA116">
            <v>180000</v>
          </cell>
          <cell r="AB116" t="str">
            <v/>
          </cell>
          <cell r="AC116" t="str">
            <v/>
          </cell>
          <cell r="AD116" t="str">
            <v/>
          </cell>
          <cell r="AE116" t="str">
            <v/>
          </cell>
          <cell r="AF116" t="str">
            <v/>
          </cell>
          <cell r="AG116" t="str">
            <v/>
          </cell>
          <cell r="AH116" t="str">
            <v/>
          </cell>
          <cell r="AI116" t="str">
            <v/>
          </cell>
          <cell r="AJ116" t="str">
            <v/>
          </cell>
          <cell r="AK116" t="str">
            <v/>
          </cell>
          <cell r="AL116" t="str">
            <v/>
          </cell>
          <cell r="AM116">
            <v>3750</v>
          </cell>
          <cell r="AN116">
            <v>7250</v>
          </cell>
          <cell r="AO116">
            <v>5000</v>
          </cell>
          <cell r="AP116">
            <v>5000</v>
          </cell>
          <cell r="AQ116">
            <v>5000</v>
          </cell>
          <cell r="AR116">
            <v>5000</v>
          </cell>
          <cell r="AS116">
            <v>5000</v>
          </cell>
          <cell r="AT116">
            <v>9000</v>
          </cell>
          <cell r="AU116">
            <v>10000</v>
          </cell>
          <cell r="AV116">
            <v>10000</v>
          </cell>
          <cell r="AW116">
            <v>10000</v>
          </cell>
          <cell r="AX116">
            <v>10000</v>
          </cell>
          <cell r="AY116">
            <v>10000</v>
          </cell>
          <cell r="AZ116">
            <v>10000</v>
          </cell>
          <cell r="BA116">
            <v>15000</v>
          </cell>
          <cell r="BB116">
            <v>15000</v>
          </cell>
          <cell r="BC116">
            <v>15000</v>
          </cell>
          <cell r="BD116">
            <v>15000</v>
          </cell>
          <cell r="BE116">
            <v>15000</v>
          </cell>
          <cell r="BF116">
            <v>35772</v>
          </cell>
          <cell r="BG116">
            <v>35779</v>
          </cell>
          <cell r="BH116" t="str">
            <v/>
          </cell>
          <cell r="BI116" t="str">
            <v/>
          </cell>
          <cell r="BJ116" t="str">
            <v/>
          </cell>
          <cell r="BK116" t="str">
            <v/>
          </cell>
          <cell r="BL116" t="str">
            <v/>
          </cell>
          <cell r="BM116" t="str">
            <v/>
          </cell>
          <cell r="BN116" t="str">
            <v/>
          </cell>
          <cell r="BO116" t="str">
            <v/>
          </cell>
          <cell r="BP116" t="str">
            <v/>
          </cell>
          <cell r="BQ116" t="str">
            <v/>
          </cell>
          <cell r="BR116" t="str">
            <v/>
          </cell>
          <cell r="BS116" t="str">
            <v/>
          </cell>
          <cell r="BT116" t="str">
            <v/>
          </cell>
          <cell r="BU116" t="str">
            <v/>
          </cell>
          <cell r="BV116" t="str">
            <v/>
          </cell>
          <cell r="BW116" t="str">
            <v/>
          </cell>
          <cell r="BX116" t="str">
            <v/>
          </cell>
          <cell r="BY116" t="str">
            <v/>
          </cell>
          <cell r="BZ116" t="str">
            <v/>
          </cell>
          <cell r="CA116" t="str">
            <v/>
          </cell>
          <cell r="CB116" t="str">
            <v/>
          </cell>
          <cell r="CC116" t="str">
            <v/>
          </cell>
          <cell r="CD116" t="str">
            <v/>
          </cell>
          <cell r="CE116" t="str">
            <v/>
          </cell>
          <cell r="CF116" t="str">
            <v/>
          </cell>
          <cell r="CG116" t="str">
            <v/>
          </cell>
          <cell r="CH116" t="str">
            <v/>
          </cell>
          <cell r="CI116" t="str">
            <v/>
          </cell>
          <cell r="CJ116" t="str">
            <v/>
          </cell>
          <cell r="CK116" t="str">
            <v/>
          </cell>
          <cell r="CL116" t="str">
            <v/>
          </cell>
          <cell r="CM116" t="str">
            <v/>
          </cell>
          <cell r="CN116" t="str">
            <v/>
          </cell>
          <cell r="CO116" t="str">
            <v/>
          </cell>
          <cell r="CP116" t="str">
            <v/>
          </cell>
          <cell r="CQ116" t="str">
            <v/>
          </cell>
          <cell r="CR116" t="str">
            <v/>
          </cell>
          <cell r="CS116" t="str">
            <v/>
          </cell>
          <cell r="CT116" t="str">
            <v/>
          </cell>
          <cell r="CU116" t="str">
            <v/>
          </cell>
          <cell r="CV116" t="str">
            <v/>
          </cell>
          <cell r="CW116" t="str">
            <v/>
          </cell>
          <cell r="CX116" t="str">
            <v/>
          </cell>
          <cell r="CY116" t="str">
            <v/>
          </cell>
          <cell r="CZ116" t="str">
            <v/>
          </cell>
          <cell r="DA116" t="str">
            <v/>
          </cell>
          <cell r="DB116" t="str">
            <v/>
          </cell>
          <cell r="DC116" t="str">
            <v/>
          </cell>
          <cell r="DD116" t="str">
            <v/>
          </cell>
          <cell r="DE116" t="str">
            <v/>
          </cell>
          <cell r="DF116" t="str">
            <v/>
          </cell>
          <cell r="DG116" t="str">
            <v/>
          </cell>
          <cell r="DH116" t="str">
            <v/>
          </cell>
          <cell r="DI116" t="str">
            <v/>
          </cell>
          <cell r="DJ116" t="str">
            <v/>
          </cell>
          <cell r="DK116" t="str">
            <v/>
          </cell>
          <cell r="DL116" t="str">
            <v/>
          </cell>
          <cell r="DM116" t="str">
            <v/>
          </cell>
          <cell r="DN116" t="str">
            <v/>
          </cell>
          <cell r="DO116" t="str">
            <v/>
          </cell>
          <cell r="DP116" t="str">
            <v/>
          </cell>
          <cell r="DQ116" t="str">
            <v/>
          </cell>
          <cell r="DR116" t="str">
            <v/>
          </cell>
          <cell r="DS116" t="str">
            <v/>
          </cell>
          <cell r="DT116" t="str">
            <v/>
          </cell>
          <cell r="DU116" t="str">
            <v/>
          </cell>
          <cell r="DV116" t="str">
            <v/>
          </cell>
          <cell r="DW116" t="str">
            <v/>
          </cell>
          <cell r="DX116" t="str">
            <v/>
          </cell>
          <cell r="DY116" t="str">
            <v/>
          </cell>
          <cell r="DZ116" t="str">
            <v/>
          </cell>
          <cell r="EA116" t="str">
            <v/>
          </cell>
          <cell r="EB116" t="str">
            <v/>
          </cell>
          <cell r="EC116" t="str">
            <v/>
          </cell>
          <cell r="ED116" t="str">
            <v/>
          </cell>
          <cell r="EE116" t="str">
            <v/>
          </cell>
          <cell r="EF116" t="str">
            <v/>
          </cell>
          <cell r="EG116" t="str">
            <v/>
          </cell>
          <cell r="EH116" t="str">
            <v/>
          </cell>
          <cell r="EI116" t="str">
            <v/>
          </cell>
          <cell r="EJ116" t="str">
            <v/>
          </cell>
          <cell r="EK116" t="str">
            <v/>
          </cell>
          <cell r="EL116" t="str">
            <v/>
          </cell>
          <cell r="EM116" t="str">
            <v/>
          </cell>
          <cell r="EN116" t="str">
            <v/>
          </cell>
          <cell r="EO116" t="str">
            <v/>
          </cell>
          <cell r="EP116" t="str">
            <v/>
          </cell>
          <cell r="EQ116" t="str">
            <v/>
          </cell>
          <cell r="ER116" t="str">
            <v/>
          </cell>
          <cell r="ES116" t="str">
            <v/>
          </cell>
          <cell r="ET116" t="str">
            <v/>
          </cell>
          <cell r="EU116" t="str">
            <v/>
          </cell>
          <cell r="EV116" t="str">
            <v/>
          </cell>
          <cell r="EW116" t="str">
            <v/>
          </cell>
          <cell r="EX116" t="str">
            <v/>
          </cell>
          <cell r="EY116" t="str">
            <v/>
          </cell>
          <cell r="EZ116" t="str">
            <v/>
          </cell>
          <cell r="FA116" t="str">
            <v/>
          </cell>
          <cell r="FB116" t="str">
            <v/>
          </cell>
          <cell r="FC116" t="str">
            <v/>
          </cell>
          <cell r="FD116" t="str">
            <v/>
          </cell>
          <cell r="FE116" t="str">
            <v/>
          </cell>
          <cell r="FF116" t="str">
            <v/>
          </cell>
          <cell r="FG116" t="str">
            <v/>
          </cell>
          <cell r="FH116" t="str">
            <v/>
          </cell>
          <cell r="FI116" t="str">
            <v/>
          </cell>
          <cell r="FJ116">
            <v>0</v>
          </cell>
          <cell r="FK116">
            <v>0</v>
          </cell>
          <cell r="FL116">
            <v>0</v>
          </cell>
          <cell r="FM116">
            <v>0</v>
          </cell>
          <cell r="FN116">
            <v>0</v>
          </cell>
          <cell r="FO116">
            <v>0</v>
          </cell>
          <cell r="FP116">
            <v>0</v>
          </cell>
          <cell r="FQ116">
            <v>0</v>
          </cell>
          <cell r="FR116">
            <v>0</v>
          </cell>
          <cell r="FS116">
            <v>0</v>
          </cell>
          <cell r="FT116">
            <v>0</v>
          </cell>
          <cell r="FU116">
            <v>0</v>
          </cell>
          <cell r="FV116">
            <v>0</v>
          </cell>
          <cell r="FW116">
            <v>0</v>
          </cell>
          <cell r="FX116">
            <v>0</v>
          </cell>
          <cell r="FY116">
            <v>0</v>
          </cell>
          <cell r="FZ116">
            <v>0</v>
          </cell>
          <cell r="GA116">
            <v>0</v>
          </cell>
          <cell r="GB116">
            <v>0</v>
          </cell>
        </row>
        <row r="117">
          <cell r="V117" t="str">
            <v>BACKGROUNDS</v>
          </cell>
          <cell r="W117">
            <v>12</v>
          </cell>
          <cell r="X117">
            <v>60000</v>
          </cell>
          <cell r="Y117">
            <v>0</v>
          </cell>
          <cell r="Z117">
            <v>0</v>
          </cell>
          <cell r="AA117">
            <v>59999.974293795312</v>
          </cell>
          <cell r="AB117" t="str">
            <v/>
          </cell>
          <cell r="AC117" t="str">
            <v/>
          </cell>
          <cell r="AD117" t="str">
            <v/>
          </cell>
          <cell r="AE117" t="str">
            <v/>
          </cell>
          <cell r="AF117" t="str">
            <v/>
          </cell>
          <cell r="AG117" t="str">
            <v/>
          </cell>
          <cell r="AH117" t="str">
            <v/>
          </cell>
          <cell r="AI117" t="str">
            <v/>
          </cell>
          <cell r="AJ117" t="str">
            <v/>
          </cell>
          <cell r="AK117" t="str">
            <v/>
          </cell>
          <cell r="AL117" t="str">
            <v/>
          </cell>
          <cell r="AM117" t="str">
            <v/>
          </cell>
          <cell r="AN117" t="str">
            <v/>
          </cell>
          <cell r="AO117" t="str">
            <v/>
          </cell>
          <cell r="AP117" t="str">
            <v/>
          </cell>
          <cell r="AQ117" t="str">
            <v/>
          </cell>
          <cell r="AR117">
            <v>1732.0178636821199</v>
          </cell>
          <cell r="AS117">
            <v>1875.9564301131923</v>
          </cell>
          <cell r="AT117">
            <v>4392</v>
          </cell>
          <cell r="AU117">
            <v>7000</v>
          </cell>
          <cell r="AV117">
            <v>7000</v>
          </cell>
          <cell r="AW117">
            <v>7000</v>
          </cell>
          <cell r="AX117">
            <v>7000</v>
          </cell>
          <cell r="AY117">
            <v>7000</v>
          </cell>
          <cell r="AZ117">
            <v>7000</v>
          </cell>
          <cell r="BA117">
            <v>10000</v>
          </cell>
          <cell r="BB117">
            <v>28125</v>
          </cell>
          <cell r="BC117">
            <v>56250</v>
          </cell>
          <cell r="BD117">
            <v>84375</v>
          </cell>
          <cell r="BE117">
            <v>75000</v>
          </cell>
          <cell r="BF117">
            <v>75000</v>
          </cell>
          <cell r="BG117">
            <v>75000</v>
          </cell>
          <cell r="BH117">
            <v>75000</v>
          </cell>
          <cell r="BI117" t="str">
            <v/>
          </cell>
          <cell r="BJ117">
            <v>75000</v>
          </cell>
          <cell r="BK117" t="str">
            <v/>
          </cell>
          <cell r="BL117" t="str">
            <v/>
          </cell>
          <cell r="BM117" t="str">
            <v/>
          </cell>
          <cell r="BN117" t="str">
            <v/>
          </cell>
          <cell r="BO117" t="str">
            <v/>
          </cell>
          <cell r="BP117" t="str">
            <v/>
          </cell>
          <cell r="BQ117" t="str">
            <v/>
          </cell>
          <cell r="BR117" t="str">
            <v/>
          </cell>
          <cell r="BS117" t="str">
            <v/>
          </cell>
          <cell r="BT117" t="str">
            <v/>
          </cell>
          <cell r="BU117" t="str">
            <v/>
          </cell>
          <cell r="BV117" t="str">
            <v/>
          </cell>
          <cell r="BW117" t="str">
            <v/>
          </cell>
          <cell r="BX117" t="str">
            <v/>
          </cell>
          <cell r="BY117" t="str">
            <v/>
          </cell>
          <cell r="BZ117" t="str">
            <v/>
          </cell>
          <cell r="CA117" t="str">
            <v/>
          </cell>
          <cell r="CB117" t="str">
            <v/>
          </cell>
          <cell r="CC117" t="str">
            <v/>
          </cell>
          <cell r="CD117" t="str">
            <v/>
          </cell>
          <cell r="CE117" t="str">
            <v/>
          </cell>
          <cell r="CF117" t="str">
            <v/>
          </cell>
          <cell r="CG117" t="str">
            <v/>
          </cell>
          <cell r="CH117" t="str">
            <v/>
          </cell>
          <cell r="CI117" t="str">
            <v/>
          </cell>
          <cell r="CJ117" t="str">
            <v/>
          </cell>
          <cell r="CK117" t="str">
            <v/>
          </cell>
          <cell r="CL117" t="str">
            <v/>
          </cell>
          <cell r="CM117" t="str">
            <v/>
          </cell>
          <cell r="CN117" t="str">
            <v/>
          </cell>
          <cell r="CO117" t="str">
            <v/>
          </cell>
          <cell r="CP117" t="str">
            <v/>
          </cell>
          <cell r="CQ117" t="str">
            <v/>
          </cell>
          <cell r="CR117" t="str">
            <v/>
          </cell>
          <cell r="CS117" t="str">
            <v/>
          </cell>
          <cell r="CT117" t="str">
            <v/>
          </cell>
          <cell r="CU117" t="str">
            <v/>
          </cell>
          <cell r="CV117" t="str">
            <v/>
          </cell>
          <cell r="CW117" t="str">
            <v/>
          </cell>
          <cell r="CX117" t="str">
            <v/>
          </cell>
          <cell r="CY117" t="str">
            <v/>
          </cell>
          <cell r="CZ117" t="str">
            <v/>
          </cell>
          <cell r="DA117" t="str">
            <v/>
          </cell>
          <cell r="DB117" t="str">
            <v/>
          </cell>
          <cell r="DC117" t="str">
            <v/>
          </cell>
          <cell r="DD117" t="str">
            <v/>
          </cell>
          <cell r="DE117" t="str">
            <v/>
          </cell>
          <cell r="DF117" t="str">
            <v/>
          </cell>
          <cell r="DG117" t="str">
            <v/>
          </cell>
          <cell r="DH117" t="str">
            <v/>
          </cell>
          <cell r="DI117" t="str">
            <v/>
          </cell>
          <cell r="DJ117" t="str">
            <v/>
          </cell>
          <cell r="DK117" t="str">
            <v/>
          </cell>
          <cell r="DL117" t="str">
            <v/>
          </cell>
          <cell r="DM117" t="str">
            <v/>
          </cell>
          <cell r="DN117" t="str">
            <v/>
          </cell>
          <cell r="DO117" t="str">
            <v/>
          </cell>
          <cell r="DP117" t="str">
            <v/>
          </cell>
          <cell r="DQ117" t="str">
            <v/>
          </cell>
          <cell r="DR117" t="str">
            <v/>
          </cell>
          <cell r="DS117" t="str">
            <v/>
          </cell>
          <cell r="DT117" t="str">
            <v/>
          </cell>
          <cell r="DU117" t="str">
            <v/>
          </cell>
          <cell r="DV117" t="str">
            <v/>
          </cell>
          <cell r="DW117" t="str">
            <v/>
          </cell>
          <cell r="DX117" t="str">
            <v/>
          </cell>
          <cell r="DY117" t="str">
            <v/>
          </cell>
          <cell r="DZ117" t="str">
            <v/>
          </cell>
          <cell r="EA117" t="str">
            <v/>
          </cell>
          <cell r="EB117" t="str">
            <v/>
          </cell>
          <cell r="EC117" t="str">
            <v/>
          </cell>
          <cell r="ED117" t="str">
            <v/>
          </cell>
          <cell r="EE117" t="str">
            <v/>
          </cell>
          <cell r="EF117" t="str">
            <v/>
          </cell>
          <cell r="EG117" t="str">
            <v/>
          </cell>
          <cell r="EH117" t="str">
            <v/>
          </cell>
          <cell r="EI117" t="str">
            <v/>
          </cell>
          <cell r="EJ117" t="str">
            <v/>
          </cell>
          <cell r="EK117" t="str">
            <v/>
          </cell>
          <cell r="EL117" t="str">
            <v/>
          </cell>
          <cell r="EM117" t="str">
            <v/>
          </cell>
          <cell r="EN117" t="str">
            <v/>
          </cell>
          <cell r="EO117" t="str">
            <v/>
          </cell>
          <cell r="EP117" t="str">
            <v/>
          </cell>
          <cell r="EQ117" t="str">
            <v/>
          </cell>
          <cell r="ER117" t="str">
            <v/>
          </cell>
          <cell r="ES117" t="str">
            <v/>
          </cell>
          <cell r="ET117" t="str">
            <v/>
          </cell>
          <cell r="EU117" t="str">
            <v/>
          </cell>
          <cell r="EV117" t="str">
            <v/>
          </cell>
          <cell r="EW117" t="str">
            <v/>
          </cell>
          <cell r="EX117" t="str">
            <v/>
          </cell>
          <cell r="EY117" t="str">
            <v/>
          </cell>
          <cell r="EZ117" t="str">
            <v/>
          </cell>
          <cell r="FA117" t="str">
            <v/>
          </cell>
          <cell r="FB117" t="str">
            <v/>
          </cell>
          <cell r="FC117" t="str">
            <v/>
          </cell>
          <cell r="FD117" t="str">
            <v/>
          </cell>
          <cell r="FE117" t="str">
            <v/>
          </cell>
          <cell r="FF117" t="str">
            <v/>
          </cell>
          <cell r="FG117" t="str">
            <v/>
          </cell>
          <cell r="FH117" t="str">
            <v/>
          </cell>
          <cell r="FI117" t="str">
            <v/>
          </cell>
          <cell r="FJ117">
            <v>0</v>
          </cell>
          <cell r="FK117">
            <v>0</v>
          </cell>
          <cell r="FL117">
            <v>0</v>
          </cell>
          <cell r="FM117">
            <v>0</v>
          </cell>
          <cell r="FN117">
            <v>0</v>
          </cell>
          <cell r="FO117">
            <v>0</v>
          </cell>
          <cell r="FP117">
            <v>0</v>
          </cell>
          <cell r="FQ117">
            <v>0</v>
          </cell>
          <cell r="FR117">
            <v>0</v>
          </cell>
          <cell r="FS117">
            <v>0</v>
          </cell>
          <cell r="FT117">
            <v>0</v>
          </cell>
          <cell r="FU117">
            <v>0</v>
          </cell>
          <cell r="FV117">
            <v>0</v>
          </cell>
          <cell r="FW117">
            <v>0</v>
          </cell>
          <cell r="FX117">
            <v>0</v>
          </cell>
          <cell r="FY117">
            <v>0</v>
          </cell>
          <cell r="FZ117">
            <v>0</v>
          </cell>
          <cell r="GA117">
            <v>0</v>
          </cell>
          <cell r="GB117">
            <v>0</v>
          </cell>
        </row>
        <row r="118">
          <cell r="V118" t="str">
            <v>PRODUCTION</v>
          </cell>
          <cell r="W118">
            <v>150</v>
          </cell>
          <cell r="X118">
            <v>950000</v>
          </cell>
          <cell r="Y118">
            <v>0</v>
          </cell>
          <cell r="Z118">
            <v>0</v>
          </cell>
          <cell r="AA118">
            <v>950000.03</v>
          </cell>
          <cell r="AB118" t="str">
            <v/>
          </cell>
          <cell r="AC118" t="str">
            <v/>
          </cell>
          <cell r="AD118" t="str">
            <v/>
          </cell>
          <cell r="AE118" t="str">
            <v/>
          </cell>
          <cell r="AF118" t="str">
            <v/>
          </cell>
          <cell r="AG118" t="str">
            <v/>
          </cell>
          <cell r="AH118" t="str">
            <v/>
          </cell>
          <cell r="AI118" t="str">
            <v/>
          </cell>
          <cell r="AJ118" t="str">
            <v/>
          </cell>
          <cell r="AK118" t="str">
            <v/>
          </cell>
          <cell r="AL118" t="str">
            <v/>
          </cell>
          <cell r="AM118" t="str">
            <v/>
          </cell>
          <cell r="AN118" t="str">
            <v/>
          </cell>
          <cell r="AO118" t="str">
            <v/>
          </cell>
          <cell r="AP118" t="str">
            <v/>
          </cell>
          <cell r="AQ118" t="str">
            <v/>
          </cell>
          <cell r="AR118" t="str">
            <v/>
          </cell>
          <cell r="AS118" t="str">
            <v/>
          </cell>
          <cell r="AT118" t="str">
            <v/>
          </cell>
          <cell r="AU118" t="str">
            <v/>
          </cell>
          <cell r="AV118" t="str">
            <v/>
          </cell>
          <cell r="AW118" t="str">
            <v/>
          </cell>
          <cell r="AX118" t="str">
            <v/>
          </cell>
          <cell r="AY118">
            <v>0</v>
          </cell>
          <cell r="AZ118">
            <v>0</v>
          </cell>
          <cell r="BA118">
            <v>0</v>
          </cell>
          <cell r="BB118">
            <v>10000</v>
          </cell>
          <cell r="BC118">
            <v>75714.289999999994</v>
          </cell>
          <cell r="BD118">
            <v>75714.289999999994</v>
          </cell>
          <cell r="BE118">
            <v>105714.29</v>
          </cell>
          <cell r="BF118">
            <v>115714.29</v>
          </cell>
          <cell r="BG118">
            <v>135714.29</v>
          </cell>
          <cell r="BH118">
            <v>145714.29</v>
          </cell>
          <cell r="BI118" t="str">
            <v/>
          </cell>
          <cell r="BJ118">
            <v>155714.29</v>
          </cell>
          <cell r="BK118">
            <v>130000</v>
          </cell>
          <cell r="BL118" t="str">
            <v/>
          </cell>
          <cell r="BM118" t="str">
            <v/>
          </cell>
          <cell r="BN118" t="str">
            <v/>
          </cell>
          <cell r="BO118" t="str">
            <v/>
          </cell>
          <cell r="BP118" t="str">
            <v/>
          </cell>
          <cell r="BQ118" t="str">
            <v/>
          </cell>
          <cell r="BR118" t="str">
            <v/>
          </cell>
          <cell r="BS118" t="str">
            <v/>
          </cell>
          <cell r="BT118" t="str">
            <v/>
          </cell>
          <cell r="BU118" t="str">
            <v/>
          </cell>
          <cell r="BV118" t="str">
            <v/>
          </cell>
          <cell r="BW118" t="str">
            <v/>
          </cell>
          <cell r="BX118" t="str">
            <v/>
          </cell>
          <cell r="BY118" t="str">
            <v/>
          </cell>
          <cell r="BZ118" t="str">
            <v/>
          </cell>
          <cell r="CA118" t="str">
            <v/>
          </cell>
          <cell r="CB118" t="str">
            <v/>
          </cell>
          <cell r="CC118" t="str">
            <v/>
          </cell>
          <cell r="CD118" t="str">
            <v/>
          </cell>
          <cell r="CE118" t="str">
            <v/>
          </cell>
          <cell r="CF118" t="str">
            <v/>
          </cell>
          <cell r="CG118" t="str">
            <v/>
          </cell>
          <cell r="CH118" t="str">
            <v/>
          </cell>
          <cell r="CI118" t="str">
            <v/>
          </cell>
          <cell r="CJ118" t="str">
            <v/>
          </cell>
          <cell r="CK118" t="str">
            <v/>
          </cell>
          <cell r="CL118" t="str">
            <v/>
          </cell>
          <cell r="CM118" t="str">
            <v/>
          </cell>
          <cell r="CN118" t="str">
            <v/>
          </cell>
          <cell r="CO118" t="str">
            <v/>
          </cell>
          <cell r="CP118" t="str">
            <v/>
          </cell>
          <cell r="CQ118" t="str">
            <v/>
          </cell>
          <cell r="CR118" t="str">
            <v/>
          </cell>
          <cell r="CS118" t="str">
            <v/>
          </cell>
          <cell r="CT118" t="str">
            <v/>
          </cell>
          <cell r="CU118" t="str">
            <v/>
          </cell>
          <cell r="CV118" t="str">
            <v/>
          </cell>
          <cell r="CW118" t="str">
            <v/>
          </cell>
          <cell r="CX118" t="str">
            <v/>
          </cell>
          <cell r="CY118" t="str">
            <v/>
          </cell>
          <cell r="CZ118" t="str">
            <v/>
          </cell>
          <cell r="DA118" t="str">
            <v/>
          </cell>
          <cell r="DB118" t="str">
            <v/>
          </cell>
          <cell r="DC118" t="str">
            <v/>
          </cell>
          <cell r="DD118" t="str">
            <v/>
          </cell>
          <cell r="DE118" t="str">
            <v/>
          </cell>
          <cell r="DF118" t="str">
            <v/>
          </cell>
          <cell r="DG118" t="str">
            <v/>
          </cell>
          <cell r="DH118" t="str">
            <v/>
          </cell>
          <cell r="DI118" t="str">
            <v/>
          </cell>
          <cell r="DJ118" t="str">
            <v/>
          </cell>
          <cell r="DK118" t="str">
            <v/>
          </cell>
          <cell r="DL118" t="str">
            <v/>
          </cell>
          <cell r="DM118" t="str">
            <v/>
          </cell>
          <cell r="DN118" t="str">
            <v/>
          </cell>
          <cell r="DO118" t="str">
            <v/>
          </cell>
          <cell r="DP118" t="str">
            <v/>
          </cell>
          <cell r="DQ118" t="str">
            <v/>
          </cell>
          <cell r="DR118" t="str">
            <v/>
          </cell>
          <cell r="DS118" t="str">
            <v/>
          </cell>
          <cell r="DT118" t="str">
            <v/>
          </cell>
          <cell r="DU118" t="str">
            <v/>
          </cell>
          <cell r="DV118" t="str">
            <v/>
          </cell>
          <cell r="DW118" t="str">
            <v/>
          </cell>
          <cell r="DX118" t="str">
            <v/>
          </cell>
          <cell r="DY118" t="str">
            <v/>
          </cell>
          <cell r="DZ118" t="str">
            <v/>
          </cell>
          <cell r="EA118" t="str">
            <v/>
          </cell>
          <cell r="EB118" t="str">
            <v/>
          </cell>
          <cell r="EC118" t="str">
            <v/>
          </cell>
          <cell r="ED118" t="str">
            <v/>
          </cell>
          <cell r="EE118" t="str">
            <v/>
          </cell>
          <cell r="EF118" t="str">
            <v/>
          </cell>
          <cell r="EG118" t="str">
            <v/>
          </cell>
          <cell r="EH118" t="str">
            <v/>
          </cell>
          <cell r="EI118" t="str">
            <v/>
          </cell>
          <cell r="EJ118" t="str">
            <v/>
          </cell>
          <cell r="EK118" t="str">
            <v/>
          </cell>
          <cell r="EL118" t="str">
            <v/>
          </cell>
          <cell r="EM118" t="str">
            <v/>
          </cell>
          <cell r="EN118" t="str">
            <v/>
          </cell>
          <cell r="EO118" t="str">
            <v/>
          </cell>
          <cell r="EP118" t="str">
            <v/>
          </cell>
          <cell r="EQ118" t="str">
            <v/>
          </cell>
          <cell r="ER118" t="str">
            <v/>
          </cell>
          <cell r="ES118" t="str">
            <v/>
          </cell>
          <cell r="ET118" t="str">
            <v/>
          </cell>
          <cell r="EU118" t="str">
            <v/>
          </cell>
          <cell r="EV118" t="str">
            <v/>
          </cell>
          <cell r="EW118" t="str">
            <v/>
          </cell>
          <cell r="EX118" t="str">
            <v/>
          </cell>
          <cell r="EY118" t="str">
            <v/>
          </cell>
          <cell r="EZ118" t="str">
            <v/>
          </cell>
          <cell r="FA118" t="str">
            <v/>
          </cell>
          <cell r="FB118" t="str">
            <v/>
          </cell>
          <cell r="FC118" t="str">
            <v/>
          </cell>
          <cell r="FD118" t="str">
            <v/>
          </cell>
          <cell r="FE118" t="str">
            <v/>
          </cell>
          <cell r="FF118" t="str">
            <v/>
          </cell>
          <cell r="FG118" t="str">
            <v/>
          </cell>
          <cell r="FH118" t="str">
            <v/>
          </cell>
          <cell r="FI118" t="str">
            <v/>
          </cell>
          <cell r="FJ118">
            <v>0</v>
          </cell>
          <cell r="FK118">
            <v>0</v>
          </cell>
          <cell r="FL118">
            <v>0</v>
          </cell>
          <cell r="FM118">
            <v>0</v>
          </cell>
          <cell r="FN118">
            <v>0</v>
          </cell>
          <cell r="FO118">
            <v>0</v>
          </cell>
          <cell r="FP118">
            <v>0</v>
          </cell>
          <cell r="FQ118">
            <v>0</v>
          </cell>
          <cell r="FR118">
            <v>0</v>
          </cell>
          <cell r="FS118">
            <v>0</v>
          </cell>
          <cell r="FT118">
            <v>0</v>
          </cell>
          <cell r="FU118">
            <v>0</v>
          </cell>
          <cell r="FV118">
            <v>0</v>
          </cell>
          <cell r="FW118">
            <v>0</v>
          </cell>
          <cell r="FX118">
            <v>0</v>
          </cell>
          <cell r="FY118">
            <v>0</v>
          </cell>
          <cell r="FZ118">
            <v>0</v>
          </cell>
          <cell r="GA118">
            <v>0</v>
          </cell>
          <cell r="GB118">
            <v>0</v>
          </cell>
        </row>
        <row r="119">
          <cell r="V119" t="str">
            <v>INK &amp; PAINT</v>
          </cell>
          <cell r="W119">
            <v>8</v>
          </cell>
          <cell r="X119">
            <v>32400</v>
          </cell>
          <cell r="Y119">
            <v>0</v>
          </cell>
          <cell r="Z119">
            <v>0</v>
          </cell>
          <cell r="AA119" t="str">
            <v/>
          </cell>
          <cell r="AB119" t="str">
            <v/>
          </cell>
          <cell r="AC119" t="str">
            <v/>
          </cell>
          <cell r="AD119" t="str">
            <v/>
          </cell>
          <cell r="AE119" t="str">
            <v/>
          </cell>
          <cell r="AF119" t="str">
            <v/>
          </cell>
          <cell r="AG119" t="str">
            <v/>
          </cell>
          <cell r="AH119" t="str">
            <v/>
          </cell>
          <cell r="AI119" t="str">
            <v/>
          </cell>
          <cell r="AJ119" t="str">
            <v/>
          </cell>
          <cell r="AK119" t="str">
            <v/>
          </cell>
          <cell r="AL119" t="str">
            <v/>
          </cell>
          <cell r="AM119" t="str">
            <v/>
          </cell>
          <cell r="AN119" t="str">
            <v/>
          </cell>
          <cell r="AO119" t="str">
            <v/>
          </cell>
          <cell r="AP119" t="str">
            <v/>
          </cell>
          <cell r="AQ119" t="str">
            <v/>
          </cell>
          <cell r="AR119" t="str">
            <v/>
          </cell>
          <cell r="AS119" t="str">
            <v/>
          </cell>
          <cell r="AT119" t="str">
            <v/>
          </cell>
          <cell r="AU119" t="str">
            <v/>
          </cell>
          <cell r="AV119" t="str">
            <v/>
          </cell>
          <cell r="AW119" t="str">
            <v/>
          </cell>
          <cell r="AX119" t="str">
            <v/>
          </cell>
          <cell r="AY119" t="str">
            <v/>
          </cell>
          <cell r="AZ119" t="str">
            <v/>
          </cell>
          <cell r="BA119" t="str">
            <v/>
          </cell>
          <cell r="BB119" t="str">
            <v/>
          </cell>
          <cell r="BC119" t="str">
            <v/>
          </cell>
          <cell r="BD119" t="str">
            <v/>
          </cell>
          <cell r="BE119" t="str">
            <v/>
          </cell>
          <cell r="BF119">
            <v>1800</v>
          </cell>
          <cell r="BG119">
            <v>3600</v>
          </cell>
          <cell r="BH119">
            <v>5400</v>
          </cell>
          <cell r="BI119" t="str">
            <v/>
          </cell>
          <cell r="BJ119">
            <v>7200</v>
          </cell>
          <cell r="BK119">
            <v>7200</v>
          </cell>
          <cell r="BL119">
            <v>7200</v>
          </cell>
          <cell r="BM119" t="str">
            <v/>
          </cell>
          <cell r="BN119" t="str">
            <v/>
          </cell>
          <cell r="BO119" t="str">
            <v/>
          </cell>
          <cell r="BP119" t="str">
            <v/>
          </cell>
          <cell r="BQ119" t="str">
            <v/>
          </cell>
          <cell r="BR119" t="str">
            <v/>
          </cell>
          <cell r="BS119" t="str">
            <v/>
          </cell>
          <cell r="BT119" t="str">
            <v/>
          </cell>
          <cell r="BU119" t="str">
            <v/>
          </cell>
          <cell r="BV119" t="str">
            <v/>
          </cell>
          <cell r="BW119" t="str">
            <v/>
          </cell>
          <cell r="BX119" t="str">
            <v/>
          </cell>
          <cell r="BY119" t="str">
            <v/>
          </cell>
          <cell r="BZ119" t="str">
            <v/>
          </cell>
          <cell r="CA119" t="str">
            <v/>
          </cell>
          <cell r="CB119" t="str">
            <v/>
          </cell>
          <cell r="CC119" t="str">
            <v/>
          </cell>
          <cell r="CD119" t="str">
            <v/>
          </cell>
          <cell r="CE119" t="str">
            <v/>
          </cell>
          <cell r="CF119" t="str">
            <v/>
          </cell>
          <cell r="CG119" t="str">
            <v/>
          </cell>
          <cell r="CH119" t="str">
            <v/>
          </cell>
          <cell r="CI119" t="str">
            <v/>
          </cell>
          <cell r="CJ119" t="str">
            <v/>
          </cell>
          <cell r="CK119" t="str">
            <v/>
          </cell>
          <cell r="CL119" t="str">
            <v/>
          </cell>
          <cell r="CM119" t="str">
            <v/>
          </cell>
          <cell r="CN119" t="str">
            <v/>
          </cell>
          <cell r="CO119" t="str">
            <v/>
          </cell>
          <cell r="CP119" t="str">
            <v/>
          </cell>
          <cell r="CQ119" t="str">
            <v/>
          </cell>
          <cell r="CR119" t="str">
            <v/>
          </cell>
          <cell r="CS119" t="str">
            <v/>
          </cell>
          <cell r="CT119" t="str">
            <v/>
          </cell>
          <cell r="CU119" t="str">
            <v/>
          </cell>
          <cell r="CV119" t="str">
            <v/>
          </cell>
          <cell r="CW119" t="str">
            <v/>
          </cell>
          <cell r="CX119" t="str">
            <v/>
          </cell>
          <cell r="CY119" t="str">
            <v/>
          </cell>
          <cell r="CZ119" t="str">
            <v/>
          </cell>
          <cell r="DA119" t="str">
            <v/>
          </cell>
          <cell r="DB119" t="str">
            <v/>
          </cell>
          <cell r="DC119" t="str">
            <v/>
          </cell>
          <cell r="DD119" t="str">
            <v/>
          </cell>
          <cell r="DE119" t="str">
            <v/>
          </cell>
          <cell r="DF119" t="str">
            <v/>
          </cell>
          <cell r="DG119" t="str">
            <v/>
          </cell>
          <cell r="DH119" t="str">
            <v/>
          </cell>
          <cell r="DI119" t="str">
            <v/>
          </cell>
          <cell r="DJ119" t="str">
            <v/>
          </cell>
          <cell r="DK119" t="str">
            <v/>
          </cell>
          <cell r="DL119" t="str">
            <v/>
          </cell>
          <cell r="DM119" t="str">
            <v/>
          </cell>
          <cell r="DN119" t="str">
            <v/>
          </cell>
          <cell r="DO119" t="str">
            <v/>
          </cell>
          <cell r="DP119" t="str">
            <v/>
          </cell>
          <cell r="DQ119" t="str">
            <v/>
          </cell>
          <cell r="DR119" t="str">
            <v/>
          </cell>
          <cell r="DS119" t="str">
            <v/>
          </cell>
          <cell r="DT119" t="str">
            <v/>
          </cell>
          <cell r="DU119" t="str">
            <v/>
          </cell>
          <cell r="DV119" t="str">
            <v/>
          </cell>
          <cell r="DW119" t="str">
            <v/>
          </cell>
          <cell r="DX119" t="str">
            <v/>
          </cell>
          <cell r="DY119" t="str">
            <v/>
          </cell>
          <cell r="DZ119" t="str">
            <v/>
          </cell>
          <cell r="EA119" t="str">
            <v/>
          </cell>
          <cell r="EB119" t="str">
            <v/>
          </cell>
          <cell r="EC119" t="str">
            <v/>
          </cell>
          <cell r="ED119" t="str">
            <v/>
          </cell>
          <cell r="EE119" t="str">
            <v/>
          </cell>
          <cell r="EF119" t="str">
            <v/>
          </cell>
          <cell r="EG119" t="str">
            <v/>
          </cell>
          <cell r="EH119" t="str">
            <v/>
          </cell>
          <cell r="EI119" t="str">
            <v/>
          </cell>
          <cell r="EJ119" t="str">
            <v/>
          </cell>
          <cell r="EK119" t="str">
            <v/>
          </cell>
          <cell r="EL119" t="str">
            <v/>
          </cell>
          <cell r="EM119" t="str">
            <v/>
          </cell>
          <cell r="EN119" t="str">
            <v/>
          </cell>
          <cell r="EO119" t="str">
            <v/>
          </cell>
          <cell r="EP119" t="str">
            <v/>
          </cell>
          <cell r="EQ119" t="str">
            <v/>
          </cell>
          <cell r="ER119" t="str">
            <v/>
          </cell>
          <cell r="ES119" t="str">
            <v/>
          </cell>
          <cell r="ET119" t="str">
            <v/>
          </cell>
          <cell r="EU119" t="str">
            <v/>
          </cell>
          <cell r="EV119" t="str">
            <v/>
          </cell>
          <cell r="EW119" t="str">
            <v/>
          </cell>
          <cell r="EX119" t="str">
            <v/>
          </cell>
          <cell r="EY119" t="str">
            <v/>
          </cell>
          <cell r="EZ119" t="str">
            <v/>
          </cell>
          <cell r="FA119" t="str">
            <v/>
          </cell>
          <cell r="FB119" t="str">
            <v/>
          </cell>
          <cell r="FC119" t="str">
            <v/>
          </cell>
          <cell r="FD119" t="str">
            <v/>
          </cell>
          <cell r="FE119" t="str">
            <v/>
          </cell>
          <cell r="FF119" t="str">
            <v/>
          </cell>
          <cell r="FG119" t="str">
            <v/>
          </cell>
          <cell r="FH119" t="str">
            <v/>
          </cell>
          <cell r="FI119" t="str">
            <v/>
          </cell>
          <cell r="FJ119">
            <v>0</v>
          </cell>
          <cell r="FK119">
            <v>0</v>
          </cell>
          <cell r="FL119">
            <v>0</v>
          </cell>
          <cell r="FM119">
            <v>0</v>
          </cell>
          <cell r="FN119">
            <v>0</v>
          </cell>
          <cell r="FO119">
            <v>0</v>
          </cell>
          <cell r="FP119">
            <v>0</v>
          </cell>
          <cell r="FQ119">
            <v>0</v>
          </cell>
          <cell r="FR119">
            <v>0</v>
          </cell>
          <cell r="FS119">
            <v>0</v>
          </cell>
          <cell r="FT119">
            <v>0</v>
          </cell>
          <cell r="FU119">
            <v>0</v>
          </cell>
          <cell r="FV119">
            <v>0</v>
          </cell>
          <cell r="FW119">
            <v>0</v>
          </cell>
          <cell r="FX119">
            <v>0</v>
          </cell>
          <cell r="FY119">
            <v>0</v>
          </cell>
          <cell r="FZ119">
            <v>0</v>
          </cell>
          <cell r="GA119">
            <v>0</v>
          </cell>
          <cell r="GB119">
            <v>0</v>
          </cell>
        </row>
        <row r="120">
          <cell r="V120" t="str">
            <v>INK &amp; PAINT</v>
          </cell>
          <cell r="W120">
            <v>8</v>
          </cell>
          <cell r="X120">
            <v>72000</v>
          </cell>
          <cell r="Y120">
            <v>0</v>
          </cell>
          <cell r="Z120">
            <v>0</v>
          </cell>
          <cell r="AA120">
            <v>72000</v>
          </cell>
          <cell r="AB120" t="str">
            <v/>
          </cell>
          <cell r="AC120" t="str">
            <v/>
          </cell>
          <cell r="AD120" t="str">
            <v/>
          </cell>
          <cell r="AE120" t="str">
            <v/>
          </cell>
          <cell r="AF120" t="str">
            <v/>
          </cell>
          <cell r="AG120" t="str">
            <v/>
          </cell>
          <cell r="AH120" t="str">
            <v/>
          </cell>
          <cell r="AI120" t="str">
            <v/>
          </cell>
          <cell r="AJ120" t="str">
            <v/>
          </cell>
          <cell r="AK120" t="str">
            <v/>
          </cell>
          <cell r="AL120" t="str">
            <v/>
          </cell>
          <cell r="AM120" t="str">
            <v/>
          </cell>
          <cell r="AN120" t="str">
            <v/>
          </cell>
          <cell r="AO120" t="str">
            <v/>
          </cell>
          <cell r="AP120" t="str">
            <v/>
          </cell>
          <cell r="AQ120" t="str">
            <v/>
          </cell>
          <cell r="AR120" t="str">
            <v/>
          </cell>
          <cell r="AS120" t="str">
            <v/>
          </cell>
          <cell r="AT120" t="str">
            <v/>
          </cell>
          <cell r="AU120" t="str">
            <v/>
          </cell>
          <cell r="AV120" t="str">
            <v/>
          </cell>
          <cell r="AW120" t="str">
            <v/>
          </cell>
          <cell r="AX120" t="str">
            <v/>
          </cell>
          <cell r="AY120" t="str">
            <v/>
          </cell>
          <cell r="AZ120" t="str">
            <v/>
          </cell>
          <cell r="BA120" t="str">
            <v/>
          </cell>
          <cell r="BB120" t="str">
            <v/>
          </cell>
          <cell r="BC120" t="str">
            <v/>
          </cell>
          <cell r="BD120" t="str">
            <v/>
          </cell>
          <cell r="BE120" t="str">
            <v/>
          </cell>
          <cell r="BF120" t="str">
            <v/>
          </cell>
          <cell r="BG120">
            <v>8000</v>
          </cell>
          <cell r="BH120">
            <v>10000</v>
          </cell>
          <cell r="BI120" t="str">
            <v/>
          </cell>
          <cell r="BJ120">
            <v>14000</v>
          </cell>
          <cell r="BK120">
            <v>15000</v>
          </cell>
          <cell r="BL120">
            <v>15000</v>
          </cell>
          <cell r="BM120">
            <v>10000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</row>
        <row r="121">
          <cell r="X121">
            <v>1262000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3750</v>
          </cell>
          <cell r="AN121">
            <v>7500</v>
          </cell>
          <cell r="AO121">
            <v>11250</v>
          </cell>
          <cell r="AP121">
            <v>15000</v>
          </cell>
          <cell r="AQ121">
            <v>15000</v>
          </cell>
          <cell r="AR121">
            <v>15000</v>
          </cell>
          <cell r="AS121">
            <v>15000</v>
          </cell>
          <cell r="AT121">
            <v>15000</v>
          </cell>
          <cell r="AU121">
            <v>15000</v>
          </cell>
          <cell r="AV121">
            <v>15000</v>
          </cell>
          <cell r="AW121">
            <v>15000</v>
          </cell>
          <cell r="AX121">
            <v>15000</v>
          </cell>
          <cell r="AY121">
            <v>15000</v>
          </cell>
          <cell r="AZ121">
            <v>15000</v>
          </cell>
          <cell r="BA121">
            <v>0</v>
          </cell>
          <cell r="BB121">
            <v>28125</v>
          </cell>
          <cell r="BC121">
            <v>56250</v>
          </cell>
          <cell r="BD121">
            <v>84375</v>
          </cell>
          <cell r="BE121">
            <v>75000</v>
          </cell>
          <cell r="BF121">
            <v>76800</v>
          </cell>
          <cell r="BG121">
            <v>78600</v>
          </cell>
          <cell r="BH121">
            <v>80400</v>
          </cell>
          <cell r="BI121">
            <v>0</v>
          </cell>
          <cell r="BJ121">
            <v>82200</v>
          </cell>
          <cell r="BK121">
            <v>7200</v>
          </cell>
          <cell r="BL121">
            <v>7200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</row>
        <row r="122">
          <cell r="X122" t="str">
            <v>cost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3750</v>
          </cell>
          <cell r="AN122">
            <v>7250</v>
          </cell>
          <cell r="AO122">
            <v>5000</v>
          </cell>
          <cell r="AP122">
            <v>5000</v>
          </cell>
          <cell r="AQ122">
            <v>5000</v>
          </cell>
          <cell r="AR122">
            <v>6732.0178636821202</v>
          </cell>
          <cell r="AS122">
            <v>6875.9564301131923</v>
          </cell>
          <cell r="AT122">
            <v>13392</v>
          </cell>
          <cell r="AU122">
            <v>17000</v>
          </cell>
          <cell r="AV122">
            <v>17000</v>
          </cell>
          <cell r="AW122">
            <v>17000</v>
          </cell>
          <cell r="AX122">
            <v>17000</v>
          </cell>
          <cell r="AY122">
            <v>17000</v>
          </cell>
          <cell r="AZ122">
            <v>17000</v>
          </cell>
          <cell r="BA122">
            <v>25000</v>
          </cell>
          <cell r="BB122">
            <v>25000</v>
          </cell>
          <cell r="BC122">
            <v>90714.29</v>
          </cell>
          <cell r="BD122">
            <v>90714.29</v>
          </cell>
          <cell r="BE122">
            <v>120714.29</v>
          </cell>
          <cell r="BF122">
            <v>115714.29</v>
          </cell>
          <cell r="BG122">
            <v>143714.29</v>
          </cell>
          <cell r="BH122">
            <v>155714.29</v>
          </cell>
          <cell r="BI122">
            <v>0</v>
          </cell>
          <cell r="BJ122">
            <v>169714.29</v>
          </cell>
          <cell r="BK122">
            <v>145000</v>
          </cell>
          <cell r="BL122">
            <v>15000</v>
          </cell>
          <cell r="BM122">
            <v>10000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</row>
        <row r="123">
          <cell r="T123" t="str">
            <v>ACTUAL COST TO DATE</v>
          </cell>
          <cell r="U123">
            <v>0</v>
          </cell>
          <cell r="V123">
            <v>0</v>
          </cell>
          <cell r="W123">
            <v>0</v>
          </cell>
          <cell r="X123" t="str">
            <v>cumulative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3750</v>
          </cell>
          <cell r="AN123">
            <v>11000</v>
          </cell>
          <cell r="AO123">
            <v>16000</v>
          </cell>
          <cell r="AP123">
            <v>21000</v>
          </cell>
          <cell r="AQ123">
            <v>26000</v>
          </cell>
          <cell r="AR123">
            <v>32732.017863682122</v>
          </cell>
          <cell r="AS123">
            <v>39607.974293795312</v>
          </cell>
          <cell r="AT123">
            <v>52999.974293795312</v>
          </cell>
          <cell r="AU123">
            <v>69999.974293795312</v>
          </cell>
          <cell r="AV123">
            <v>86999.974293795312</v>
          </cell>
          <cell r="AW123">
            <v>103999.97429379531</v>
          </cell>
          <cell r="AX123">
            <v>120999.97429379531</v>
          </cell>
          <cell r="AY123">
            <v>137999.9742937953</v>
          </cell>
          <cell r="AZ123">
            <v>154999.9742937953</v>
          </cell>
          <cell r="BA123">
            <v>179999.9742937953</v>
          </cell>
          <cell r="BB123">
            <v>204999.9742937953</v>
          </cell>
          <cell r="BC123">
            <v>295714.26429379528</v>
          </cell>
          <cell r="BD123">
            <v>386428.55429379526</v>
          </cell>
          <cell r="BE123">
            <v>507142.84429379523</v>
          </cell>
          <cell r="BF123">
            <v>622857.13429379521</v>
          </cell>
          <cell r="BG123">
            <v>766571.42429379525</v>
          </cell>
          <cell r="BH123">
            <v>922285.71429379529</v>
          </cell>
          <cell r="BI123">
            <v>922285.71429379529</v>
          </cell>
          <cell r="BJ123">
            <v>1092000.0042937952</v>
          </cell>
          <cell r="BK123">
            <v>1237000.0042937952</v>
          </cell>
          <cell r="BL123">
            <v>1252000.0042937952</v>
          </cell>
          <cell r="BM123">
            <v>1262000.0042937952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K123">
            <v>0</v>
          </cell>
          <cell r="DL123" t="str">
            <v/>
          </cell>
          <cell r="DM123" t="str">
            <v/>
          </cell>
          <cell r="DN123" t="str">
            <v/>
          </cell>
          <cell r="DO123" t="str">
            <v/>
          </cell>
          <cell r="DP123" t="str">
            <v/>
          </cell>
          <cell r="DQ123" t="str">
            <v/>
          </cell>
          <cell r="DR123" t="str">
            <v/>
          </cell>
          <cell r="DS123" t="str">
            <v/>
          </cell>
          <cell r="DT123" t="str">
            <v/>
          </cell>
          <cell r="DU123" t="str">
            <v/>
          </cell>
          <cell r="DV123" t="str">
            <v/>
          </cell>
          <cell r="DW123" t="str">
            <v/>
          </cell>
          <cell r="DX123" t="str">
            <v/>
          </cell>
          <cell r="DY123" t="str">
            <v/>
          </cell>
          <cell r="DZ123" t="str">
            <v/>
          </cell>
          <cell r="EA123" t="str">
            <v/>
          </cell>
          <cell r="EB123" t="str">
            <v/>
          </cell>
          <cell r="EC123" t="str">
            <v/>
          </cell>
          <cell r="ED123" t="str">
            <v/>
          </cell>
          <cell r="EE123" t="str">
            <v/>
          </cell>
          <cell r="EF123" t="str">
            <v/>
          </cell>
          <cell r="EG123" t="str">
            <v/>
          </cell>
          <cell r="EH123" t="str">
            <v/>
          </cell>
          <cell r="EI123" t="str">
            <v/>
          </cell>
          <cell r="EJ123" t="str">
            <v/>
          </cell>
          <cell r="EK123" t="str">
            <v/>
          </cell>
          <cell r="EL123" t="str">
            <v/>
          </cell>
          <cell r="EM123" t="str">
            <v/>
          </cell>
          <cell r="EN123" t="str">
            <v/>
          </cell>
          <cell r="EO123" t="str">
            <v/>
          </cell>
          <cell r="EP123" t="str">
            <v/>
          </cell>
          <cell r="EQ123" t="str">
            <v/>
          </cell>
          <cell r="ER123" t="str">
            <v/>
          </cell>
          <cell r="ES123" t="str">
            <v/>
          </cell>
          <cell r="ET123" t="str">
            <v/>
          </cell>
          <cell r="EU123" t="str">
            <v/>
          </cell>
          <cell r="EV123" t="str">
            <v/>
          </cell>
        </row>
        <row r="124">
          <cell r="S124" t="str">
            <v>COST TO DATE</v>
          </cell>
          <cell r="T124" t="str">
            <v>ACTUAL COST TO DATE</v>
          </cell>
          <cell r="U124">
            <v>0</v>
          </cell>
          <cell r="V124" t="str">
            <v>DIRECT TO DATE</v>
          </cell>
          <cell r="W124" t="str">
            <v>BUDGET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 t="str">
            <v>ADJ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H124">
            <v>0</v>
          </cell>
          <cell r="DI124">
            <v>0</v>
          </cell>
          <cell r="DJ124">
            <v>0</v>
          </cell>
          <cell r="DK124">
            <v>0</v>
          </cell>
          <cell r="DL124" t="str">
            <v/>
          </cell>
          <cell r="DM124" t="str">
            <v/>
          </cell>
          <cell r="DN124" t="str">
            <v/>
          </cell>
          <cell r="DO124" t="str">
            <v/>
          </cell>
          <cell r="DP124" t="str">
            <v/>
          </cell>
          <cell r="DQ124" t="str">
            <v/>
          </cell>
          <cell r="DR124" t="str">
            <v/>
          </cell>
          <cell r="DS124" t="str">
            <v/>
          </cell>
          <cell r="DT124" t="str">
            <v/>
          </cell>
          <cell r="DU124" t="str">
            <v/>
          </cell>
          <cell r="DV124" t="str">
            <v/>
          </cell>
          <cell r="DW124" t="str">
            <v/>
          </cell>
          <cell r="DX124" t="str">
            <v/>
          </cell>
          <cell r="DY124" t="str">
            <v/>
          </cell>
          <cell r="DZ124" t="str">
            <v/>
          </cell>
          <cell r="EA124" t="str">
            <v/>
          </cell>
          <cell r="EB124" t="str">
            <v/>
          </cell>
          <cell r="EC124" t="str">
            <v/>
          </cell>
          <cell r="ED124" t="str">
            <v/>
          </cell>
          <cell r="EE124" t="str">
            <v/>
          </cell>
          <cell r="EF124" t="str">
            <v/>
          </cell>
          <cell r="EG124" t="str">
            <v/>
          </cell>
          <cell r="EH124" t="str">
            <v/>
          </cell>
          <cell r="EI124" t="str">
            <v/>
          </cell>
          <cell r="EJ124" t="str">
            <v/>
          </cell>
          <cell r="EK124" t="str">
            <v/>
          </cell>
          <cell r="EL124" t="str">
            <v/>
          </cell>
          <cell r="EM124" t="str">
            <v/>
          </cell>
          <cell r="EN124" t="str">
            <v/>
          </cell>
          <cell r="EO124" t="str">
            <v/>
          </cell>
          <cell r="EP124" t="str">
            <v/>
          </cell>
          <cell r="EQ124" t="str">
            <v/>
          </cell>
          <cell r="ER124" t="str">
            <v/>
          </cell>
          <cell r="ES124" t="str">
            <v/>
          </cell>
          <cell r="ET124" t="str">
            <v/>
          </cell>
          <cell r="EU124" t="str">
            <v/>
          </cell>
          <cell r="EV124" t="str">
            <v/>
          </cell>
          <cell r="EW124">
            <v>0</v>
          </cell>
          <cell r="EX124">
            <v>0</v>
          </cell>
          <cell r="EY124">
            <v>0</v>
          </cell>
          <cell r="EZ124">
            <v>0</v>
          </cell>
          <cell r="FA124">
            <v>0</v>
          </cell>
        </row>
        <row r="125">
          <cell r="S125" t="str">
            <v>COST TO DATE</v>
          </cell>
          <cell r="T125" t="str">
            <v>DEVELOPMENT</v>
          </cell>
          <cell r="U125">
            <v>0</v>
          </cell>
          <cell r="V125" t="str">
            <v>DIRECT TO DATE</v>
          </cell>
          <cell r="W125" t="str">
            <v>BUDGET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 t="str">
            <v>ADJ</v>
          </cell>
          <cell r="AD125">
            <v>0</v>
          </cell>
          <cell r="AE125">
            <v>556</v>
          </cell>
          <cell r="AF125">
            <v>0</v>
          </cell>
          <cell r="AG125">
            <v>0</v>
          </cell>
          <cell r="AH125">
            <v>225.55794045076053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</row>
        <row r="126">
          <cell r="T126" t="str">
            <v>DEVELOPMENT</v>
          </cell>
          <cell r="U126">
            <v>0.37622265856429798</v>
          </cell>
          <cell r="V126">
            <v>781.5579404507605</v>
          </cell>
          <cell r="W126">
            <v>257500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556</v>
          </cell>
          <cell r="AF126">
            <v>0</v>
          </cell>
          <cell r="AG126">
            <v>0</v>
          </cell>
          <cell r="AH126">
            <v>225.55794045076053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</row>
        <row r="127">
          <cell r="T127" t="str">
            <v>PRE PRODUCTION</v>
          </cell>
          <cell r="U127">
            <v>0.67267656191281877</v>
          </cell>
          <cell r="V127">
            <v>121081.78114430739</v>
          </cell>
          <cell r="W127">
            <v>180000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225.55628575430856</v>
          </cell>
          <cell r="AK127">
            <v>0</v>
          </cell>
          <cell r="AL127">
            <v>74.922477898637339</v>
          </cell>
          <cell r="AM127">
            <v>0</v>
          </cell>
          <cell r="AN127">
            <v>614.32809706842977</v>
          </cell>
          <cell r="AO127">
            <v>0</v>
          </cell>
          <cell r="AP127">
            <v>2915.9174162648774</v>
          </cell>
          <cell r="AQ127">
            <v>7867.1733779534479</v>
          </cell>
          <cell r="AR127">
            <v>4064.0451453240603</v>
          </cell>
          <cell r="AS127">
            <v>9041.3607883394416</v>
          </cell>
          <cell r="AT127">
            <v>11006.794436358707</v>
          </cell>
          <cell r="AU127">
            <v>11571.463629061991</v>
          </cell>
          <cell r="AV127">
            <v>9189.0230686597188</v>
          </cell>
          <cell r="AW127">
            <v>8134.0665271506159</v>
          </cell>
          <cell r="AX127">
            <v>9010.5715878441351</v>
          </cell>
          <cell r="AY127">
            <v>7642.9955473019645</v>
          </cell>
          <cell r="AZ127">
            <v>9370.5950551100541</v>
          </cell>
          <cell r="BA127">
            <v>6148.5211402163377</v>
          </cell>
          <cell r="BB127">
            <v>5646.163868004558</v>
          </cell>
          <cell r="BC127">
            <v>9356.6533685899794</v>
          </cell>
          <cell r="BD127">
            <v>4752.2</v>
          </cell>
          <cell r="BE127">
            <v>4449.4293274061238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</row>
        <row r="128">
          <cell r="T128" t="str">
            <v>PRE DOWNTIME</v>
          </cell>
          <cell r="U128">
            <v>0</v>
          </cell>
          <cell r="V128">
            <v>0</v>
          </cell>
          <cell r="W128">
            <v>60000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</row>
        <row r="129">
          <cell r="T129" t="str">
            <v>BACKGROUNDS</v>
          </cell>
          <cell r="U129">
            <v>0</v>
          </cell>
          <cell r="V129">
            <v>44274.066319164602</v>
          </cell>
          <cell r="W129">
            <v>60000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2168.5116182725365</v>
          </cell>
          <cell r="AV129">
            <v>4029.8235921001065</v>
          </cell>
          <cell r="AW129">
            <v>2928.7536192926427</v>
          </cell>
          <cell r="AX129">
            <v>3228.8156868971791</v>
          </cell>
          <cell r="AY129">
            <v>3195.1259861679241</v>
          </cell>
          <cell r="AZ129">
            <v>2118.903449655686</v>
          </cell>
          <cell r="BA129">
            <v>11760.823760630472</v>
          </cell>
          <cell r="BB129">
            <v>2853.6236495778326</v>
          </cell>
          <cell r="BC129">
            <v>3389.8502404685496</v>
          </cell>
          <cell r="BD129">
            <v>4416.6223200000004</v>
          </cell>
          <cell r="BE129">
            <v>4183.2123961016732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</row>
        <row r="130">
          <cell r="T130" t="str">
            <v>LAYOUTS</v>
          </cell>
          <cell r="U130">
            <v>9.9009759709437734E-2</v>
          </cell>
          <cell r="V130">
            <v>80208.475269764909</v>
          </cell>
          <cell r="W130">
            <v>1130400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1732.0178636821199</v>
          </cell>
          <cell r="AS130">
            <v>1875.9564301131923</v>
          </cell>
          <cell r="AT130">
            <v>5843.2364341781531</v>
          </cell>
          <cell r="AU130">
            <v>7583.6296806897026</v>
          </cell>
          <cell r="AV130">
            <v>5923.5718655284209</v>
          </cell>
          <cell r="AW130">
            <v>4518.7292942670792</v>
          </cell>
          <cell r="AX130">
            <v>5840.3874759042837</v>
          </cell>
          <cell r="AY130">
            <v>5645.4544799682171</v>
          </cell>
          <cell r="AZ130">
            <v>6719.7171195349429</v>
          </cell>
          <cell r="BA130">
            <v>6979.9810585183259</v>
          </cell>
          <cell r="BB130">
            <v>6557.5817166642018</v>
          </cell>
          <cell r="BC130">
            <v>6364.3577685364307</v>
          </cell>
          <cell r="BD130">
            <v>6253.8630000000003</v>
          </cell>
          <cell r="BE130">
            <v>8369.9910821798203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</row>
        <row r="131">
          <cell r="T131" t="str">
            <v>PRODUCTION</v>
          </cell>
          <cell r="U131">
            <v>0.22292725679671649</v>
          </cell>
          <cell r="V131">
            <v>211870.06485959934</v>
          </cell>
          <cell r="W131">
            <v>950400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3518.3407847338499</v>
          </cell>
          <cell r="AW131">
            <v>7515.9846155627492</v>
          </cell>
          <cell r="AX131">
            <v>7704.9188252708136</v>
          </cell>
          <cell r="AY131">
            <v>21635.664197121168</v>
          </cell>
          <cell r="AZ131">
            <v>11261.879070113606</v>
          </cell>
          <cell r="BA131">
            <v>23127.379132341266</v>
          </cell>
          <cell r="BB131">
            <v>14543.835027283996</v>
          </cell>
          <cell r="BC131">
            <v>26073.366907773368</v>
          </cell>
          <cell r="BD131">
            <v>35523.176160000003</v>
          </cell>
          <cell r="BE131">
            <v>60965.520139398541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</row>
        <row r="132">
          <cell r="T132" t="str">
            <v>INK &amp; PAINT</v>
          </cell>
          <cell r="U132">
            <v>0</v>
          </cell>
          <cell r="V132">
            <v>0</v>
          </cell>
          <cell r="W132">
            <v>72000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556</v>
          </cell>
          <cell r="AF132">
            <v>0</v>
          </cell>
          <cell r="AG132">
            <v>0</v>
          </cell>
          <cell r="AH132">
            <v>225.55794045076053</v>
          </cell>
          <cell r="AI132">
            <v>0</v>
          </cell>
          <cell r="AJ132">
            <v>225.55628575430856</v>
          </cell>
          <cell r="AK132">
            <v>0</v>
          </cell>
          <cell r="AL132">
            <v>74.922477898637339</v>
          </cell>
          <cell r="AM132">
            <v>0</v>
          </cell>
          <cell r="AN132">
            <v>614.32809706842977</v>
          </cell>
          <cell r="AO132">
            <v>0</v>
          </cell>
          <cell r="AP132">
            <v>2915.9174162648774</v>
          </cell>
          <cell r="AQ132">
            <v>7867.1733779534479</v>
          </cell>
          <cell r="AR132">
            <v>5796.0630090061804</v>
          </cell>
          <cell r="AS132">
            <v>10917.317218452634</v>
          </cell>
          <cell r="AT132">
            <v>16850.030870536859</v>
          </cell>
          <cell r="AU132">
            <v>21323.60492802423</v>
          </cell>
          <cell r="AV132">
            <v>22660.759311022095</v>
          </cell>
          <cell r="AW132">
            <v>23097.534056273085</v>
          </cell>
          <cell r="AX132">
            <v>25784.693575916412</v>
          </cell>
          <cell r="AY132">
            <v>38119.240210559277</v>
          </cell>
          <cell r="AZ132">
            <v>29471.094694414289</v>
          </cell>
          <cell r="BA132">
            <v>48016.705091706404</v>
          </cell>
          <cell r="BB132">
            <v>8165.0692360868397</v>
          </cell>
          <cell r="BC132">
            <v>20644.313154318137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</row>
        <row r="133">
          <cell r="T133" t="str">
            <v>TOTAL DIRECT</v>
          </cell>
          <cell r="U133">
            <v>0</v>
          </cell>
          <cell r="V133">
            <v>458215.94553328701</v>
          </cell>
          <cell r="W133">
            <v>0</v>
          </cell>
          <cell r="X133" t="str">
            <v>DIRECT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556</v>
          </cell>
          <cell r="AF133">
            <v>0</v>
          </cell>
          <cell r="AG133">
            <v>0</v>
          </cell>
          <cell r="AH133">
            <v>225.55794045076053</v>
          </cell>
          <cell r="AI133">
            <v>0</v>
          </cell>
          <cell r="AJ133">
            <v>225.55628575430856</v>
          </cell>
          <cell r="AK133">
            <v>0</v>
          </cell>
          <cell r="AL133">
            <v>74.922477898637339</v>
          </cell>
          <cell r="AM133">
            <v>0</v>
          </cell>
          <cell r="AN133">
            <v>614.32809706842977</v>
          </cell>
          <cell r="AO133">
            <v>0</v>
          </cell>
          <cell r="AP133">
            <v>2915.9174162648774</v>
          </cell>
          <cell r="AQ133">
            <v>7867.1733779534479</v>
          </cell>
          <cell r="AR133">
            <v>5796.0630090061804</v>
          </cell>
          <cell r="AS133">
            <v>10917.317218452634</v>
          </cell>
          <cell r="AT133">
            <v>16850.030870536859</v>
          </cell>
          <cell r="AU133">
            <v>21323.60492802423</v>
          </cell>
          <cell r="AV133">
            <v>22660.759311022095</v>
          </cell>
          <cell r="AW133">
            <v>23097.534056273085</v>
          </cell>
          <cell r="AX133">
            <v>25784.693575916412</v>
          </cell>
          <cell r="AY133">
            <v>38119.240210559277</v>
          </cell>
          <cell r="AZ133">
            <v>29471.094694414289</v>
          </cell>
          <cell r="BA133">
            <v>48016.705091706404</v>
          </cell>
          <cell r="BB133">
            <v>29601.204261530587</v>
          </cell>
          <cell r="BC133">
            <v>45184.228285368328</v>
          </cell>
          <cell r="BD133">
            <v>50945.861480000007</v>
          </cell>
          <cell r="BE133">
            <v>77968.152945086156</v>
          </cell>
        </row>
        <row r="134">
          <cell r="T134" t="str">
            <v>"L"TOTAL TO DATE</v>
          </cell>
          <cell r="U134">
            <v>0</v>
          </cell>
          <cell r="V134">
            <v>397899.75224877341</v>
          </cell>
          <cell r="W134">
            <v>1519900</v>
          </cell>
          <cell r="X134" t="str">
            <v>DIRECT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556</v>
          </cell>
          <cell r="AF134">
            <v>556</v>
          </cell>
          <cell r="AG134">
            <v>556</v>
          </cell>
          <cell r="AH134">
            <v>781.5579404507605</v>
          </cell>
          <cell r="AI134">
            <v>781.5579404507605</v>
          </cell>
          <cell r="AJ134">
            <v>1007.114226205069</v>
          </cell>
          <cell r="AK134">
            <v>1007.114226205069</v>
          </cell>
          <cell r="AL134">
            <v>1082.0367041037064</v>
          </cell>
          <cell r="AM134">
            <v>1082.0367041037064</v>
          </cell>
          <cell r="AN134">
            <v>1696.3648011721361</v>
          </cell>
          <cell r="AO134">
            <v>1696.3648011721361</v>
          </cell>
          <cell r="AP134">
            <v>4612.282217437014</v>
          </cell>
          <cell r="AQ134">
            <v>12479.455595390462</v>
          </cell>
          <cell r="AR134">
            <v>18275.518604396642</v>
          </cell>
          <cell r="AS134">
            <v>29192.835822849276</v>
          </cell>
          <cell r="AT134">
            <v>46042.866693386139</v>
          </cell>
          <cell r="AU134">
            <v>67366.471621410368</v>
          </cell>
          <cell r="AV134">
            <v>90027.23093243246</v>
          </cell>
          <cell r="AW134">
            <v>113124.76498870554</v>
          </cell>
          <cell r="AX134">
            <v>138909.45856462195</v>
          </cell>
          <cell r="AY134">
            <v>177028.69877518123</v>
          </cell>
          <cell r="AZ134">
            <v>206499.79346959552</v>
          </cell>
          <cell r="BA134">
            <v>254516.49856130191</v>
          </cell>
          <cell r="BB134">
            <v>284117.70282283251</v>
          </cell>
          <cell r="BC134">
            <v>329301.93110820081</v>
          </cell>
          <cell r="BD134">
            <v>380247.79258820083</v>
          </cell>
          <cell r="BE134">
            <v>458215.94553328701</v>
          </cell>
        </row>
        <row r="135">
          <cell r="T135" t="str">
            <v>"L"TOTAL TO DATE</v>
          </cell>
          <cell r="U135">
            <v>0</v>
          </cell>
          <cell r="V135">
            <v>595680.72919327312</v>
          </cell>
          <cell r="W135">
            <v>1262400</v>
          </cell>
          <cell r="X135" t="str">
            <v>cumulative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722.8</v>
          </cell>
          <cell r="AF135">
            <v>722.8</v>
          </cell>
          <cell r="AG135">
            <v>722.8</v>
          </cell>
          <cell r="AH135">
            <v>1016.0253225859886</v>
          </cell>
          <cell r="AI135">
            <v>1016.0253225859886</v>
          </cell>
          <cell r="AJ135">
            <v>1309.2484940665897</v>
          </cell>
          <cell r="AK135">
            <v>1309.2484940665897</v>
          </cell>
          <cell r="AL135">
            <v>1406.6477153348183</v>
          </cell>
          <cell r="AM135">
            <v>1406.6477153348183</v>
          </cell>
          <cell r="AN135">
            <v>2205.2742415237772</v>
          </cell>
          <cell r="AO135">
            <v>2205.2742415237772</v>
          </cell>
          <cell r="AP135">
            <v>5995.9668826681182</v>
          </cell>
          <cell r="AQ135">
            <v>16223.292274007599</v>
          </cell>
          <cell r="AR135">
            <v>23758.174185715634</v>
          </cell>
          <cell r="AS135">
            <v>37950.686569704063</v>
          </cell>
          <cell r="AT135">
            <v>59855.726701401982</v>
          </cell>
          <cell r="AU135">
            <v>87576.413107833476</v>
          </cell>
          <cell r="AV135">
            <v>117035.4002121622</v>
          </cell>
          <cell r="AW135">
            <v>147062.19448531722</v>
          </cell>
          <cell r="AX135">
            <v>180582.29613400853</v>
          </cell>
          <cell r="AY135">
            <v>230137.3084077356</v>
          </cell>
          <cell r="AZ135">
            <v>268449.73151047417</v>
          </cell>
          <cell r="BA135">
            <v>330871.44812969246</v>
          </cell>
          <cell r="BB135">
            <v>369353.01366968226</v>
          </cell>
          <cell r="BC135">
            <v>428092.51044066105</v>
          </cell>
          <cell r="BD135">
            <v>494322.1303646611</v>
          </cell>
          <cell r="BE135">
            <v>595680.72919327312</v>
          </cell>
        </row>
        <row r="136">
          <cell r="V136" t="str">
            <v>PROJECTED RTM</v>
          </cell>
          <cell r="W136">
            <v>0</v>
          </cell>
          <cell r="X136">
            <v>35907</v>
          </cell>
          <cell r="Y136">
            <v>119</v>
          </cell>
          <cell r="Z136">
            <v>44.722222222222229</v>
          </cell>
          <cell r="AA136" t="str">
            <v/>
          </cell>
          <cell r="AB136" t="str">
            <v/>
          </cell>
          <cell r="AC136" t="str">
            <v/>
          </cell>
          <cell r="AD136" t="str">
            <v/>
          </cell>
          <cell r="AE136" t="str">
            <v/>
          </cell>
          <cell r="AF136" t="str">
            <v/>
          </cell>
          <cell r="AG136" t="str">
            <v/>
          </cell>
          <cell r="AH136" t="str">
            <v/>
          </cell>
          <cell r="AI136" t="str">
            <v/>
          </cell>
          <cell r="AJ136" t="str">
            <v/>
          </cell>
          <cell r="AK136" t="str">
            <v/>
          </cell>
          <cell r="AL136" t="str">
            <v/>
          </cell>
          <cell r="AM136" t="str">
            <v/>
          </cell>
          <cell r="AN136" t="str">
            <v/>
          </cell>
          <cell r="AO136" t="str">
            <v/>
          </cell>
          <cell r="AP136" t="str">
            <v/>
          </cell>
          <cell r="AQ136" t="str">
            <v/>
          </cell>
          <cell r="AR136" t="str">
            <v/>
          </cell>
          <cell r="AS136" t="str">
            <v/>
          </cell>
          <cell r="AT136" t="str">
            <v/>
          </cell>
          <cell r="AU136" t="str">
            <v/>
          </cell>
          <cell r="AV136" t="str">
            <v/>
          </cell>
          <cell r="AW136" t="str">
            <v/>
          </cell>
          <cell r="AX136" t="str">
            <v/>
          </cell>
          <cell r="AY136" t="str">
            <v/>
          </cell>
          <cell r="AZ136" t="str">
            <v/>
          </cell>
          <cell r="BA136" t="str">
            <v/>
          </cell>
          <cell r="BB136" t="str">
            <v/>
          </cell>
          <cell r="BC136" t="str">
            <v/>
          </cell>
          <cell r="BD136" t="str">
            <v/>
          </cell>
          <cell r="BE136" t="str">
            <v/>
          </cell>
          <cell r="BF136" t="str">
            <v/>
          </cell>
          <cell r="BG136" t="str">
            <v/>
          </cell>
          <cell r="BH136" t="str">
            <v/>
          </cell>
          <cell r="BI136">
            <v>0</v>
          </cell>
          <cell r="BJ136" t="str">
            <v/>
          </cell>
          <cell r="BK136" t="str">
            <v/>
          </cell>
          <cell r="BL136" t="str">
            <v/>
          </cell>
          <cell r="BM136" t="str">
            <v/>
          </cell>
          <cell r="BN136" t="str">
            <v/>
          </cell>
          <cell r="BO136" t="str">
            <v/>
          </cell>
          <cell r="BP136" t="str">
            <v/>
          </cell>
          <cell r="BQ136" t="str">
            <v/>
          </cell>
          <cell r="BR136" t="str">
            <v/>
          </cell>
          <cell r="BS136" t="str">
            <v/>
          </cell>
          <cell r="BT136" t="str">
            <v/>
          </cell>
          <cell r="BU136" t="str">
            <v/>
          </cell>
          <cell r="BV136" t="str">
            <v/>
          </cell>
          <cell r="BW136" t="str">
            <v/>
          </cell>
          <cell r="BX136" t="str">
            <v/>
          </cell>
          <cell r="BY136" t="str">
            <v/>
          </cell>
          <cell r="BZ136" t="str">
            <v/>
          </cell>
          <cell r="CA136" t="str">
            <v/>
          </cell>
          <cell r="CB136" t="str">
            <v/>
          </cell>
          <cell r="CC136" t="str">
            <v/>
          </cell>
          <cell r="CD136" t="str">
            <v/>
          </cell>
          <cell r="CE136" t="str">
            <v/>
          </cell>
          <cell r="CF136" t="str">
            <v/>
          </cell>
          <cell r="CG136" t="str">
            <v/>
          </cell>
          <cell r="CH136" t="str">
            <v/>
          </cell>
          <cell r="CI136" t="str">
            <v/>
          </cell>
          <cell r="CJ136" t="str">
            <v/>
          </cell>
          <cell r="CK136" t="str">
            <v/>
          </cell>
          <cell r="CL136" t="str">
            <v/>
          </cell>
          <cell r="CM136" t="str">
            <v/>
          </cell>
          <cell r="CN136">
            <v>0</v>
          </cell>
        </row>
        <row r="137">
          <cell r="V137" t="str">
            <v>PROJECTED RTM</v>
          </cell>
          <cell r="W137">
            <v>0</v>
          </cell>
          <cell r="X137">
            <v>35907</v>
          </cell>
          <cell r="Y137">
            <v>119</v>
          </cell>
          <cell r="Z137">
            <v>39.666666666666671</v>
          </cell>
          <cell r="AA137" t="str">
            <v/>
          </cell>
          <cell r="AB137" t="str">
            <v/>
          </cell>
          <cell r="AC137" t="str">
            <v/>
          </cell>
          <cell r="AD137" t="str">
            <v/>
          </cell>
          <cell r="AE137" t="str">
            <v/>
          </cell>
          <cell r="AF137" t="str">
            <v/>
          </cell>
          <cell r="AG137" t="str">
            <v/>
          </cell>
          <cell r="AH137" t="str">
            <v/>
          </cell>
          <cell r="AI137" t="str">
            <v/>
          </cell>
          <cell r="AJ137" t="str">
            <v/>
          </cell>
          <cell r="AK137" t="str">
            <v/>
          </cell>
          <cell r="AL137" t="str">
            <v/>
          </cell>
          <cell r="AM137" t="str">
            <v/>
          </cell>
          <cell r="AN137" t="str">
            <v/>
          </cell>
          <cell r="AO137" t="str">
            <v/>
          </cell>
          <cell r="AP137" t="str">
            <v/>
          </cell>
          <cell r="AQ137" t="str">
            <v/>
          </cell>
          <cell r="AR137" t="str">
            <v/>
          </cell>
          <cell r="AS137" t="str">
            <v/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 t="str">
            <v/>
          </cell>
          <cell r="BB137" t="str">
            <v/>
          </cell>
          <cell r="BC137" t="str">
            <v/>
          </cell>
          <cell r="BD137" t="str">
            <v/>
          </cell>
          <cell r="BE137" t="str">
            <v/>
          </cell>
          <cell r="BF137" t="str">
            <v/>
          </cell>
          <cell r="BG137" t="str">
            <v/>
          </cell>
          <cell r="BH137" t="str">
            <v/>
          </cell>
          <cell r="BI137">
            <v>0</v>
          </cell>
          <cell r="BJ137" t="str">
            <v/>
          </cell>
          <cell r="BK137" t="str">
            <v/>
          </cell>
          <cell r="BL137" t="str">
            <v/>
          </cell>
          <cell r="BM137" t="str">
            <v/>
          </cell>
          <cell r="BN137" t="str">
            <v/>
          </cell>
          <cell r="BO137" t="str">
            <v/>
          </cell>
          <cell r="BP137" t="str">
            <v/>
          </cell>
          <cell r="BQ137" t="str">
            <v/>
          </cell>
          <cell r="BR137" t="str">
            <v/>
          </cell>
          <cell r="BS137" t="str">
            <v/>
          </cell>
          <cell r="BT137" t="str">
            <v/>
          </cell>
          <cell r="BU137" t="str">
            <v/>
          </cell>
          <cell r="BV137" t="str">
            <v/>
          </cell>
          <cell r="BW137" t="str">
            <v/>
          </cell>
          <cell r="BX137" t="str">
            <v/>
          </cell>
          <cell r="BY137" t="str">
            <v/>
          </cell>
          <cell r="BZ137" t="str">
            <v/>
          </cell>
          <cell r="CA137" t="str">
            <v/>
          </cell>
          <cell r="CB137" t="str">
            <v/>
          </cell>
          <cell r="CC137" t="str">
            <v/>
          </cell>
          <cell r="CD137" t="str">
            <v/>
          </cell>
          <cell r="CE137" t="str">
            <v/>
          </cell>
          <cell r="CF137" t="str">
            <v/>
          </cell>
          <cell r="CG137" t="str">
            <v/>
          </cell>
          <cell r="CH137" t="str">
            <v/>
          </cell>
          <cell r="CI137" t="str">
            <v/>
          </cell>
          <cell r="CJ137" t="str">
            <v/>
          </cell>
          <cell r="CK137" t="str">
            <v/>
          </cell>
          <cell r="CL137" t="str">
            <v/>
          </cell>
          <cell r="CM137" t="str">
            <v/>
          </cell>
          <cell r="CN137">
            <v>0</v>
          </cell>
        </row>
        <row r="138">
          <cell r="V138" t="str">
            <v>PROJECTED STREET</v>
          </cell>
          <cell r="W138">
            <v>0</v>
          </cell>
          <cell r="X138">
            <v>35936</v>
          </cell>
        </row>
        <row r="139">
          <cell r="V139" t="str">
            <v>+ or - Scheduled Date</v>
          </cell>
          <cell r="W139">
            <v>0</v>
          </cell>
          <cell r="X139">
            <v>25</v>
          </cell>
        </row>
        <row r="140">
          <cell r="X140">
            <v>25</v>
          </cell>
        </row>
        <row r="141">
          <cell r="N141" t="str">
            <v>ENGINEERING</v>
          </cell>
          <cell r="O141">
            <v>0</v>
          </cell>
          <cell r="P141">
            <v>0</v>
          </cell>
          <cell r="Q141">
            <v>0</v>
          </cell>
          <cell r="R141" t="str">
            <v>MAGOO FEATURE FILM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 t="str">
            <v>FRAMES</v>
          </cell>
          <cell r="X141">
            <v>3000</v>
          </cell>
          <cell r="Y141" t="str">
            <v>WK Count</v>
          </cell>
          <cell r="Z141" t="str">
            <v>Total Days</v>
          </cell>
        </row>
        <row r="142">
          <cell r="N142" t="str">
            <v>ENGINEERING</v>
          </cell>
          <cell r="O142">
            <v>0</v>
          </cell>
          <cell r="P142">
            <v>0</v>
          </cell>
          <cell r="Q142">
            <v>0</v>
          </cell>
          <cell r="R142" t="str">
            <v>MAGOO FEATURE FILM</v>
          </cell>
          <cell r="S142">
            <v>0</v>
          </cell>
          <cell r="T142">
            <v>0</v>
          </cell>
          <cell r="U142">
            <v>0</v>
          </cell>
          <cell r="V142" t="str">
            <v xml:space="preserve">START </v>
          </cell>
          <cell r="W142" t="str">
            <v>FRAMES</v>
          </cell>
          <cell r="X142">
            <v>3000</v>
          </cell>
          <cell r="Y142" t="str">
            <v>WK Count</v>
          </cell>
          <cell r="Z142" t="str">
            <v>Total Days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 t="str">
            <v/>
          </cell>
          <cell r="CF142" t="str">
            <v/>
          </cell>
          <cell r="CG142" t="str">
            <v/>
          </cell>
          <cell r="CH142" t="str">
            <v/>
          </cell>
          <cell r="CI142" t="str">
            <v/>
          </cell>
          <cell r="CJ142" t="str">
            <v/>
          </cell>
          <cell r="CK142" t="str">
            <v/>
          </cell>
          <cell r="CL142" t="str">
            <v/>
          </cell>
          <cell r="CM142" t="str">
            <v/>
          </cell>
          <cell r="CN142" t="str">
            <v/>
          </cell>
          <cell r="CO142" t="str">
            <v/>
          </cell>
          <cell r="CP142" t="str">
            <v/>
          </cell>
          <cell r="CQ142" t="str">
            <v/>
          </cell>
          <cell r="CR142" t="str">
            <v/>
          </cell>
          <cell r="CS142" t="str">
            <v/>
          </cell>
          <cell r="CT142" t="str">
            <v/>
          </cell>
          <cell r="CU142" t="str">
            <v/>
          </cell>
          <cell r="CV142" t="str">
            <v/>
          </cell>
          <cell r="CW142" t="str">
            <v/>
          </cell>
          <cell r="CX142" t="str">
            <v/>
          </cell>
          <cell r="CY142" t="str">
            <v/>
          </cell>
          <cell r="CZ142" t="str">
            <v/>
          </cell>
          <cell r="DA142" t="str">
            <v/>
          </cell>
          <cell r="DB142" t="str">
            <v/>
          </cell>
          <cell r="DC142" t="str">
            <v/>
          </cell>
          <cell r="DD142" t="str">
            <v/>
          </cell>
          <cell r="DE142" t="str">
            <v/>
          </cell>
          <cell r="DF142" t="str">
            <v/>
          </cell>
          <cell r="DG142" t="str">
            <v/>
          </cell>
          <cell r="DH142" t="str">
            <v/>
          </cell>
          <cell r="DI142" t="str">
            <v/>
          </cell>
          <cell r="DJ142" t="str">
            <v/>
          </cell>
          <cell r="DK142" t="str">
            <v/>
          </cell>
          <cell r="DL142" t="str">
            <v/>
          </cell>
          <cell r="DM142" t="str">
            <v/>
          </cell>
          <cell r="DN142" t="str">
            <v/>
          </cell>
          <cell r="DO142" t="str">
            <v/>
          </cell>
          <cell r="DP142" t="str">
            <v/>
          </cell>
          <cell r="DQ142" t="str">
            <v/>
          </cell>
          <cell r="DR142" t="str">
            <v/>
          </cell>
          <cell r="DS142" t="str">
            <v/>
          </cell>
          <cell r="DT142" t="str">
            <v/>
          </cell>
          <cell r="DU142" t="str">
            <v/>
          </cell>
          <cell r="DV142" t="str">
            <v/>
          </cell>
          <cell r="DW142" t="str">
            <v/>
          </cell>
          <cell r="DX142" t="str">
            <v/>
          </cell>
          <cell r="DY142" t="str">
            <v/>
          </cell>
          <cell r="DZ142" t="str">
            <v/>
          </cell>
          <cell r="EA142" t="str">
            <v/>
          </cell>
          <cell r="EB142" t="str">
            <v/>
          </cell>
          <cell r="EC142" t="str">
            <v/>
          </cell>
          <cell r="ED142" t="str">
            <v/>
          </cell>
          <cell r="EE142" t="str">
            <v/>
          </cell>
          <cell r="EF142" t="str">
            <v/>
          </cell>
          <cell r="EG142" t="str">
            <v/>
          </cell>
          <cell r="EH142" t="str">
            <v/>
          </cell>
          <cell r="EI142" t="str">
            <v/>
          </cell>
          <cell r="EJ142" t="str">
            <v/>
          </cell>
          <cell r="EK142" t="str">
            <v/>
          </cell>
          <cell r="EL142" t="str">
            <v/>
          </cell>
          <cell r="EM142" t="str">
            <v/>
          </cell>
          <cell r="EN142" t="str">
            <v/>
          </cell>
          <cell r="EO142" t="str">
            <v/>
          </cell>
          <cell r="EP142" t="str">
            <v/>
          </cell>
          <cell r="EQ142" t="str">
            <v/>
          </cell>
          <cell r="ER142" t="str">
            <v/>
          </cell>
          <cell r="ES142" t="str">
            <v/>
          </cell>
          <cell r="ET142" t="str">
            <v/>
          </cell>
          <cell r="EU142" t="str">
            <v/>
          </cell>
          <cell r="EV142" t="str">
            <v/>
          </cell>
          <cell r="EW142">
            <v>0</v>
          </cell>
          <cell r="EX142">
            <v>0</v>
          </cell>
        </row>
        <row r="143">
          <cell r="A143" t="str">
            <v>PREP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 t="str">
            <v>ANIMATION</v>
          </cell>
          <cell r="G143">
            <v>0</v>
          </cell>
          <cell r="H143">
            <v>0</v>
          </cell>
          <cell r="I143" t="str">
            <v>INK &amp; PAINT</v>
          </cell>
          <cell r="J143">
            <v>0</v>
          </cell>
          <cell r="K143">
            <v>0</v>
          </cell>
          <cell r="L143" t="str">
            <v>ALPHA</v>
          </cell>
          <cell r="M143">
            <v>0</v>
          </cell>
          <cell r="N143" t="str">
            <v>BETA</v>
          </cell>
          <cell r="O143">
            <v>0</v>
          </cell>
          <cell r="P143" t="str">
            <v>RTM</v>
          </cell>
          <cell r="Q143">
            <v>0</v>
          </cell>
          <cell r="R143" t="str">
            <v>STREET</v>
          </cell>
          <cell r="S143">
            <v>0</v>
          </cell>
          <cell r="T143" t="str">
            <v>Story Boards</v>
          </cell>
          <cell r="U143">
            <v>0</v>
          </cell>
          <cell r="V143" t="str">
            <v xml:space="preserve">START </v>
          </cell>
          <cell r="W143" t="str">
            <v>END</v>
          </cell>
          <cell r="X143" t="str">
            <v>Billed As</v>
          </cell>
          <cell r="Y143">
            <v>0</v>
          </cell>
          <cell r="Z143" t="e">
            <v>#REF!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 t="str">
            <v/>
          </cell>
          <cell r="CF143" t="str">
            <v/>
          </cell>
          <cell r="CG143" t="str">
            <v/>
          </cell>
          <cell r="CH143" t="str">
            <v/>
          </cell>
          <cell r="CI143" t="str">
            <v/>
          </cell>
          <cell r="CJ143" t="str">
            <v/>
          </cell>
          <cell r="CK143" t="str">
            <v/>
          </cell>
          <cell r="CL143" t="str">
            <v/>
          </cell>
          <cell r="CM143" t="str">
            <v/>
          </cell>
          <cell r="CN143" t="str">
            <v/>
          </cell>
          <cell r="CO143" t="str">
            <v/>
          </cell>
          <cell r="CP143" t="str">
            <v/>
          </cell>
          <cell r="CQ143" t="str">
            <v/>
          </cell>
          <cell r="CR143" t="str">
            <v/>
          </cell>
          <cell r="CS143" t="str">
            <v/>
          </cell>
          <cell r="CT143" t="str">
            <v/>
          </cell>
          <cell r="CU143" t="str">
            <v/>
          </cell>
          <cell r="CV143" t="str">
            <v/>
          </cell>
          <cell r="CW143" t="str">
            <v/>
          </cell>
          <cell r="CX143" t="str">
            <v/>
          </cell>
          <cell r="CY143" t="str">
            <v/>
          </cell>
          <cell r="CZ143" t="str">
            <v/>
          </cell>
          <cell r="DA143" t="str">
            <v/>
          </cell>
          <cell r="DB143" t="str">
            <v/>
          </cell>
          <cell r="DC143" t="str">
            <v/>
          </cell>
          <cell r="DD143" t="str">
            <v/>
          </cell>
          <cell r="DE143" t="str">
            <v/>
          </cell>
          <cell r="DF143" t="str">
            <v/>
          </cell>
          <cell r="DG143" t="str">
            <v/>
          </cell>
          <cell r="DH143" t="str">
            <v/>
          </cell>
          <cell r="DI143" t="str">
            <v/>
          </cell>
          <cell r="DJ143" t="str">
            <v/>
          </cell>
          <cell r="DK143" t="str">
            <v/>
          </cell>
          <cell r="DL143" t="str">
            <v/>
          </cell>
          <cell r="DM143" t="str">
            <v/>
          </cell>
          <cell r="DN143" t="str">
            <v/>
          </cell>
          <cell r="DO143" t="str">
            <v/>
          </cell>
          <cell r="DP143" t="str">
            <v/>
          </cell>
          <cell r="DQ143" t="str">
            <v/>
          </cell>
          <cell r="DR143" t="str">
            <v/>
          </cell>
          <cell r="DS143" t="str">
            <v/>
          </cell>
          <cell r="DT143" t="str">
            <v/>
          </cell>
          <cell r="DU143" t="str">
            <v/>
          </cell>
          <cell r="DV143" t="str">
            <v/>
          </cell>
          <cell r="DW143" t="str">
            <v/>
          </cell>
          <cell r="DX143" t="str">
            <v/>
          </cell>
          <cell r="DY143" t="str">
            <v/>
          </cell>
          <cell r="DZ143" t="str">
            <v/>
          </cell>
          <cell r="EA143" t="str">
            <v/>
          </cell>
          <cell r="EB143" t="str">
            <v/>
          </cell>
          <cell r="EC143" t="str">
            <v/>
          </cell>
          <cell r="ED143" t="str">
            <v/>
          </cell>
          <cell r="EE143" t="str">
            <v/>
          </cell>
          <cell r="EF143" t="str">
            <v/>
          </cell>
          <cell r="EG143" t="str">
            <v/>
          </cell>
          <cell r="EH143" t="str">
            <v/>
          </cell>
          <cell r="EI143" t="str">
            <v/>
          </cell>
          <cell r="EJ143" t="str">
            <v/>
          </cell>
          <cell r="EK143" t="str">
            <v/>
          </cell>
          <cell r="EL143" t="str">
            <v/>
          </cell>
          <cell r="EM143" t="str">
            <v/>
          </cell>
          <cell r="EN143" t="str">
            <v/>
          </cell>
          <cell r="EO143" t="str">
            <v/>
          </cell>
          <cell r="EP143" t="str">
            <v/>
          </cell>
          <cell r="EQ143" t="str">
            <v/>
          </cell>
          <cell r="ER143" t="str">
            <v/>
          </cell>
          <cell r="ES143" t="str">
            <v/>
          </cell>
          <cell r="ET143" t="str">
            <v/>
          </cell>
          <cell r="EU143" t="str">
            <v/>
          </cell>
          <cell r="EV143" t="str">
            <v/>
          </cell>
          <cell r="EW143">
            <v>0</v>
          </cell>
          <cell r="EX143">
            <v>0</v>
          </cell>
        </row>
        <row r="144">
          <cell r="A144" t="str">
            <v>PREP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 t="str">
            <v>ANIMATION</v>
          </cell>
          <cell r="G144">
            <v>0</v>
          </cell>
          <cell r="H144">
            <v>0</v>
          </cell>
          <cell r="I144" t="str">
            <v>INK &amp; PAINT</v>
          </cell>
          <cell r="J144">
            <v>0</v>
          </cell>
          <cell r="K144">
            <v>0</v>
          </cell>
          <cell r="L144" t="str">
            <v>ALPHA</v>
          </cell>
          <cell r="M144">
            <v>0</v>
          </cell>
          <cell r="N144" t="str">
            <v>BETA</v>
          </cell>
          <cell r="O144">
            <v>0</v>
          </cell>
          <cell r="P144" t="str">
            <v>RTM</v>
          </cell>
          <cell r="Q144">
            <v>0</v>
          </cell>
          <cell r="R144" t="str">
            <v>STREET</v>
          </cell>
          <cell r="S144" t="str">
            <v>PRODUCTION TO DATE</v>
          </cell>
          <cell r="T144" t="str">
            <v>Story Boards</v>
          </cell>
          <cell r="U144">
            <v>0</v>
          </cell>
          <cell r="V144">
            <v>0</v>
          </cell>
          <cell r="W144">
            <v>35697</v>
          </cell>
          <cell r="X144" t="str">
            <v>TEST</v>
          </cell>
          <cell r="Y144">
            <v>0</v>
          </cell>
          <cell r="Z144" t="e">
            <v>#REF!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 t="str">
            <v/>
          </cell>
          <cell r="CF144" t="str">
            <v/>
          </cell>
          <cell r="CG144" t="str">
            <v/>
          </cell>
          <cell r="CH144" t="str">
            <v/>
          </cell>
          <cell r="CI144" t="str">
            <v/>
          </cell>
          <cell r="CJ144" t="str">
            <v/>
          </cell>
          <cell r="CK144" t="str">
            <v/>
          </cell>
          <cell r="CL144" t="str">
            <v/>
          </cell>
          <cell r="CM144" t="str">
            <v/>
          </cell>
          <cell r="CN144" t="str">
            <v/>
          </cell>
          <cell r="CO144" t="str">
            <v/>
          </cell>
          <cell r="CP144" t="str">
            <v/>
          </cell>
          <cell r="CQ144" t="str">
            <v/>
          </cell>
          <cell r="CR144" t="str">
            <v/>
          </cell>
          <cell r="CS144" t="str">
            <v/>
          </cell>
          <cell r="CT144" t="str">
            <v/>
          </cell>
          <cell r="CU144" t="str">
            <v/>
          </cell>
          <cell r="CV144" t="str">
            <v/>
          </cell>
          <cell r="CW144" t="str">
            <v/>
          </cell>
          <cell r="CX144" t="str">
            <v/>
          </cell>
          <cell r="CY144" t="str">
            <v/>
          </cell>
          <cell r="CZ144" t="str">
            <v/>
          </cell>
          <cell r="DA144" t="str">
            <v/>
          </cell>
          <cell r="DB144" t="str">
            <v/>
          </cell>
          <cell r="DC144" t="str">
            <v/>
          </cell>
          <cell r="DD144" t="str">
            <v/>
          </cell>
          <cell r="DE144" t="str">
            <v/>
          </cell>
          <cell r="DF144" t="str">
            <v/>
          </cell>
          <cell r="DG144" t="str">
            <v/>
          </cell>
          <cell r="DH144" t="str">
            <v/>
          </cell>
          <cell r="DI144" t="str">
            <v/>
          </cell>
          <cell r="DJ144" t="str">
            <v/>
          </cell>
          <cell r="DK144" t="str">
            <v/>
          </cell>
          <cell r="DL144" t="str">
            <v/>
          </cell>
          <cell r="DM144" t="str">
            <v/>
          </cell>
          <cell r="DN144" t="str">
            <v/>
          </cell>
          <cell r="DO144" t="str">
            <v/>
          </cell>
          <cell r="DP144" t="str">
            <v/>
          </cell>
          <cell r="DQ144" t="str">
            <v/>
          </cell>
          <cell r="DR144" t="str">
            <v/>
          </cell>
          <cell r="DS144" t="str">
            <v/>
          </cell>
          <cell r="DT144" t="str">
            <v/>
          </cell>
          <cell r="DU144" t="str">
            <v/>
          </cell>
          <cell r="DV144" t="str">
            <v/>
          </cell>
          <cell r="DW144" t="str">
            <v/>
          </cell>
          <cell r="DX144" t="str">
            <v/>
          </cell>
          <cell r="DY144" t="str">
            <v/>
          </cell>
          <cell r="DZ144" t="str">
            <v/>
          </cell>
          <cell r="EA144" t="str">
            <v/>
          </cell>
          <cell r="EB144" t="str">
            <v/>
          </cell>
          <cell r="EC144" t="str">
            <v/>
          </cell>
          <cell r="ED144" t="str">
            <v/>
          </cell>
          <cell r="EE144" t="str">
            <v/>
          </cell>
          <cell r="EF144" t="str">
            <v/>
          </cell>
          <cell r="EG144" t="str">
            <v/>
          </cell>
          <cell r="EH144" t="str">
            <v/>
          </cell>
          <cell r="EI144" t="str">
            <v/>
          </cell>
          <cell r="EJ144" t="str">
            <v/>
          </cell>
          <cell r="EK144" t="str">
            <v/>
          </cell>
          <cell r="EL144" t="str">
            <v/>
          </cell>
          <cell r="EM144" t="str">
            <v/>
          </cell>
          <cell r="EN144" t="str">
            <v/>
          </cell>
          <cell r="EO144" t="str">
            <v/>
          </cell>
          <cell r="EP144" t="str">
            <v/>
          </cell>
          <cell r="EQ144" t="str">
            <v/>
          </cell>
          <cell r="ER144" t="str">
            <v/>
          </cell>
          <cell r="ES144" t="str">
            <v/>
          </cell>
          <cell r="ET144" t="str">
            <v/>
          </cell>
          <cell r="EU144" t="str">
            <v/>
          </cell>
          <cell r="EV144" t="str">
            <v/>
          </cell>
          <cell r="EW144">
            <v>0</v>
          </cell>
          <cell r="EX144">
            <v>0</v>
          </cell>
        </row>
        <row r="145">
          <cell r="S145" t="str">
            <v>PRODUCTION TO DATE</v>
          </cell>
          <cell r="T145" t="str">
            <v>Film &amp; Animatic</v>
          </cell>
          <cell r="U145">
            <v>0</v>
          </cell>
          <cell r="V145">
            <v>35702</v>
          </cell>
          <cell r="W145">
            <v>35699</v>
          </cell>
          <cell r="X145" t="str">
            <v>TEST</v>
          </cell>
        </row>
        <row r="146">
          <cell r="T146" t="str">
            <v>Finalize StoryBoards</v>
          </cell>
          <cell r="U146">
            <v>0</v>
          </cell>
          <cell r="V146">
            <v>35702</v>
          </cell>
          <cell r="W146">
            <v>35706</v>
          </cell>
          <cell r="X146" t="str">
            <v>TEST</v>
          </cell>
        </row>
        <row r="147">
          <cell r="T147" t="str">
            <v>LAYOUTS</v>
          </cell>
          <cell r="U147">
            <v>0</v>
          </cell>
          <cell r="V147">
            <v>35709</v>
          </cell>
          <cell r="W147">
            <v>35727</v>
          </cell>
          <cell r="X147" t="str">
            <v>LAYOUT</v>
          </cell>
        </row>
        <row r="148">
          <cell r="T148" t="str">
            <v>2D ANIMATION</v>
          </cell>
          <cell r="U148">
            <v>0</v>
          </cell>
          <cell r="V148">
            <v>35716</v>
          </cell>
          <cell r="W148">
            <v>35741</v>
          </cell>
          <cell r="X148" t="str">
            <v>2D</v>
          </cell>
        </row>
        <row r="149">
          <cell r="T149" t="str">
            <v>3D ANIMATION</v>
          </cell>
          <cell r="U149">
            <v>0</v>
          </cell>
          <cell r="V149">
            <v>35716</v>
          </cell>
          <cell r="W149">
            <v>35746</v>
          </cell>
          <cell r="X149" t="str">
            <v>3D</v>
          </cell>
        </row>
        <row r="150">
          <cell r="T150" t="str">
            <v>CLEANUP</v>
          </cell>
          <cell r="U150">
            <v>0</v>
          </cell>
          <cell r="V150">
            <v>35723</v>
          </cell>
          <cell r="W150">
            <v>35746</v>
          </cell>
          <cell r="X150" t="str">
            <v>2D</v>
          </cell>
        </row>
        <row r="151">
          <cell r="T151" t="str">
            <v>CHECKING</v>
          </cell>
          <cell r="U151">
            <v>0</v>
          </cell>
          <cell r="V151">
            <v>35737</v>
          </cell>
          <cell r="W151">
            <v>35750</v>
          </cell>
          <cell r="X151" t="str">
            <v>2D</v>
          </cell>
        </row>
        <row r="152">
          <cell r="T152" t="str">
            <v>DIP &amp; COMPOSITE</v>
          </cell>
          <cell r="U152">
            <v>0</v>
          </cell>
          <cell r="V152">
            <v>35744</v>
          </cell>
          <cell r="W152">
            <v>35760</v>
          </cell>
          <cell r="X152" t="str">
            <v>POST</v>
          </cell>
        </row>
        <row r="153">
          <cell r="T153" t="str">
            <v>FINAL LAB</v>
          </cell>
          <cell r="U153">
            <v>0</v>
          </cell>
          <cell r="V153">
            <v>35760</v>
          </cell>
          <cell r="W153">
            <v>35765</v>
          </cell>
          <cell r="X153" t="str">
            <v>FINAL LAB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 t="str">
            <v/>
          </cell>
          <cell r="CF153" t="str">
            <v/>
          </cell>
          <cell r="CG153" t="str">
            <v/>
          </cell>
          <cell r="CH153" t="str">
            <v/>
          </cell>
          <cell r="CI153" t="str">
            <v/>
          </cell>
          <cell r="CJ153" t="str">
            <v/>
          </cell>
          <cell r="CK153" t="str">
            <v/>
          </cell>
          <cell r="CL153" t="str">
            <v/>
          </cell>
          <cell r="CM153" t="str">
            <v/>
          </cell>
          <cell r="CN153" t="str">
            <v/>
          </cell>
          <cell r="CO153" t="str">
            <v/>
          </cell>
          <cell r="CP153" t="str">
            <v/>
          </cell>
          <cell r="CQ153" t="str">
            <v/>
          </cell>
          <cell r="CR153" t="str">
            <v/>
          </cell>
          <cell r="CS153" t="str">
            <v/>
          </cell>
          <cell r="CT153" t="str">
            <v/>
          </cell>
          <cell r="CU153" t="str">
            <v/>
          </cell>
          <cell r="CV153" t="str">
            <v/>
          </cell>
          <cell r="CW153" t="str">
            <v/>
          </cell>
          <cell r="CX153" t="str">
            <v/>
          </cell>
          <cell r="CY153" t="str">
            <v/>
          </cell>
          <cell r="CZ153" t="str">
            <v/>
          </cell>
          <cell r="DA153" t="str">
            <v/>
          </cell>
          <cell r="DB153" t="str">
            <v/>
          </cell>
          <cell r="DC153" t="str">
            <v/>
          </cell>
          <cell r="DD153" t="str">
            <v/>
          </cell>
          <cell r="DE153" t="str">
            <v/>
          </cell>
          <cell r="DF153" t="str">
            <v/>
          </cell>
          <cell r="DG153" t="str">
            <v/>
          </cell>
          <cell r="DH153" t="str">
            <v/>
          </cell>
          <cell r="DI153" t="str">
            <v/>
          </cell>
          <cell r="DJ153" t="str">
            <v/>
          </cell>
          <cell r="DK153" t="str">
            <v/>
          </cell>
          <cell r="DL153" t="str">
            <v/>
          </cell>
          <cell r="DM153" t="str">
            <v/>
          </cell>
          <cell r="DN153" t="str">
            <v/>
          </cell>
          <cell r="DO153" t="str">
            <v/>
          </cell>
          <cell r="DP153" t="str">
            <v/>
          </cell>
          <cell r="DQ153" t="str">
            <v/>
          </cell>
          <cell r="DR153" t="str">
            <v/>
          </cell>
          <cell r="DS153" t="str">
            <v/>
          </cell>
          <cell r="DT153" t="str">
            <v/>
          </cell>
          <cell r="DU153" t="str">
            <v/>
          </cell>
          <cell r="DV153" t="str">
            <v/>
          </cell>
          <cell r="DW153" t="str">
            <v/>
          </cell>
          <cell r="DX153" t="str">
            <v/>
          </cell>
          <cell r="DY153" t="str">
            <v/>
          </cell>
          <cell r="DZ153" t="str">
            <v/>
          </cell>
          <cell r="EA153" t="str">
            <v/>
          </cell>
          <cell r="EB153" t="str">
            <v/>
          </cell>
          <cell r="EC153" t="str">
            <v/>
          </cell>
          <cell r="ED153" t="str">
            <v/>
          </cell>
          <cell r="EE153" t="str">
            <v/>
          </cell>
          <cell r="EF153" t="str">
            <v/>
          </cell>
          <cell r="EG153" t="str">
            <v/>
          </cell>
          <cell r="EH153" t="str">
            <v/>
          </cell>
          <cell r="EI153" t="str">
            <v/>
          </cell>
          <cell r="EJ153" t="str">
            <v/>
          </cell>
          <cell r="EK153" t="str">
            <v/>
          </cell>
          <cell r="EL153" t="str">
            <v/>
          </cell>
          <cell r="EM153" t="str">
            <v/>
          </cell>
          <cell r="EN153" t="str">
            <v/>
          </cell>
          <cell r="EO153" t="str">
            <v/>
          </cell>
          <cell r="EP153" t="str">
            <v/>
          </cell>
          <cell r="EQ153" t="str">
            <v/>
          </cell>
          <cell r="ER153" t="str">
            <v/>
          </cell>
          <cell r="ES153" t="str">
            <v/>
          </cell>
          <cell r="ET153" t="str">
            <v/>
          </cell>
          <cell r="EU153" t="str">
            <v/>
          </cell>
          <cell r="EV153" t="str">
            <v/>
          </cell>
        </row>
        <row r="154">
          <cell r="S154" t="str">
            <v>COST TO DATE</v>
          </cell>
          <cell r="T154">
            <v>0</v>
          </cell>
          <cell r="U154">
            <v>0</v>
          </cell>
          <cell r="V154" t="str">
            <v>DIRECT TO DATE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 t="str">
            <v/>
          </cell>
          <cell r="CF154" t="str">
            <v/>
          </cell>
          <cell r="CG154" t="str">
            <v/>
          </cell>
          <cell r="CH154" t="str">
            <v/>
          </cell>
          <cell r="CI154" t="str">
            <v/>
          </cell>
          <cell r="CJ154" t="str">
            <v/>
          </cell>
          <cell r="CK154" t="str">
            <v/>
          </cell>
          <cell r="CL154" t="str">
            <v/>
          </cell>
          <cell r="CM154" t="str">
            <v/>
          </cell>
          <cell r="CN154" t="str">
            <v/>
          </cell>
          <cell r="CO154" t="str">
            <v/>
          </cell>
          <cell r="CP154" t="str">
            <v/>
          </cell>
          <cell r="CQ154" t="str">
            <v/>
          </cell>
          <cell r="CR154" t="str">
            <v/>
          </cell>
          <cell r="CS154" t="str">
            <v/>
          </cell>
          <cell r="CT154" t="str">
            <v/>
          </cell>
          <cell r="CU154" t="str">
            <v/>
          </cell>
          <cell r="CV154" t="str">
            <v/>
          </cell>
          <cell r="CW154" t="str">
            <v/>
          </cell>
          <cell r="CX154" t="str">
            <v/>
          </cell>
          <cell r="CY154" t="str">
            <v/>
          </cell>
          <cell r="CZ154" t="str">
            <v/>
          </cell>
          <cell r="DA154" t="str">
            <v/>
          </cell>
          <cell r="DB154" t="str">
            <v/>
          </cell>
          <cell r="DC154" t="str">
            <v/>
          </cell>
          <cell r="DD154" t="str">
            <v/>
          </cell>
          <cell r="DE154" t="str">
            <v/>
          </cell>
          <cell r="DF154" t="str">
            <v/>
          </cell>
          <cell r="DG154" t="str">
            <v/>
          </cell>
          <cell r="DH154" t="str">
            <v/>
          </cell>
          <cell r="DI154" t="str">
            <v/>
          </cell>
          <cell r="DJ154" t="str">
            <v/>
          </cell>
          <cell r="DK154" t="str">
            <v/>
          </cell>
          <cell r="DL154" t="str">
            <v/>
          </cell>
          <cell r="DM154" t="str">
            <v/>
          </cell>
          <cell r="DN154" t="str">
            <v/>
          </cell>
          <cell r="DO154" t="str">
            <v/>
          </cell>
          <cell r="DP154" t="str">
            <v/>
          </cell>
          <cell r="DQ154" t="str">
            <v/>
          </cell>
          <cell r="DR154" t="str">
            <v/>
          </cell>
          <cell r="DS154" t="str">
            <v/>
          </cell>
          <cell r="DT154" t="str">
            <v/>
          </cell>
          <cell r="DU154" t="str">
            <v/>
          </cell>
          <cell r="DV154" t="str">
            <v/>
          </cell>
          <cell r="DW154" t="str">
            <v/>
          </cell>
          <cell r="DX154" t="str">
            <v/>
          </cell>
          <cell r="DY154" t="str">
            <v/>
          </cell>
          <cell r="DZ154" t="str">
            <v/>
          </cell>
          <cell r="EA154" t="str">
            <v/>
          </cell>
          <cell r="EB154" t="str">
            <v/>
          </cell>
          <cell r="EC154" t="str">
            <v/>
          </cell>
          <cell r="ED154" t="str">
            <v/>
          </cell>
          <cell r="EE154" t="str">
            <v/>
          </cell>
          <cell r="EF154" t="str">
            <v/>
          </cell>
          <cell r="EG154" t="str">
            <v/>
          </cell>
          <cell r="EH154" t="str">
            <v/>
          </cell>
          <cell r="EI154" t="str">
            <v/>
          </cell>
          <cell r="EJ154" t="str">
            <v/>
          </cell>
          <cell r="EK154" t="str">
            <v/>
          </cell>
          <cell r="EL154" t="str">
            <v/>
          </cell>
          <cell r="EM154" t="str">
            <v/>
          </cell>
          <cell r="EN154" t="str">
            <v/>
          </cell>
          <cell r="EO154" t="str">
            <v/>
          </cell>
          <cell r="EP154" t="str">
            <v/>
          </cell>
          <cell r="EQ154" t="str">
            <v/>
          </cell>
          <cell r="ER154" t="str">
            <v/>
          </cell>
          <cell r="ES154" t="str">
            <v/>
          </cell>
          <cell r="ET154" t="str">
            <v/>
          </cell>
          <cell r="EU154" t="str">
            <v/>
          </cell>
          <cell r="EV154" t="str">
            <v/>
          </cell>
        </row>
        <row r="155">
          <cell r="S155" t="str">
            <v>COST TO DATE</v>
          </cell>
          <cell r="T155" t="str">
            <v>TEST</v>
          </cell>
          <cell r="U155">
            <v>0</v>
          </cell>
          <cell r="V155" t="str">
            <v>DIRECT TO DATE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21030.803483748608</v>
          </cell>
          <cell r="AW155">
            <v>14839.647470976515</v>
          </cell>
          <cell r="AX155">
            <v>22.73</v>
          </cell>
          <cell r="AY155">
            <v>718.75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</row>
        <row r="156">
          <cell r="T156" t="str">
            <v>TEST</v>
          </cell>
          <cell r="U156">
            <v>0</v>
          </cell>
          <cell r="V156">
            <v>36611.930954725125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21030.803483748608</v>
          </cell>
          <cell r="AW156">
            <v>14839.647470976515</v>
          </cell>
          <cell r="AX156">
            <v>22.73</v>
          </cell>
          <cell r="AY156">
            <v>718.75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</row>
        <row r="157">
          <cell r="T157" t="str">
            <v>LAYOUTS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0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J157">
            <v>0</v>
          </cell>
          <cell r="CK157">
            <v>0</v>
          </cell>
          <cell r="CL157">
            <v>0</v>
          </cell>
          <cell r="CM157">
            <v>0</v>
          </cell>
          <cell r="CN157">
            <v>0</v>
          </cell>
        </row>
        <row r="158">
          <cell r="T158" t="str">
            <v>2D ANIMATION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</row>
        <row r="159">
          <cell r="T159" t="str">
            <v>3D ANIMATION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</row>
        <row r="160">
          <cell r="T160" t="str">
            <v>POST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</row>
        <row r="161">
          <cell r="T161" t="str">
            <v>FINAL LAB</v>
          </cell>
          <cell r="U161">
            <v>0</v>
          </cell>
          <cell r="V161">
            <v>14978.465132694124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4724.5948103852506</v>
          </cell>
          <cell r="AY161">
            <v>4955.8712437185713</v>
          </cell>
          <cell r="AZ161">
            <v>2629.7578282211111</v>
          </cell>
          <cell r="BA161">
            <v>2519.2112503691919</v>
          </cell>
          <cell r="BB161">
            <v>0</v>
          </cell>
          <cell r="BC161">
            <v>0</v>
          </cell>
          <cell r="BD161">
            <v>0</v>
          </cell>
          <cell r="BE161">
            <v>149.03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</row>
        <row r="162">
          <cell r="T162" t="str">
            <v>TOTAL COST</v>
          </cell>
          <cell r="U162">
            <v>0</v>
          </cell>
          <cell r="V162">
            <v>14978.465132694124</v>
          </cell>
          <cell r="W162">
            <v>0</v>
          </cell>
          <cell r="X162" t="str">
            <v>WEEKLY COST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4724.5948103852506</v>
          </cell>
          <cell r="AY162">
            <v>4955.8712437185713</v>
          </cell>
          <cell r="AZ162">
            <v>2629.7578282211111</v>
          </cell>
          <cell r="BA162">
            <v>2519.2112503691919</v>
          </cell>
          <cell r="BB162">
            <v>0</v>
          </cell>
          <cell r="BC162">
            <v>0</v>
          </cell>
          <cell r="BD162">
            <v>0</v>
          </cell>
          <cell r="BE162">
            <v>149.03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</row>
        <row r="163">
          <cell r="V163">
            <v>20761.209185771775</v>
          </cell>
          <cell r="W163">
            <v>0</v>
          </cell>
          <cell r="X163" t="str">
            <v>WEEKLY COST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4724.5948103852506</v>
          </cell>
          <cell r="AY163">
            <v>4955.8712437185713</v>
          </cell>
          <cell r="AZ163">
            <v>2629.7578282211111</v>
          </cell>
          <cell r="BA163">
            <v>2519.2112503691919</v>
          </cell>
          <cell r="BB163">
            <v>0</v>
          </cell>
          <cell r="BC163">
            <v>0</v>
          </cell>
          <cell r="BD163">
            <v>0</v>
          </cell>
          <cell r="BE163">
            <v>149.03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</row>
        <row r="164">
          <cell r="V164">
            <v>20969.851185771775</v>
          </cell>
          <cell r="W164">
            <v>0</v>
          </cell>
          <cell r="X164" t="str">
            <v>CUMULATIVE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6614.4327345393513</v>
          </cell>
          <cell r="AY164">
            <v>6938.2197412059995</v>
          </cell>
          <cell r="AZ164">
            <v>3681.6609595095556</v>
          </cell>
          <cell r="BA164">
            <v>3526.8957505168687</v>
          </cell>
          <cell r="BB164">
            <v>0</v>
          </cell>
          <cell r="BC164">
            <v>0</v>
          </cell>
          <cell r="BD164">
            <v>0</v>
          </cell>
          <cell r="BE164">
            <v>208.642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</row>
        <row r="165">
          <cell r="V165" t="str">
            <v>PROJECTED RTM</v>
          </cell>
          <cell r="W165">
            <v>0</v>
          </cell>
          <cell r="X165">
            <v>0</v>
          </cell>
          <cell r="Y165" t="e">
            <v>#REF!</v>
          </cell>
          <cell r="Z165" t="e">
            <v>#REF!</v>
          </cell>
          <cell r="AA165" t="str">
            <v/>
          </cell>
          <cell r="AB165" t="str">
            <v/>
          </cell>
          <cell r="AC165" t="str">
            <v/>
          </cell>
          <cell r="AD165" t="str">
            <v/>
          </cell>
          <cell r="AE165" t="str">
            <v/>
          </cell>
          <cell r="AF165" t="str">
            <v/>
          </cell>
          <cell r="AG165" t="str">
            <v/>
          </cell>
          <cell r="AH165" t="str">
            <v/>
          </cell>
          <cell r="AI165" t="str">
            <v/>
          </cell>
          <cell r="AJ165" t="str">
            <v/>
          </cell>
          <cell r="AK165" t="str">
            <v/>
          </cell>
          <cell r="AL165" t="str">
            <v/>
          </cell>
          <cell r="AM165" t="str">
            <v/>
          </cell>
          <cell r="AN165" t="str">
            <v/>
          </cell>
          <cell r="AO165" t="str">
            <v/>
          </cell>
          <cell r="AP165" t="str">
            <v/>
          </cell>
          <cell r="AQ165" t="str">
            <v/>
          </cell>
          <cell r="AR165" t="str">
            <v/>
          </cell>
          <cell r="AS165" t="str">
            <v/>
          </cell>
          <cell r="AT165" t="str">
            <v/>
          </cell>
          <cell r="AU165" t="str">
            <v/>
          </cell>
          <cell r="AV165" t="str">
            <v/>
          </cell>
          <cell r="AW165" t="str">
            <v/>
          </cell>
          <cell r="AX165" t="str">
            <v/>
          </cell>
          <cell r="AY165">
            <v>428.57142857142856</v>
          </cell>
          <cell r="AZ165">
            <v>428.57142857142856</v>
          </cell>
          <cell r="BA165">
            <v>428.57142857142856</v>
          </cell>
          <cell r="BB165">
            <v>428.57142857142856</v>
          </cell>
          <cell r="BC165">
            <v>428.57142857142856</v>
          </cell>
          <cell r="BD165" t="str">
            <v/>
          </cell>
          <cell r="BE165" t="str">
            <v/>
          </cell>
          <cell r="BF165" t="str">
            <v/>
          </cell>
          <cell r="BG165" t="str">
            <v/>
          </cell>
          <cell r="BH165" t="str">
            <v/>
          </cell>
          <cell r="BI165">
            <v>0</v>
          </cell>
          <cell r="BJ165" t="str">
            <v/>
          </cell>
          <cell r="BK165" t="str">
            <v/>
          </cell>
          <cell r="BL165" t="str">
            <v/>
          </cell>
          <cell r="BM165" t="str">
            <v/>
          </cell>
          <cell r="BN165" t="str">
            <v/>
          </cell>
          <cell r="BO165" t="str">
            <v/>
          </cell>
          <cell r="BP165" t="str">
            <v/>
          </cell>
          <cell r="BQ165" t="str">
            <v/>
          </cell>
          <cell r="BR165" t="str">
            <v/>
          </cell>
          <cell r="BS165" t="str">
            <v/>
          </cell>
          <cell r="BT165" t="str">
            <v/>
          </cell>
          <cell r="BU165" t="str">
            <v/>
          </cell>
          <cell r="BV165" t="str">
            <v/>
          </cell>
          <cell r="BW165" t="str">
            <v/>
          </cell>
          <cell r="BX165" t="str">
            <v/>
          </cell>
          <cell r="BY165" t="str">
            <v/>
          </cell>
          <cell r="BZ165" t="str">
            <v/>
          </cell>
          <cell r="CA165" t="str">
            <v/>
          </cell>
          <cell r="CB165" t="str">
            <v/>
          </cell>
          <cell r="CC165" t="str">
            <v/>
          </cell>
          <cell r="CD165" t="str">
            <v/>
          </cell>
          <cell r="CE165" t="str">
            <v/>
          </cell>
          <cell r="CF165" t="str">
            <v/>
          </cell>
          <cell r="CG165" t="str">
            <v/>
          </cell>
          <cell r="CH165" t="str">
            <v/>
          </cell>
          <cell r="CI165" t="str">
            <v/>
          </cell>
          <cell r="CJ165" t="str">
            <v/>
          </cell>
          <cell r="CK165" t="str">
            <v/>
          </cell>
          <cell r="CL165" t="str">
            <v/>
          </cell>
          <cell r="CM165" t="str">
            <v/>
          </cell>
          <cell r="CN165">
            <v>0</v>
          </cell>
        </row>
        <row r="166">
          <cell r="V166" t="str">
            <v>PROJECTED RTM</v>
          </cell>
          <cell r="W166">
            <v>0</v>
          </cell>
          <cell r="X166">
            <v>0</v>
          </cell>
          <cell r="Y166" t="e">
            <v>#REF!</v>
          </cell>
          <cell r="Z166" t="e">
            <v>#REF!</v>
          </cell>
          <cell r="AA166" t="str">
            <v/>
          </cell>
          <cell r="AB166" t="str">
            <v/>
          </cell>
          <cell r="AC166" t="str">
            <v/>
          </cell>
          <cell r="AD166" t="str">
            <v/>
          </cell>
          <cell r="AE166" t="str">
            <v/>
          </cell>
          <cell r="AF166" t="str">
            <v/>
          </cell>
          <cell r="AG166" t="str">
            <v/>
          </cell>
          <cell r="AH166" t="str">
            <v/>
          </cell>
          <cell r="AI166" t="str">
            <v/>
          </cell>
          <cell r="AJ166" t="str">
            <v/>
          </cell>
          <cell r="AK166" t="str">
            <v/>
          </cell>
          <cell r="AL166" t="str">
            <v/>
          </cell>
          <cell r="AM166" t="str">
            <v/>
          </cell>
          <cell r="AN166" t="str">
            <v/>
          </cell>
          <cell r="AO166" t="str">
            <v/>
          </cell>
          <cell r="AP166" t="str">
            <v/>
          </cell>
          <cell r="AQ166" t="str">
            <v/>
          </cell>
          <cell r="AR166" t="str">
            <v/>
          </cell>
          <cell r="AS166" t="str">
            <v/>
          </cell>
          <cell r="AT166" t="str">
            <v/>
          </cell>
          <cell r="AU166" t="str">
            <v/>
          </cell>
          <cell r="AV166" t="str">
            <v/>
          </cell>
          <cell r="AW166" t="str">
            <v/>
          </cell>
          <cell r="AX166" t="str">
            <v/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 t="str">
            <v/>
          </cell>
          <cell r="BE166" t="str">
            <v/>
          </cell>
          <cell r="BF166" t="str">
            <v/>
          </cell>
          <cell r="BG166" t="str">
            <v/>
          </cell>
          <cell r="BH166" t="str">
            <v/>
          </cell>
          <cell r="BI166">
            <v>0</v>
          </cell>
          <cell r="BJ166" t="str">
            <v/>
          </cell>
          <cell r="BK166" t="str">
            <v/>
          </cell>
          <cell r="BL166" t="str">
            <v/>
          </cell>
          <cell r="BM166" t="str">
            <v/>
          </cell>
          <cell r="BN166" t="str">
            <v/>
          </cell>
          <cell r="BO166" t="str">
            <v/>
          </cell>
          <cell r="BP166" t="str">
            <v/>
          </cell>
          <cell r="BQ166" t="str">
            <v/>
          </cell>
          <cell r="BR166" t="str">
            <v/>
          </cell>
          <cell r="BS166" t="str">
            <v/>
          </cell>
          <cell r="BT166" t="str">
            <v/>
          </cell>
          <cell r="BU166" t="str">
            <v/>
          </cell>
          <cell r="BV166" t="str">
            <v/>
          </cell>
          <cell r="BW166" t="str">
            <v/>
          </cell>
          <cell r="BX166" t="str">
            <v/>
          </cell>
          <cell r="BY166" t="str">
            <v/>
          </cell>
          <cell r="BZ166" t="str">
            <v/>
          </cell>
          <cell r="CA166" t="str">
            <v/>
          </cell>
          <cell r="CB166" t="str">
            <v/>
          </cell>
          <cell r="CC166" t="str">
            <v/>
          </cell>
          <cell r="CD166" t="str">
            <v/>
          </cell>
          <cell r="CE166" t="str">
            <v/>
          </cell>
          <cell r="CF166" t="str">
            <v/>
          </cell>
          <cell r="CG166" t="str">
            <v/>
          </cell>
          <cell r="CH166" t="str">
            <v/>
          </cell>
          <cell r="CI166" t="str">
            <v/>
          </cell>
          <cell r="CJ166" t="str">
            <v/>
          </cell>
          <cell r="CK166" t="str">
            <v/>
          </cell>
          <cell r="CL166" t="str">
            <v/>
          </cell>
          <cell r="CM166" t="str">
            <v/>
          </cell>
          <cell r="CN166">
            <v>0</v>
          </cell>
        </row>
        <row r="167">
          <cell r="V167" t="str">
            <v>PROJECTED STREET</v>
          </cell>
        </row>
        <row r="168">
          <cell r="V168" t="str">
            <v>+ or - Scheduled Date</v>
          </cell>
        </row>
        <row r="169">
          <cell r="N169" t="str">
            <v>ENGINEERING</v>
          </cell>
          <cell r="O169">
            <v>0</v>
          </cell>
          <cell r="P169">
            <v>0</v>
          </cell>
          <cell r="Q169">
            <v>0</v>
          </cell>
          <cell r="R169" t="str">
            <v>ALADDIN READING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 t="str">
            <v>FRAMES</v>
          </cell>
          <cell r="X169">
            <v>2956.22</v>
          </cell>
          <cell r="Y169" t="str">
            <v>WK Count</v>
          </cell>
          <cell r="Z169" t="str">
            <v>Total Days</v>
          </cell>
        </row>
        <row r="170">
          <cell r="N170" t="str">
            <v>ENGINEERING</v>
          </cell>
          <cell r="O170">
            <v>0</v>
          </cell>
          <cell r="P170">
            <v>0</v>
          </cell>
          <cell r="Q170">
            <v>0</v>
          </cell>
          <cell r="R170" t="str">
            <v>ALADDIN READING</v>
          </cell>
          <cell r="S170">
            <v>0</v>
          </cell>
          <cell r="T170">
            <v>0</v>
          </cell>
          <cell r="U170">
            <v>0</v>
          </cell>
          <cell r="V170" t="str">
            <v xml:space="preserve">START </v>
          </cell>
          <cell r="W170" t="str">
            <v>FRAMES</v>
          </cell>
          <cell r="X170">
            <v>2956.22</v>
          </cell>
          <cell r="Y170" t="str">
            <v>WK Count</v>
          </cell>
          <cell r="Z170" t="str">
            <v>Total Days</v>
          </cell>
          <cell r="AA170" t="str">
            <v/>
          </cell>
          <cell r="AB170" t="str">
            <v/>
          </cell>
          <cell r="AC170" t="str">
            <v/>
          </cell>
          <cell r="AD170" t="str">
            <v/>
          </cell>
          <cell r="AE170" t="str">
            <v/>
          </cell>
          <cell r="AF170" t="str">
            <v/>
          </cell>
          <cell r="AG170" t="str">
            <v/>
          </cell>
          <cell r="AH170" t="str">
            <v/>
          </cell>
          <cell r="AI170" t="str">
            <v/>
          </cell>
          <cell r="AJ170" t="str">
            <v/>
          </cell>
          <cell r="AK170" t="str">
            <v/>
          </cell>
          <cell r="AL170" t="str">
            <v/>
          </cell>
          <cell r="AM170" t="str">
            <v/>
          </cell>
          <cell r="AN170" t="str">
            <v/>
          </cell>
          <cell r="AO170" t="str">
            <v/>
          </cell>
          <cell r="AP170" t="str">
            <v/>
          </cell>
          <cell r="AQ170" t="str">
            <v/>
          </cell>
          <cell r="AR170" t="str">
            <v/>
          </cell>
          <cell r="AS170" t="str">
            <v/>
          </cell>
          <cell r="AT170" t="str">
            <v/>
          </cell>
          <cell r="AU170" t="str">
            <v/>
          </cell>
          <cell r="AV170" t="str">
            <v/>
          </cell>
          <cell r="AW170" t="str">
            <v/>
          </cell>
          <cell r="AX170" t="str">
            <v/>
          </cell>
          <cell r="AY170" t="str">
            <v/>
          </cell>
          <cell r="AZ170">
            <v>35730</v>
          </cell>
          <cell r="BA170">
            <v>35737</v>
          </cell>
          <cell r="BB170">
            <v>35744</v>
          </cell>
          <cell r="BC170">
            <v>35751</v>
          </cell>
          <cell r="BD170">
            <v>35758</v>
          </cell>
          <cell r="BE170">
            <v>35765</v>
          </cell>
          <cell r="BF170">
            <v>35772</v>
          </cell>
          <cell r="BG170">
            <v>35779</v>
          </cell>
          <cell r="BH170">
            <v>35786</v>
          </cell>
          <cell r="BI170">
            <v>0</v>
          </cell>
          <cell r="BJ170" t="str">
            <v/>
          </cell>
          <cell r="BK170" t="str">
            <v/>
          </cell>
          <cell r="BL170" t="str">
            <v/>
          </cell>
          <cell r="BM170" t="str">
            <v/>
          </cell>
          <cell r="BN170" t="str">
            <v/>
          </cell>
          <cell r="BO170" t="str">
            <v/>
          </cell>
          <cell r="BP170" t="str">
            <v/>
          </cell>
          <cell r="BQ170" t="str">
            <v/>
          </cell>
          <cell r="BR170" t="str">
            <v/>
          </cell>
          <cell r="BS170" t="str">
            <v/>
          </cell>
          <cell r="BT170" t="str">
            <v/>
          </cell>
          <cell r="BU170" t="str">
            <v/>
          </cell>
          <cell r="BV170" t="str">
            <v/>
          </cell>
          <cell r="BW170" t="str">
            <v/>
          </cell>
          <cell r="BX170" t="str">
            <v/>
          </cell>
          <cell r="BY170" t="str">
            <v/>
          </cell>
          <cell r="BZ170" t="str">
            <v/>
          </cell>
          <cell r="CA170" t="str">
            <v/>
          </cell>
          <cell r="CB170" t="str">
            <v/>
          </cell>
          <cell r="CC170" t="str">
            <v/>
          </cell>
          <cell r="CD170" t="str">
            <v/>
          </cell>
          <cell r="CE170" t="str">
            <v/>
          </cell>
          <cell r="CF170" t="str">
            <v/>
          </cell>
          <cell r="CG170" t="str">
            <v/>
          </cell>
          <cell r="CH170" t="str">
            <v/>
          </cell>
          <cell r="CI170" t="str">
            <v/>
          </cell>
          <cell r="CJ170" t="str">
            <v/>
          </cell>
          <cell r="CK170" t="str">
            <v/>
          </cell>
          <cell r="CL170" t="str">
            <v/>
          </cell>
          <cell r="CM170" t="str">
            <v/>
          </cell>
          <cell r="CN170" t="str">
            <v/>
          </cell>
          <cell r="CO170" t="str">
            <v/>
          </cell>
          <cell r="CP170" t="str">
            <v/>
          </cell>
          <cell r="CQ170" t="str">
            <v/>
          </cell>
          <cell r="CR170" t="str">
            <v/>
          </cell>
          <cell r="CS170" t="str">
            <v/>
          </cell>
          <cell r="CT170" t="str">
            <v/>
          </cell>
          <cell r="CU170" t="str">
            <v/>
          </cell>
          <cell r="CV170" t="str">
            <v/>
          </cell>
          <cell r="CW170" t="str">
            <v/>
          </cell>
          <cell r="CX170" t="str">
            <v/>
          </cell>
          <cell r="CY170" t="str">
            <v/>
          </cell>
          <cell r="CZ170" t="str">
            <v/>
          </cell>
          <cell r="DA170" t="str">
            <v/>
          </cell>
          <cell r="DB170" t="str">
            <v/>
          </cell>
          <cell r="DC170" t="str">
            <v/>
          </cell>
          <cell r="DD170" t="str">
            <v/>
          </cell>
          <cell r="DE170" t="str">
            <v/>
          </cell>
          <cell r="DF170" t="str">
            <v/>
          </cell>
          <cell r="DG170" t="str">
            <v/>
          </cell>
          <cell r="DH170" t="str">
            <v/>
          </cell>
          <cell r="DI170" t="str">
            <v/>
          </cell>
          <cell r="DJ170" t="str">
            <v/>
          </cell>
          <cell r="DK170" t="str">
            <v/>
          </cell>
          <cell r="DL170" t="str">
            <v/>
          </cell>
          <cell r="DM170" t="str">
            <v/>
          </cell>
          <cell r="DN170" t="str">
            <v/>
          </cell>
          <cell r="DO170" t="str">
            <v/>
          </cell>
          <cell r="DP170" t="str">
            <v/>
          </cell>
          <cell r="DQ170" t="str">
            <v/>
          </cell>
          <cell r="DR170" t="str">
            <v/>
          </cell>
          <cell r="DS170" t="str">
            <v/>
          </cell>
          <cell r="DT170" t="str">
            <v/>
          </cell>
          <cell r="DU170" t="str">
            <v/>
          </cell>
          <cell r="DV170" t="str">
            <v/>
          </cell>
          <cell r="DW170" t="str">
            <v/>
          </cell>
          <cell r="DX170" t="str">
            <v/>
          </cell>
          <cell r="DY170" t="str">
            <v/>
          </cell>
          <cell r="DZ170" t="str">
            <v/>
          </cell>
          <cell r="EA170" t="str">
            <v/>
          </cell>
          <cell r="EB170" t="str">
            <v/>
          </cell>
          <cell r="EC170" t="str">
            <v/>
          </cell>
          <cell r="ED170" t="str">
            <v/>
          </cell>
          <cell r="EE170" t="str">
            <v/>
          </cell>
          <cell r="EF170" t="str">
            <v/>
          </cell>
          <cell r="EG170" t="str">
            <v/>
          </cell>
          <cell r="EH170" t="str">
            <v/>
          </cell>
          <cell r="EI170" t="str">
            <v/>
          </cell>
          <cell r="EJ170" t="str">
            <v/>
          </cell>
          <cell r="EK170" t="str">
            <v/>
          </cell>
          <cell r="EL170" t="str">
            <v/>
          </cell>
          <cell r="EM170" t="str">
            <v/>
          </cell>
          <cell r="EN170" t="str">
            <v/>
          </cell>
          <cell r="EO170" t="str">
            <v/>
          </cell>
          <cell r="EP170" t="str">
            <v/>
          </cell>
          <cell r="EQ170" t="str">
            <v/>
          </cell>
          <cell r="ER170" t="str">
            <v/>
          </cell>
          <cell r="ES170" t="str">
            <v/>
          </cell>
          <cell r="ET170" t="str">
            <v/>
          </cell>
          <cell r="EU170" t="str">
            <v/>
          </cell>
          <cell r="EV170" t="str">
            <v/>
          </cell>
          <cell r="EW170">
            <v>0</v>
          </cell>
          <cell r="EX170">
            <v>0</v>
          </cell>
          <cell r="EY170">
            <v>0</v>
          </cell>
          <cell r="EZ170">
            <v>0</v>
          </cell>
        </row>
        <row r="171">
          <cell r="A171" t="str">
            <v>PREP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 t="str">
            <v>ANIMATION</v>
          </cell>
          <cell r="G171">
            <v>0</v>
          </cell>
          <cell r="H171">
            <v>0</v>
          </cell>
          <cell r="I171" t="str">
            <v>INK &amp; PAINT</v>
          </cell>
          <cell r="J171">
            <v>0</v>
          </cell>
          <cell r="K171">
            <v>0</v>
          </cell>
          <cell r="L171" t="str">
            <v>ALPHA</v>
          </cell>
          <cell r="M171">
            <v>0</v>
          </cell>
          <cell r="N171" t="str">
            <v>BETA</v>
          </cell>
          <cell r="O171">
            <v>0</v>
          </cell>
          <cell r="P171" t="str">
            <v>RTM</v>
          </cell>
          <cell r="Q171">
            <v>0</v>
          </cell>
          <cell r="R171" t="str">
            <v>STREET</v>
          </cell>
          <cell r="S171">
            <v>0</v>
          </cell>
          <cell r="T171" t="str">
            <v>Prep Projection</v>
          </cell>
          <cell r="U171">
            <v>0</v>
          </cell>
          <cell r="V171" t="str">
            <v xml:space="preserve">START </v>
          </cell>
          <cell r="W171" t="str">
            <v>END</v>
          </cell>
          <cell r="X171">
            <v>400</v>
          </cell>
          <cell r="Y171">
            <v>9</v>
          </cell>
          <cell r="Z171">
            <v>65.73384999999999</v>
          </cell>
          <cell r="AA171" t="str">
            <v/>
          </cell>
          <cell r="AB171" t="str">
            <v/>
          </cell>
          <cell r="AC171" t="str">
            <v/>
          </cell>
          <cell r="AD171" t="str">
            <v/>
          </cell>
          <cell r="AE171" t="str">
            <v/>
          </cell>
          <cell r="AF171" t="str">
            <v/>
          </cell>
          <cell r="AG171" t="str">
            <v/>
          </cell>
          <cell r="AH171" t="str">
            <v/>
          </cell>
          <cell r="AI171" t="str">
            <v/>
          </cell>
          <cell r="AJ171" t="str">
            <v/>
          </cell>
          <cell r="AK171" t="str">
            <v/>
          </cell>
          <cell r="AL171" t="str">
            <v/>
          </cell>
          <cell r="AM171" t="str">
            <v/>
          </cell>
          <cell r="AN171" t="str">
            <v/>
          </cell>
          <cell r="AO171" t="str">
            <v/>
          </cell>
          <cell r="AP171" t="str">
            <v/>
          </cell>
          <cell r="AQ171" t="str">
            <v/>
          </cell>
          <cell r="AR171" t="str">
            <v/>
          </cell>
          <cell r="AS171" t="str">
            <v/>
          </cell>
          <cell r="AT171" t="str">
            <v/>
          </cell>
          <cell r="AU171" t="str">
            <v/>
          </cell>
          <cell r="AV171" t="str">
            <v/>
          </cell>
          <cell r="AW171" t="str">
            <v/>
          </cell>
          <cell r="AX171" t="str">
            <v/>
          </cell>
          <cell r="AY171" t="str">
            <v/>
          </cell>
          <cell r="AZ171">
            <v>35730</v>
          </cell>
          <cell r="BA171">
            <v>35737</v>
          </cell>
          <cell r="BB171">
            <v>35744</v>
          </cell>
          <cell r="BC171">
            <v>35751</v>
          </cell>
          <cell r="BD171">
            <v>35758</v>
          </cell>
          <cell r="BE171">
            <v>35765</v>
          </cell>
          <cell r="BF171">
            <v>35772</v>
          </cell>
          <cell r="BG171">
            <v>35779</v>
          </cell>
          <cell r="BH171">
            <v>35786</v>
          </cell>
          <cell r="BI171" t="str">
            <v/>
          </cell>
          <cell r="BJ171" t="str">
            <v/>
          </cell>
          <cell r="BK171" t="str">
            <v/>
          </cell>
          <cell r="BL171" t="str">
            <v/>
          </cell>
          <cell r="BM171" t="str">
            <v/>
          </cell>
          <cell r="BN171" t="str">
            <v/>
          </cell>
          <cell r="BO171" t="str">
            <v/>
          </cell>
          <cell r="BP171" t="str">
            <v/>
          </cell>
          <cell r="BQ171" t="str">
            <v/>
          </cell>
          <cell r="BR171" t="str">
            <v/>
          </cell>
          <cell r="BS171" t="str">
            <v/>
          </cell>
          <cell r="BT171" t="str">
            <v/>
          </cell>
          <cell r="BU171" t="str">
            <v/>
          </cell>
          <cell r="BV171" t="str">
            <v/>
          </cell>
          <cell r="BW171" t="str">
            <v/>
          </cell>
          <cell r="BX171" t="str">
            <v/>
          </cell>
          <cell r="BY171" t="str">
            <v/>
          </cell>
          <cell r="BZ171" t="str">
            <v/>
          </cell>
          <cell r="CA171" t="str">
            <v/>
          </cell>
          <cell r="CB171" t="str">
            <v/>
          </cell>
          <cell r="CC171" t="str">
            <v/>
          </cell>
          <cell r="CD171" t="str">
            <v/>
          </cell>
          <cell r="CE171" t="str">
            <v/>
          </cell>
          <cell r="CF171" t="str">
            <v/>
          </cell>
          <cell r="CG171" t="str">
            <v/>
          </cell>
          <cell r="CH171" t="str">
            <v/>
          </cell>
          <cell r="CI171" t="str">
            <v/>
          </cell>
          <cell r="CJ171" t="str">
            <v/>
          </cell>
          <cell r="CK171" t="str">
            <v/>
          </cell>
          <cell r="CL171" t="str">
            <v/>
          </cell>
          <cell r="CM171" t="str">
            <v/>
          </cell>
          <cell r="CN171" t="str">
            <v/>
          </cell>
          <cell r="CO171" t="str">
            <v/>
          </cell>
          <cell r="CP171" t="str">
            <v/>
          </cell>
          <cell r="CQ171" t="str">
            <v/>
          </cell>
          <cell r="CR171" t="str">
            <v/>
          </cell>
          <cell r="CS171" t="str">
            <v/>
          </cell>
          <cell r="CT171" t="str">
            <v/>
          </cell>
          <cell r="CU171" t="str">
            <v/>
          </cell>
          <cell r="CV171" t="str">
            <v/>
          </cell>
          <cell r="CW171" t="str">
            <v/>
          </cell>
          <cell r="CX171" t="str">
            <v/>
          </cell>
          <cell r="CY171" t="str">
            <v/>
          </cell>
          <cell r="CZ171" t="str">
            <v/>
          </cell>
          <cell r="DA171" t="str">
            <v/>
          </cell>
          <cell r="DB171" t="str">
            <v/>
          </cell>
          <cell r="DC171" t="str">
            <v/>
          </cell>
          <cell r="DD171" t="str">
            <v/>
          </cell>
          <cell r="DE171" t="str">
            <v/>
          </cell>
          <cell r="DF171" t="str">
            <v/>
          </cell>
          <cell r="DG171" t="str">
            <v/>
          </cell>
          <cell r="DH171" t="str">
            <v/>
          </cell>
          <cell r="DI171" t="str">
            <v/>
          </cell>
          <cell r="DJ171" t="str">
            <v/>
          </cell>
          <cell r="DK171" t="str">
            <v/>
          </cell>
          <cell r="DL171" t="str">
            <v/>
          </cell>
          <cell r="DM171" t="str">
            <v/>
          </cell>
          <cell r="DN171" t="str">
            <v/>
          </cell>
          <cell r="DO171" t="str">
            <v/>
          </cell>
          <cell r="DP171" t="str">
            <v/>
          </cell>
          <cell r="DQ171" t="str">
            <v/>
          </cell>
          <cell r="DR171" t="str">
            <v/>
          </cell>
          <cell r="DS171" t="str">
            <v/>
          </cell>
          <cell r="DT171" t="str">
            <v/>
          </cell>
          <cell r="DU171" t="str">
            <v/>
          </cell>
          <cell r="DV171" t="str">
            <v/>
          </cell>
          <cell r="DW171" t="str">
            <v/>
          </cell>
          <cell r="DX171" t="str">
            <v/>
          </cell>
          <cell r="DY171" t="str">
            <v/>
          </cell>
          <cell r="DZ171" t="str">
            <v/>
          </cell>
          <cell r="EA171" t="str">
            <v/>
          </cell>
          <cell r="EB171" t="str">
            <v/>
          </cell>
          <cell r="EC171" t="str">
            <v/>
          </cell>
          <cell r="ED171" t="str">
            <v/>
          </cell>
          <cell r="EE171" t="str">
            <v/>
          </cell>
          <cell r="EF171" t="str">
            <v/>
          </cell>
          <cell r="EG171" t="str">
            <v/>
          </cell>
          <cell r="EH171" t="str">
            <v/>
          </cell>
          <cell r="EI171" t="str">
            <v/>
          </cell>
          <cell r="EJ171" t="str">
            <v/>
          </cell>
          <cell r="EK171" t="str">
            <v/>
          </cell>
          <cell r="EL171" t="str">
            <v/>
          </cell>
          <cell r="EM171" t="str">
            <v/>
          </cell>
          <cell r="EN171" t="str">
            <v/>
          </cell>
          <cell r="EO171" t="str">
            <v/>
          </cell>
          <cell r="EP171" t="str">
            <v/>
          </cell>
          <cell r="EQ171" t="str">
            <v/>
          </cell>
          <cell r="ER171" t="str">
            <v/>
          </cell>
          <cell r="ES171" t="str">
            <v/>
          </cell>
          <cell r="ET171" t="str">
            <v/>
          </cell>
          <cell r="EU171" t="str">
            <v/>
          </cell>
          <cell r="EV171" t="str">
            <v/>
          </cell>
          <cell r="EW171" t="str">
            <v/>
          </cell>
        </row>
        <row r="172">
          <cell r="A172" t="str">
            <v>PREP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 t="str">
            <v>ANIMATION</v>
          </cell>
          <cell r="G172">
            <v>0</v>
          </cell>
          <cell r="H172">
            <v>0</v>
          </cell>
          <cell r="I172" t="str">
            <v>INK &amp; PAINT</v>
          </cell>
          <cell r="J172">
            <v>0</v>
          </cell>
          <cell r="K172">
            <v>0</v>
          </cell>
          <cell r="L172" t="str">
            <v>ALPHA</v>
          </cell>
          <cell r="M172">
            <v>0</v>
          </cell>
          <cell r="N172" t="str">
            <v>BETA</v>
          </cell>
          <cell r="O172">
            <v>0</v>
          </cell>
          <cell r="P172" t="str">
            <v>RTM</v>
          </cell>
          <cell r="Q172">
            <v>0</v>
          </cell>
          <cell r="R172" t="str">
            <v>STREET</v>
          </cell>
          <cell r="S172" t="str">
            <v>PRODUCTION TO DATE</v>
          </cell>
          <cell r="T172" t="str">
            <v>Prep Projection</v>
          </cell>
          <cell r="U172">
            <v>0</v>
          </cell>
          <cell r="V172">
            <v>35727</v>
          </cell>
          <cell r="W172">
            <v>35811</v>
          </cell>
          <cell r="X172">
            <v>400</v>
          </cell>
          <cell r="Y172">
            <v>9</v>
          </cell>
          <cell r="Z172">
            <v>65.73384999999999</v>
          </cell>
          <cell r="AA172" t="str">
            <v/>
          </cell>
          <cell r="AB172" t="str">
            <v/>
          </cell>
          <cell r="AC172" t="str">
            <v/>
          </cell>
          <cell r="AD172" t="str">
            <v/>
          </cell>
          <cell r="AE172" t="str">
            <v/>
          </cell>
          <cell r="AF172" t="str">
            <v/>
          </cell>
          <cell r="AG172" t="str">
            <v/>
          </cell>
          <cell r="AH172" t="str">
            <v/>
          </cell>
          <cell r="AI172" t="str">
            <v/>
          </cell>
          <cell r="AJ172" t="str">
            <v/>
          </cell>
          <cell r="AK172" t="str">
            <v/>
          </cell>
          <cell r="AL172" t="str">
            <v/>
          </cell>
          <cell r="AM172" t="str">
            <v/>
          </cell>
          <cell r="AN172" t="str">
            <v/>
          </cell>
          <cell r="AO172" t="str">
            <v/>
          </cell>
          <cell r="AP172" t="str">
            <v/>
          </cell>
          <cell r="AQ172" t="str">
            <v/>
          </cell>
          <cell r="AR172" t="str">
            <v/>
          </cell>
          <cell r="AS172" t="str">
            <v/>
          </cell>
          <cell r="AT172" t="str">
            <v/>
          </cell>
          <cell r="AU172" t="str">
            <v/>
          </cell>
          <cell r="AV172" t="str">
            <v/>
          </cell>
          <cell r="AW172" t="str">
            <v/>
          </cell>
          <cell r="AX172" t="str">
            <v/>
          </cell>
          <cell r="AY172" t="str">
            <v/>
          </cell>
          <cell r="AZ172">
            <v>100</v>
          </cell>
          <cell r="BA172">
            <v>200</v>
          </cell>
          <cell r="BB172">
            <v>300</v>
          </cell>
          <cell r="BC172">
            <v>400</v>
          </cell>
          <cell r="BD172">
            <v>400</v>
          </cell>
          <cell r="BE172">
            <v>400</v>
          </cell>
          <cell r="BF172">
            <v>400</v>
          </cell>
          <cell r="BG172">
            <v>400</v>
          </cell>
          <cell r="BH172">
            <v>400</v>
          </cell>
          <cell r="BI172" t="str">
            <v/>
          </cell>
          <cell r="BJ172" t="str">
            <v/>
          </cell>
          <cell r="BK172" t="str">
            <v/>
          </cell>
          <cell r="BL172" t="str">
            <v/>
          </cell>
          <cell r="BM172" t="str">
            <v/>
          </cell>
          <cell r="BN172" t="str">
            <v/>
          </cell>
          <cell r="BO172">
            <v>0</v>
          </cell>
          <cell r="BP172" t="str">
            <v/>
          </cell>
          <cell r="BQ172" t="str">
            <v/>
          </cell>
          <cell r="BR172" t="str">
            <v/>
          </cell>
          <cell r="BS172" t="str">
            <v/>
          </cell>
          <cell r="BT172" t="str">
            <v/>
          </cell>
          <cell r="BU172" t="str">
            <v/>
          </cell>
          <cell r="BV172" t="str">
            <v/>
          </cell>
          <cell r="BW172" t="str">
            <v/>
          </cell>
          <cell r="BX172" t="str">
            <v/>
          </cell>
          <cell r="BY172" t="str">
            <v/>
          </cell>
          <cell r="BZ172" t="str">
            <v/>
          </cell>
          <cell r="CA172" t="str">
            <v/>
          </cell>
          <cell r="CB172" t="str">
            <v/>
          </cell>
          <cell r="CC172" t="str">
            <v/>
          </cell>
          <cell r="CD172" t="str">
            <v/>
          </cell>
          <cell r="CE172" t="str">
            <v/>
          </cell>
          <cell r="CF172" t="str">
            <v/>
          </cell>
          <cell r="CG172" t="str">
            <v/>
          </cell>
          <cell r="CH172" t="str">
            <v/>
          </cell>
          <cell r="CI172" t="str">
            <v/>
          </cell>
          <cell r="CJ172" t="str">
            <v/>
          </cell>
          <cell r="CK172" t="str">
            <v/>
          </cell>
          <cell r="CL172" t="str">
            <v/>
          </cell>
          <cell r="CM172" t="str">
            <v/>
          </cell>
          <cell r="CN172" t="str">
            <v/>
          </cell>
          <cell r="CO172" t="str">
            <v/>
          </cell>
          <cell r="CP172" t="str">
            <v/>
          </cell>
          <cell r="CQ172" t="str">
            <v/>
          </cell>
          <cell r="CR172" t="str">
            <v/>
          </cell>
          <cell r="CS172" t="str">
            <v/>
          </cell>
          <cell r="CT172" t="str">
            <v/>
          </cell>
          <cell r="CU172" t="str">
            <v/>
          </cell>
          <cell r="CV172" t="str">
            <v/>
          </cell>
          <cell r="CW172" t="str">
            <v/>
          </cell>
          <cell r="CX172" t="str">
            <v/>
          </cell>
          <cell r="CY172" t="str">
            <v/>
          </cell>
          <cell r="CZ172" t="str">
            <v/>
          </cell>
          <cell r="DA172" t="str">
            <v/>
          </cell>
          <cell r="DB172" t="str">
            <v/>
          </cell>
          <cell r="DC172" t="str">
            <v/>
          </cell>
          <cell r="DD172" t="str">
            <v/>
          </cell>
          <cell r="DE172" t="str">
            <v/>
          </cell>
          <cell r="DF172" t="str">
            <v/>
          </cell>
          <cell r="DG172" t="str">
            <v/>
          </cell>
          <cell r="DH172" t="str">
            <v/>
          </cell>
          <cell r="DI172" t="str">
            <v/>
          </cell>
          <cell r="DJ172" t="str">
            <v/>
          </cell>
          <cell r="DK172" t="str">
            <v/>
          </cell>
          <cell r="DL172" t="str">
            <v/>
          </cell>
          <cell r="DM172" t="str">
            <v/>
          </cell>
          <cell r="DN172" t="str">
            <v/>
          </cell>
          <cell r="DO172" t="str">
            <v/>
          </cell>
          <cell r="DP172" t="str">
            <v/>
          </cell>
          <cell r="DQ172" t="str">
            <v/>
          </cell>
          <cell r="DR172" t="str">
            <v/>
          </cell>
          <cell r="DS172" t="str">
            <v/>
          </cell>
          <cell r="DT172" t="str">
            <v/>
          </cell>
          <cell r="DU172" t="str">
            <v/>
          </cell>
          <cell r="DV172" t="str">
            <v/>
          </cell>
          <cell r="DW172" t="str">
            <v/>
          </cell>
          <cell r="DX172" t="str">
            <v/>
          </cell>
          <cell r="DY172" t="str">
            <v/>
          </cell>
          <cell r="DZ172" t="str">
            <v/>
          </cell>
          <cell r="EA172" t="str">
            <v/>
          </cell>
          <cell r="EB172" t="str">
            <v/>
          </cell>
          <cell r="EC172" t="str">
            <v/>
          </cell>
          <cell r="ED172" t="str">
            <v/>
          </cell>
          <cell r="EE172" t="str">
            <v/>
          </cell>
          <cell r="EF172" t="str">
            <v/>
          </cell>
          <cell r="EG172" t="str">
            <v/>
          </cell>
          <cell r="EH172" t="str">
            <v/>
          </cell>
          <cell r="EI172" t="str">
            <v/>
          </cell>
          <cell r="EJ172" t="str">
            <v/>
          </cell>
          <cell r="EK172" t="str">
            <v/>
          </cell>
          <cell r="EL172" t="str">
            <v/>
          </cell>
          <cell r="EM172" t="str">
            <v/>
          </cell>
          <cell r="EN172" t="str">
            <v/>
          </cell>
          <cell r="EO172" t="str">
            <v/>
          </cell>
          <cell r="EP172" t="str">
            <v/>
          </cell>
          <cell r="EQ172" t="str">
            <v/>
          </cell>
          <cell r="ER172" t="str">
            <v/>
          </cell>
          <cell r="ES172" t="str">
            <v/>
          </cell>
          <cell r="ET172" t="str">
            <v/>
          </cell>
          <cell r="EU172" t="str">
            <v/>
          </cell>
          <cell r="EV172" t="str">
            <v/>
          </cell>
          <cell r="EW172" t="str">
            <v/>
          </cell>
        </row>
        <row r="173">
          <cell r="S173" t="str">
            <v>PRODUCTION TO DATE</v>
          </cell>
        </row>
        <row r="174">
          <cell r="T174" t="str">
            <v>Scenes Issued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</row>
        <row r="175">
          <cell r="T175" t="str">
            <v>Scenes Issued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</row>
        <row r="176">
          <cell r="T176" t="str">
            <v>Into Rough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</row>
        <row r="177">
          <cell r="T177" t="str">
            <v>Rough Complete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</row>
        <row r="178">
          <cell r="T178" t="str">
            <v>Ruff Approved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</row>
        <row r="179">
          <cell r="T179" t="str">
            <v>Clean Complete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</row>
        <row r="180">
          <cell r="T180" t="str">
            <v>Approved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</row>
        <row r="181">
          <cell r="T181" t="str">
            <v>Turned In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</row>
        <row r="182">
          <cell r="A182" t="str">
            <v>Wks</v>
          </cell>
          <cell r="B182" t="str">
            <v>Days</v>
          </cell>
          <cell r="C182">
            <v>0</v>
          </cell>
          <cell r="D182">
            <v>0</v>
          </cell>
          <cell r="E182">
            <v>0</v>
          </cell>
          <cell r="F182" t="str">
            <v>Wks</v>
          </cell>
          <cell r="G182" t="str">
            <v>Days</v>
          </cell>
          <cell r="H182" t="str">
            <v>Frames</v>
          </cell>
          <cell r="I182" t="str">
            <v>Wks</v>
          </cell>
          <cell r="J182" t="str">
            <v>Days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 t="str">
            <v>Animation Projection</v>
          </cell>
          <cell r="U182">
            <v>0</v>
          </cell>
          <cell r="V182">
            <v>35786</v>
          </cell>
          <cell r="W182">
            <v>35853</v>
          </cell>
          <cell r="X182">
            <v>750</v>
          </cell>
          <cell r="Y182">
            <v>12</v>
          </cell>
          <cell r="Z182">
            <v>57.591386666666665</v>
          </cell>
          <cell r="AA182" t="str">
            <v/>
          </cell>
          <cell r="AB182" t="str">
            <v/>
          </cell>
          <cell r="AC182" t="str">
            <v/>
          </cell>
          <cell r="AD182" t="str">
            <v/>
          </cell>
          <cell r="AE182" t="str">
            <v/>
          </cell>
          <cell r="AF182" t="str">
            <v/>
          </cell>
          <cell r="AG182" t="str">
            <v/>
          </cell>
          <cell r="AH182" t="str">
            <v/>
          </cell>
          <cell r="AI182" t="str">
            <v/>
          </cell>
          <cell r="AJ182" t="str">
            <v/>
          </cell>
          <cell r="AK182" t="str">
            <v/>
          </cell>
          <cell r="AL182" t="str">
            <v/>
          </cell>
          <cell r="AM182" t="str">
            <v/>
          </cell>
          <cell r="AN182" t="str">
            <v/>
          </cell>
          <cell r="AO182" t="str">
            <v/>
          </cell>
          <cell r="AP182" t="str">
            <v/>
          </cell>
          <cell r="AQ182" t="str">
            <v/>
          </cell>
          <cell r="AR182" t="str">
            <v/>
          </cell>
          <cell r="AS182" t="str">
            <v/>
          </cell>
          <cell r="AT182" t="str">
            <v/>
          </cell>
          <cell r="AU182" t="str">
            <v/>
          </cell>
          <cell r="AV182" t="str">
            <v/>
          </cell>
          <cell r="AW182" t="str">
            <v/>
          </cell>
          <cell r="AX182" t="str">
            <v/>
          </cell>
          <cell r="AY182" t="str">
            <v/>
          </cell>
          <cell r="AZ182" t="str">
            <v/>
          </cell>
          <cell r="BA182" t="str">
            <v/>
          </cell>
          <cell r="BB182" t="str">
            <v/>
          </cell>
          <cell r="BC182" t="str">
            <v/>
          </cell>
          <cell r="BD182" t="str">
            <v/>
          </cell>
          <cell r="BE182" t="str">
            <v/>
          </cell>
          <cell r="BF182" t="str">
            <v/>
          </cell>
          <cell r="BG182" t="str">
            <v/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375</v>
          </cell>
          <cell r="BM182">
            <v>425</v>
          </cell>
          <cell r="BN182">
            <v>425</v>
          </cell>
          <cell r="BO182">
            <v>425</v>
          </cell>
          <cell r="BP182">
            <v>425</v>
          </cell>
          <cell r="BQ182">
            <v>425</v>
          </cell>
          <cell r="BR182">
            <v>425</v>
          </cell>
          <cell r="BS182">
            <v>425</v>
          </cell>
          <cell r="BT182" t="str">
            <v/>
          </cell>
          <cell r="BU182" t="str">
            <v/>
          </cell>
          <cell r="BV182" t="str">
            <v/>
          </cell>
          <cell r="BW182" t="str">
            <v/>
          </cell>
          <cell r="BX182" t="str">
            <v/>
          </cell>
          <cell r="BY182" t="str">
            <v/>
          </cell>
          <cell r="BZ182" t="str">
            <v/>
          </cell>
          <cell r="CA182" t="str">
            <v/>
          </cell>
          <cell r="CB182" t="str">
            <v/>
          </cell>
          <cell r="CC182" t="str">
            <v/>
          </cell>
          <cell r="CD182" t="str">
            <v/>
          </cell>
          <cell r="CE182" t="str">
            <v/>
          </cell>
          <cell r="CF182" t="str">
            <v/>
          </cell>
          <cell r="CG182" t="str">
            <v/>
          </cell>
          <cell r="CH182" t="str">
            <v/>
          </cell>
          <cell r="CI182" t="str">
            <v/>
          </cell>
          <cell r="CJ182" t="str">
            <v/>
          </cell>
          <cell r="CK182" t="str">
            <v/>
          </cell>
          <cell r="CL182" t="str">
            <v/>
          </cell>
          <cell r="CM182" t="str">
            <v/>
          </cell>
          <cell r="CN182" t="str">
            <v/>
          </cell>
          <cell r="CO182" t="str">
            <v/>
          </cell>
          <cell r="CP182" t="str">
            <v/>
          </cell>
          <cell r="CQ182" t="str">
            <v/>
          </cell>
          <cell r="CR182" t="str">
            <v/>
          </cell>
          <cell r="CS182" t="str">
            <v/>
          </cell>
          <cell r="CT182" t="str">
            <v/>
          </cell>
          <cell r="CU182" t="str">
            <v/>
          </cell>
          <cell r="CV182" t="str">
            <v/>
          </cell>
          <cell r="CW182" t="str">
            <v/>
          </cell>
          <cell r="CX182" t="str">
            <v/>
          </cell>
          <cell r="CY182" t="str">
            <v/>
          </cell>
          <cell r="CZ182" t="str">
            <v/>
          </cell>
          <cell r="DA182" t="str">
            <v/>
          </cell>
          <cell r="DB182" t="str">
            <v/>
          </cell>
          <cell r="DC182" t="str">
            <v/>
          </cell>
          <cell r="DD182" t="str">
            <v/>
          </cell>
          <cell r="DE182" t="str">
            <v/>
          </cell>
          <cell r="DF182" t="str">
            <v/>
          </cell>
          <cell r="DG182" t="str">
            <v/>
          </cell>
          <cell r="DH182" t="str">
            <v/>
          </cell>
          <cell r="DI182" t="str">
            <v/>
          </cell>
          <cell r="DJ182" t="str">
            <v/>
          </cell>
          <cell r="DK182" t="str">
            <v/>
          </cell>
          <cell r="DL182" t="str">
            <v/>
          </cell>
          <cell r="DM182" t="str">
            <v/>
          </cell>
          <cell r="DN182" t="str">
            <v/>
          </cell>
          <cell r="DO182" t="str">
            <v/>
          </cell>
          <cell r="DP182" t="str">
            <v/>
          </cell>
          <cell r="DQ182" t="str">
            <v/>
          </cell>
          <cell r="DR182" t="str">
            <v/>
          </cell>
          <cell r="DS182" t="str">
            <v/>
          </cell>
          <cell r="DT182" t="str">
            <v/>
          </cell>
          <cell r="DU182" t="str">
            <v/>
          </cell>
          <cell r="DV182" t="str">
            <v/>
          </cell>
          <cell r="DW182" t="str">
            <v/>
          </cell>
          <cell r="DX182" t="str">
            <v/>
          </cell>
          <cell r="DY182" t="str">
            <v/>
          </cell>
          <cell r="DZ182" t="str">
            <v/>
          </cell>
          <cell r="EA182" t="str">
            <v/>
          </cell>
          <cell r="EB182" t="str">
            <v/>
          </cell>
          <cell r="EC182" t="str">
            <v/>
          </cell>
          <cell r="ED182" t="str">
            <v/>
          </cell>
          <cell r="EE182" t="str">
            <v/>
          </cell>
          <cell r="EF182" t="str">
            <v/>
          </cell>
          <cell r="EG182" t="str">
            <v/>
          </cell>
          <cell r="EH182" t="str">
            <v/>
          </cell>
          <cell r="EI182" t="str">
            <v/>
          </cell>
          <cell r="EJ182" t="str">
            <v/>
          </cell>
          <cell r="EK182" t="str">
            <v/>
          </cell>
          <cell r="EL182" t="str">
            <v/>
          </cell>
          <cell r="EM182" t="str">
            <v/>
          </cell>
          <cell r="EN182" t="str">
            <v/>
          </cell>
          <cell r="EO182" t="str">
            <v/>
          </cell>
          <cell r="EP182" t="str">
            <v/>
          </cell>
          <cell r="EQ182" t="str">
            <v/>
          </cell>
          <cell r="ER182" t="str">
            <v/>
          </cell>
          <cell r="ES182" t="str">
            <v/>
          </cell>
          <cell r="ET182" t="str">
            <v/>
          </cell>
          <cell r="EU182" t="str">
            <v/>
          </cell>
          <cell r="EV182" t="str">
            <v/>
          </cell>
          <cell r="EW182" t="str">
            <v/>
          </cell>
        </row>
        <row r="183">
          <cell r="A183" t="str">
            <v>Wks</v>
          </cell>
          <cell r="B183" t="str">
            <v>Days</v>
          </cell>
          <cell r="C183">
            <v>0</v>
          </cell>
          <cell r="D183">
            <v>0</v>
          </cell>
          <cell r="E183">
            <v>0</v>
          </cell>
          <cell r="F183" t="str">
            <v>Wks</v>
          </cell>
          <cell r="G183" t="str">
            <v>Days</v>
          </cell>
          <cell r="H183" t="str">
            <v>Frames</v>
          </cell>
          <cell r="I183" t="str">
            <v>Wks</v>
          </cell>
          <cell r="J183" t="str">
            <v>Days</v>
          </cell>
          <cell r="K183">
            <v>21</v>
          </cell>
          <cell r="L183">
            <v>0</v>
          </cell>
          <cell r="M183">
            <v>29</v>
          </cell>
          <cell r="N183">
            <v>0</v>
          </cell>
          <cell r="O183">
            <v>29</v>
          </cell>
          <cell r="P183">
            <v>0</v>
          </cell>
          <cell r="Q183">
            <v>29</v>
          </cell>
          <cell r="R183">
            <v>36008</v>
          </cell>
          <cell r="S183">
            <v>0</v>
          </cell>
          <cell r="T183" t="str">
            <v>Animation Projection</v>
          </cell>
          <cell r="U183">
            <v>0</v>
          </cell>
          <cell r="V183">
            <v>35786</v>
          </cell>
          <cell r="W183">
            <v>35863</v>
          </cell>
          <cell r="X183">
            <v>750</v>
          </cell>
          <cell r="Y183">
            <v>12</v>
          </cell>
          <cell r="Z183">
            <v>57.591386666666665</v>
          </cell>
          <cell r="AA183" t="str">
            <v/>
          </cell>
          <cell r="AB183" t="str">
            <v/>
          </cell>
          <cell r="AC183" t="str">
            <v/>
          </cell>
          <cell r="AD183" t="str">
            <v/>
          </cell>
          <cell r="AE183" t="str">
            <v/>
          </cell>
          <cell r="AF183" t="str">
            <v/>
          </cell>
          <cell r="AG183" t="str">
            <v/>
          </cell>
          <cell r="AH183" t="str">
            <v/>
          </cell>
          <cell r="AI183" t="str">
            <v/>
          </cell>
          <cell r="AJ183" t="str">
            <v/>
          </cell>
          <cell r="AK183" t="str">
            <v/>
          </cell>
          <cell r="AL183" t="str">
            <v/>
          </cell>
          <cell r="AM183" t="str">
            <v/>
          </cell>
          <cell r="AN183" t="str">
            <v/>
          </cell>
          <cell r="AO183" t="str">
            <v/>
          </cell>
          <cell r="AP183" t="str">
            <v/>
          </cell>
          <cell r="AQ183" t="str">
            <v/>
          </cell>
          <cell r="AR183" t="str">
            <v/>
          </cell>
          <cell r="AS183" t="str">
            <v/>
          </cell>
          <cell r="AT183" t="str">
            <v/>
          </cell>
          <cell r="AU183" t="str">
            <v/>
          </cell>
          <cell r="AV183" t="str">
            <v/>
          </cell>
          <cell r="AW183" t="str">
            <v/>
          </cell>
          <cell r="AX183" t="str">
            <v/>
          </cell>
          <cell r="AY183" t="str">
            <v/>
          </cell>
          <cell r="AZ183" t="str">
            <v/>
          </cell>
          <cell r="BA183" t="str">
            <v/>
          </cell>
          <cell r="BB183" t="str">
            <v/>
          </cell>
          <cell r="BC183" t="str">
            <v/>
          </cell>
          <cell r="BD183" t="str">
            <v/>
          </cell>
          <cell r="BE183" t="str">
            <v/>
          </cell>
          <cell r="BF183" t="str">
            <v/>
          </cell>
          <cell r="BG183" t="str">
            <v/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375</v>
          </cell>
          <cell r="BM183">
            <v>425</v>
          </cell>
          <cell r="BN183">
            <v>425</v>
          </cell>
          <cell r="BO183">
            <v>425</v>
          </cell>
          <cell r="BP183">
            <v>425</v>
          </cell>
          <cell r="BQ183">
            <v>425</v>
          </cell>
          <cell r="BR183">
            <v>425</v>
          </cell>
          <cell r="BS183">
            <v>425</v>
          </cell>
          <cell r="BT183" t="str">
            <v/>
          </cell>
          <cell r="BU183" t="str">
            <v/>
          </cell>
          <cell r="BV183" t="str">
            <v/>
          </cell>
          <cell r="BW183" t="str">
            <v/>
          </cell>
          <cell r="BX183" t="str">
            <v/>
          </cell>
          <cell r="BY183" t="str">
            <v/>
          </cell>
          <cell r="BZ183" t="str">
            <v/>
          </cell>
          <cell r="CA183" t="str">
            <v/>
          </cell>
          <cell r="CB183" t="str">
            <v/>
          </cell>
          <cell r="CC183" t="str">
            <v/>
          </cell>
          <cell r="CD183" t="str">
            <v/>
          </cell>
          <cell r="CE183" t="str">
            <v/>
          </cell>
          <cell r="CF183" t="str">
            <v/>
          </cell>
          <cell r="CG183" t="str">
            <v/>
          </cell>
          <cell r="CH183" t="str">
            <v/>
          </cell>
          <cell r="CI183" t="str">
            <v/>
          </cell>
          <cell r="CJ183" t="str">
            <v/>
          </cell>
          <cell r="CK183" t="str">
            <v/>
          </cell>
          <cell r="CL183" t="str">
            <v/>
          </cell>
          <cell r="CM183" t="str">
            <v/>
          </cell>
          <cell r="CN183" t="str">
            <v/>
          </cell>
          <cell r="CO183" t="str">
            <v/>
          </cell>
          <cell r="CP183" t="str">
            <v/>
          </cell>
          <cell r="CQ183" t="str">
            <v/>
          </cell>
          <cell r="CR183" t="str">
            <v/>
          </cell>
          <cell r="CS183" t="str">
            <v/>
          </cell>
          <cell r="CT183" t="str">
            <v/>
          </cell>
          <cell r="CU183" t="str">
            <v/>
          </cell>
          <cell r="CV183" t="str">
            <v/>
          </cell>
          <cell r="CW183" t="str">
            <v/>
          </cell>
          <cell r="CX183" t="str">
            <v/>
          </cell>
          <cell r="CY183" t="str">
            <v/>
          </cell>
          <cell r="CZ183" t="str">
            <v/>
          </cell>
          <cell r="DA183" t="str">
            <v/>
          </cell>
          <cell r="DB183" t="str">
            <v/>
          </cell>
          <cell r="DC183" t="str">
            <v/>
          </cell>
          <cell r="DD183" t="str">
            <v/>
          </cell>
          <cell r="DE183" t="str">
            <v/>
          </cell>
          <cell r="DF183" t="str">
            <v/>
          </cell>
          <cell r="DG183" t="str">
            <v/>
          </cell>
          <cell r="DH183" t="str">
            <v/>
          </cell>
          <cell r="DI183" t="str">
            <v/>
          </cell>
          <cell r="DJ183" t="str">
            <v/>
          </cell>
          <cell r="DK183" t="str">
            <v/>
          </cell>
          <cell r="DL183" t="str">
            <v/>
          </cell>
          <cell r="DM183" t="str">
            <v/>
          </cell>
          <cell r="DN183" t="str">
            <v/>
          </cell>
          <cell r="DO183" t="str">
            <v/>
          </cell>
          <cell r="DP183" t="str">
            <v/>
          </cell>
          <cell r="DQ183" t="str">
            <v/>
          </cell>
          <cell r="DR183" t="str">
            <v/>
          </cell>
          <cell r="DS183" t="str">
            <v/>
          </cell>
          <cell r="DT183" t="str">
            <v/>
          </cell>
          <cell r="DU183" t="str">
            <v/>
          </cell>
          <cell r="DV183" t="str">
            <v/>
          </cell>
          <cell r="DW183" t="str">
            <v/>
          </cell>
          <cell r="DX183" t="str">
            <v/>
          </cell>
          <cell r="DY183" t="str">
            <v/>
          </cell>
          <cell r="DZ183" t="str">
            <v/>
          </cell>
          <cell r="EA183" t="str">
            <v/>
          </cell>
          <cell r="EB183" t="str">
            <v/>
          </cell>
          <cell r="EC183" t="str">
            <v/>
          </cell>
          <cell r="ED183" t="str">
            <v/>
          </cell>
          <cell r="EE183" t="str">
            <v/>
          </cell>
          <cell r="EF183" t="str">
            <v/>
          </cell>
          <cell r="EG183" t="str">
            <v/>
          </cell>
          <cell r="EH183" t="str">
            <v/>
          </cell>
          <cell r="EI183" t="str">
            <v/>
          </cell>
          <cell r="EJ183" t="str">
            <v/>
          </cell>
          <cell r="EK183" t="str">
            <v/>
          </cell>
          <cell r="EL183" t="str">
            <v/>
          </cell>
          <cell r="EM183" t="str">
            <v/>
          </cell>
          <cell r="EN183" t="str">
            <v/>
          </cell>
          <cell r="EO183" t="str">
            <v/>
          </cell>
          <cell r="EP183" t="str">
            <v/>
          </cell>
          <cell r="EQ183" t="str">
            <v/>
          </cell>
          <cell r="ER183" t="str">
            <v/>
          </cell>
          <cell r="ES183" t="str">
            <v/>
          </cell>
          <cell r="ET183" t="str">
            <v/>
          </cell>
          <cell r="EU183" t="str">
            <v/>
          </cell>
          <cell r="EV183" t="str">
            <v/>
          </cell>
          <cell r="EW183" t="str">
            <v/>
          </cell>
        </row>
        <row r="184">
          <cell r="A184">
            <v>7.3905499999999993</v>
          </cell>
          <cell r="B184">
            <v>65.73384999999999</v>
          </cell>
          <cell r="C184">
            <v>0</v>
          </cell>
          <cell r="D184">
            <v>0</v>
          </cell>
          <cell r="E184">
            <v>0</v>
          </cell>
          <cell r="F184">
            <v>3.9416266666666666</v>
          </cell>
          <cell r="G184">
            <v>57.591386666666665</v>
          </cell>
          <cell r="H184">
            <v>2956.22</v>
          </cell>
          <cell r="I184">
            <v>3.2846888888888888</v>
          </cell>
          <cell r="J184">
            <v>36.992822222222223</v>
          </cell>
          <cell r="K184">
            <v>21</v>
          </cell>
          <cell r="L184">
            <v>0</v>
          </cell>
          <cell r="M184">
            <v>29</v>
          </cell>
          <cell r="N184">
            <v>0</v>
          </cell>
          <cell r="O184">
            <v>29</v>
          </cell>
          <cell r="P184">
            <v>0</v>
          </cell>
          <cell r="Q184">
            <v>29</v>
          </cell>
          <cell r="R184">
            <v>36008</v>
          </cell>
          <cell r="S184">
            <v>0</v>
          </cell>
          <cell r="T184" t="str">
            <v>Ink &amp; Paint Projection</v>
          </cell>
          <cell r="U184">
            <v>0</v>
          </cell>
          <cell r="V184">
            <v>35822</v>
          </cell>
          <cell r="W184">
            <v>35858.992822222222</v>
          </cell>
          <cell r="X184">
            <v>900</v>
          </cell>
          <cell r="Y184">
            <v>8</v>
          </cell>
          <cell r="Z184">
            <v>36.992822222222223</v>
          </cell>
          <cell r="AA184" t="str">
            <v/>
          </cell>
          <cell r="AB184" t="str">
            <v/>
          </cell>
          <cell r="AC184" t="str">
            <v/>
          </cell>
          <cell r="AD184" t="str">
            <v/>
          </cell>
          <cell r="AE184" t="str">
            <v/>
          </cell>
          <cell r="AF184" t="str">
            <v/>
          </cell>
          <cell r="AG184" t="str">
            <v/>
          </cell>
          <cell r="AH184" t="str">
            <v/>
          </cell>
          <cell r="AI184" t="str">
            <v/>
          </cell>
          <cell r="AJ184" t="str">
            <v/>
          </cell>
          <cell r="AK184" t="str">
            <v/>
          </cell>
          <cell r="AL184" t="str">
            <v/>
          </cell>
          <cell r="AM184" t="str">
            <v/>
          </cell>
          <cell r="AN184" t="str">
            <v/>
          </cell>
          <cell r="AO184" t="str">
            <v/>
          </cell>
          <cell r="AP184" t="str">
            <v/>
          </cell>
          <cell r="AQ184" t="str">
            <v/>
          </cell>
          <cell r="AR184" t="str">
            <v/>
          </cell>
          <cell r="AS184" t="str">
            <v/>
          </cell>
          <cell r="AT184" t="str">
            <v/>
          </cell>
          <cell r="AU184" t="str">
            <v/>
          </cell>
          <cell r="AV184" t="str">
            <v/>
          </cell>
          <cell r="AW184" t="str">
            <v/>
          </cell>
          <cell r="AX184" t="str">
            <v/>
          </cell>
          <cell r="AY184" t="str">
            <v/>
          </cell>
          <cell r="AZ184" t="str">
            <v/>
          </cell>
          <cell r="BA184" t="str">
            <v/>
          </cell>
          <cell r="BB184" t="str">
            <v/>
          </cell>
          <cell r="BC184" t="str">
            <v/>
          </cell>
          <cell r="BD184" t="str">
            <v/>
          </cell>
          <cell r="BE184" t="str">
            <v/>
          </cell>
          <cell r="BF184" t="str">
            <v/>
          </cell>
          <cell r="BG184" t="str">
            <v/>
          </cell>
          <cell r="BH184" t="str">
            <v/>
          </cell>
          <cell r="BI184" t="str">
            <v/>
          </cell>
          <cell r="BJ184" t="str">
            <v/>
          </cell>
          <cell r="BK184" t="str">
            <v/>
          </cell>
          <cell r="BL184" t="str">
            <v/>
          </cell>
          <cell r="BM184" t="str">
            <v/>
          </cell>
          <cell r="BN184">
            <v>225</v>
          </cell>
          <cell r="BO184">
            <v>450</v>
          </cell>
          <cell r="BP184">
            <v>450</v>
          </cell>
          <cell r="BQ184">
            <v>675</v>
          </cell>
          <cell r="BR184">
            <v>450</v>
          </cell>
          <cell r="BS184">
            <v>675</v>
          </cell>
          <cell r="BT184">
            <v>900</v>
          </cell>
          <cell r="BU184">
            <v>900</v>
          </cell>
          <cell r="BV184" t="str">
            <v/>
          </cell>
          <cell r="BW184" t="str">
            <v/>
          </cell>
          <cell r="BX184" t="str">
            <v/>
          </cell>
          <cell r="BY184" t="str">
            <v/>
          </cell>
          <cell r="BZ184" t="str">
            <v/>
          </cell>
          <cell r="CA184" t="str">
            <v/>
          </cell>
          <cell r="CB184" t="str">
            <v/>
          </cell>
          <cell r="CC184" t="str">
            <v/>
          </cell>
          <cell r="CD184" t="str">
            <v/>
          </cell>
          <cell r="CE184" t="str">
            <v/>
          </cell>
          <cell r="CF184" t="str">
            <v/>
          </cell>
          <cell r="CG184" t="str">
            <v/>
          </cell>
          <cell r="CH184" t="str">
            <v/>
          </cell>
          <cell r="CI184" t="str">
            <v/>
          </cell>
          <cell r="CJ184" t="str">
            <v/>
          </cell>
          <cell r="CK184" t="str">
            <v/>
          </cell>
          <cell r="CL184" t="str">
            <v/>
          </cell>
          <cell r="CM184" t="str">
            <v/>
          </cell>
          <cell r="CN184" t="str">
            <v/>
          </cell>
          <cell r="CO184" t="str">
            <v/>
          </cell>
          <cell r="CP184" t="str">
            <v/>
          </cell>
          <cell r="CQ184" t="str">
            <v/>
          </cell>
          <cell r="CR184" t="str">
            <v/>
          </cell>
          <cell r="CS184" t="str">
            <v/>
          </cell>
          <cell r="CT184" t="str">
            <v/>
          </cell>
          <cell r="CU184" t="str">
            <v/>
          </cell>
          <cell r="CV184" t="str">
            <v/>
          </cell>
          <cell r="CW184" t="str">
            <v/>
          </cell>
          <cell r="CX184" t="str">
            <v/>
          </cell>
          <cell r="CY184" t="str">
            <v/>
          </cell>
          <cell r="CZ184" t="str">
            <v/>
          </cell>
          <cell r="DA184" t="str">
            <v/>
          </cell>
          <cell r="DB184" t="str">
            <v/>
          </cell>
          <cell r="DC184" t="str">
            <v/>
          </cell>
          <cell r="DD184" t="str">
            <v/>
          </cell>
          <cell r="DE184" t="str">
            <v/>
          </cell>
          <cell r="DF184" t="str">
            <v/>
          </cell>
          <cell r="DG184" t="str">
            <v/>
          </cell>
          <cell r="DH184" t="str">
            <v/>
          </cell>
          <cell r="DI184" t="str">
            <v/>
          </cell>
          <cell r="DJ184" t="str">
            <v/>
          </cell>
          <cell r="DK184" t="str">
            <v/>
          </cell>
          <cell r="DL184" t="str">
            <v/>
          </cell>
          <cell r="DM184" t="str">
            <v/>
          </cell>
          <cell r="DN184" t="str">
            <v/>
          </cell>
          <cell r="DO184" t="str">
            <v/>
          </cell>
          <cell r="DP184" t="str">
            <v/>
          </cell>
          <cell r="DQ184" t="str">
            <v/>
          </cell>
          <cell r="DR184" t="str">
            <v/>
          </cell>
          <cell r="DS184" t="str">
            <v/>
          </cell>
          <cell r="DT184" t="str">
            <v/>
          </cell>
          <cell r="DU184" t="str">
            <v/>
          </cell>
          <cell r="DV184" t="str">
            <v/>
          </cell>
          <cell r="DW184" t="str">
            <v/>
          </cell>
          <cell r="DX184" t="str">
            <v/>
          </cell>
          <cell r="DY184" t="str">
            <v/>
          </cell>
          <cell r="DZ184" t="str">
            <v/>
          </cell>
          <cell r="EA184" t="str">
            <v/>
          </cell>
          <cell r="EB184" t="str">
            <v/>
          </cell>
          <cell r="EC184" t="str">
            <v/>
          </cell>
          <cell r="ED184" t="str">
            <v/>
          </cell>
          <cell r="EE184" t="str">
            <v/>
          </cell>
          <cell r="EF184" t="str">
            <v/>
          </cell>
          <cell r="EG184" t="str">
            <v/>
          </cell>
          <cell r="EH184" t="str">
            <v/>
          </cell>
          <cell r="EI184" t="str">
            <v/>
          </cell>
          <cell r="EJ184" t="str">
            <v/>
          </cell>
          <cell r="EK184" t="str">
            <v/>
          </cell>
          <cell r="EL184" t="str">
            <v/>
          </cell>
          <cell r="EM184" t="str">
            <v/>
          </cell>
          <cell r="EN184" t="str">
            <v/>
          </cell>
          <cell r="EO184" t="str">
            <v/>
          </cell>
          <cell r="EP184" t="str">
            <v/>
          </cell>
          <cell r="EQ184" t="str">
            <v/>
          </cell>
          <cell r="ER184" t="str">
            <v/>
          </cell>
          <cell r="ES184" t="str">
            <v/>
          </cell>
          <cell r="ET184" t="str">
            <v/>
          </cell>
          <cell r="EU184" t="str">
            <v/>
          </cell>
          <cell r="EV184" t="str">
            <v/>
          </cell>
          <cell r="EW184" t="str">
            <v/>
          </cell>
        </row>
        <row r="185">
          <cell r="V185">
            <v>35822</v>
          </cell>
          <cell r="W185">
            <v>35858.992822222222</v>
          </cell>
          <cell r="X185">
            <v>900</v>
          </cell>
          <cell r="Y185">
            <v>8</v>
          </cell>
          <cell r="Z185">
            <v>36.992822222222223</v>
          </cell>
          <cell r="AA185" t="str">
            <v/>
          </cell>
          <cell r="AB185" t="str">
            <v/>
          </cell>
          <cell r="AC185" t="str">
            <v/>
          </cell>
          <cell r="AD185" t="str">
            <v/>
          </cell>
          <cell r="AE185" t="str">
            <v/>
          </cell>
          <cell r="AF185" t="str">
            <v/>
          </cell>
          <cell r="AG185" t="str">
            <v/>
          </cell>
          <cell r="AH185" t="str">
            <v/>
          </cell>
          <cell r="AI185" t="str">
            <v/>
          </cell>
          <cell r="AJ185" t="str">
            <v/>
          </cell>
          <cell r="AK185" t="str">
            <v/>
          </cell>
          <cell r="AL185" t="str">
            <v/>
          </cell>
          <cell r="AM185" t="str">
            <v/>
          </cell>
          <cell r="AN185" t="str">
            <v/>
          </cell>
          <cell r="AO185" t="str">
            <v/>
          </cell>
          <cell r="AP185" t="str">
            <v/>
          </cell>
          <cell r="AQ185" t="str">
            <v/>
          </cell>
          <cell r="AR185" t="str">
            <v/>
          </cell>
          <cell r="AS185" t="str">
            <v/>
          </cell>
          <cell r="AT185" t="str">
            <v/>
          </cell>
          <cell r="AU185" t="str">
            <v/>
          </cell>
          <cell r="AV185" t="str">
            <v/>
          </cell>
          <cell r="AW185" t="str">
            <v/>
          </cell>
          <cell r="AX185" t="str">
            <v/>
          </cell>
          <cell r="AY185" t="str">
            <v/>
          </cell>
          <cell r="AZ185" t="str">
            <v/>
          </cell>
          <cell r="BA185" t="str">
            <v/>
          </cell>
          <cell r="BB185" t="str">
            <v/>
          </cell>
          <cell r="BC185" t="str">
            <v/>
          </cell>
          <cell r="BD185" t="str">
            <v/>
          </cell>
          <cell r="BE185" t="str">
            <v/>
          </cell>
          <cell r="BF185" t="str">
            <v/>
          </cell>
          <cell r="BG185" t="str">
            <v/>
          </cell>
          <cell r="BH185" t="str">
            <v/>
          </cell>
          <cell r="BI185" t="str">
            <v/>
          </cell>
          <cell r="BJ185" t="str">
            <v/>
          </cell>
          <cell r="BK185" t="str">
            <v/>
          </cell>
          <cell r="BL185" t="str">
            <v/>
          </cell>
          <cell r="BM185" t="str">
            <v/>
          </cell>
          <cell r="BN185">
            <v>225</v>
          </cell>
          <cell r="BO185">
            <v>450</v>
          </cell>
          <cell r="BP185">
            <v>450</v>
          </cell>
          <cell r="BQ185">
            <v>675</v>
          </cell>
          <cell r="BR185">
            <v>450</v>
          </cell>
          <cell r="BS185">
            <v>675</v>
          </cell>
          <cell r="BT185">
            <v>900</v>
          </cell>
          <cell r="BU185">
            <v>900</v>
          </cell>
          <cell r="BV185" t="str">
            <v/>
          </cell>
          <cell r="BW185" t="str">
            <v/>
          </cell>
          <cell r="BX185" t="str">
            <v/>
          </cell>
          <cell r="BY185" t="str">
            <v/>
          </cell>
          <cell r="BZ185" t="str">
            <v/>
          </cell>
          <cell r="CA185" t="str">
            <v/>
          </cell>
          <cell r="CB185" t="str">
            <v/>
          </cell>
          <cell r="CC185" t="str">
            <v/>
          </cell>
          <cell r="CD185" t="str">
            <v/>
          </cell>
          <cell r="CE185" t="str">
            <v/>
          </cell>
          <cell r="CF185" t="str">
            <v/>
          </cell>
          <cell r="CG185" t="str">
            <v/>
          </cell>
          <cell r="CH185" t="str">
            <v/>
          </cell>
          <cell r="CI185" t="str">
            <v/>
          </cell>
          <cell r="CJ185" t="str">
            <v/>
          </cell>
          <cell r="CK185" t="str">
            <v/>
          </cell>
          <cell r="CL185" t="str">
            <v/>
          </cell>
          <cell r="CM185" t="str">
            <v/>
          </cell>
          <cell r="CN185" t="str">
            <v/>
          </cell>
          <cell r="CO185" t="str">
            <v/>
          </cell>
          <cell r="CP185" t="str">
            <v/>
          </cell>
          <cell r="CQ185" t="str">
            <v/>
          </cell>
          <cell r="CR185" t="str">
            <v/>
          </cell>
          <cell r="CS185" t="str">
            <v/>
          </cell>
          <cell r="CT185" t="str">
            <v/>
          </cell>
          <cell r="CU185" t="str">
            <v/>
          </cell>
          <cell r="CV185" t="str">
            <v/>
          </cell>
          <cell r="CW185" t="str">
            <v/>
          </cell>
          <cell r="CX185" t="str">
            <v/>
          </cell>
          <cell r="CY185" t="str">
            <v/>
          </cell>
          <cell r="CZ185" t="str">
            <v/>
          </cell>
          <cell r="DA185" t="str">
            <v/>
          </cell>
          <cell r="DB185" t="str">
            <v/>
          </cell>
          <cell r="DC185" t="str">
            <v/>
          </cell>
          <cell r="DD185" t="str">
            <v/>
          </cell>
          <cell r="DE185" t="str">
            <v/>
          </cell>
          <cell r="DF185" t="str">
            <v/>
          </cell>
          <cell r="DG185" t="str">
            <v/>
          </cell>
          <cell r="DH185" t="str">
            <v/>
          </cell>
          <cell r="DI185" t="str">
            <v/>
          </cell>
          <cell r="DJ185" t="str">
            <v/>
          </cell>
          <cell r="DK185" t="str">
            <v/>
          </cell>
          <cell r="DL185" t="str">
            <v/>
          </cell>
          <cell r="DM185" t="str">
            <v/>
          </cell>
          <cell r="DN185" t="str">
            <v/>
          </cell>
          <cell r="DO185" t="str">
            <v/>
          </cell>
          <cell r="DP185" t="str">
            <v/>
          </cell>
          <cell r="DQ185" t="str">
            <v/>
          </cell>
          <cell r="DR185" t="str">
            <v/>
          </cell>
          <cell r="DS185" t="str">
            <v/>
          </cell>
          <cell r="DT185" t="str">
            <v/>
          </cell>
          <cell r="DU185" t="str">
            <v/>
          </cell>
          <cell r="DV185" t="str">
            <v/>
          </cell>
          <cell r="DW185" t="str">
            <v/>
          </cell>
          <cell r="DX185" t="str">
            <v/>
          </cell>
          <cell r="DY185" t="str">
            <v/>
          </cell>
          <cell r="DZ185" t="str">
            <v/>
          </cell>
          <cell r="EA185" t="str">
            <v/>
          </cell>
          <cell r="EB185" t="str">
            <v/>
          </cell>
          <cell r="EC185" t="str">
            <v/>
          </cell>
          <cell r="ED185" t="str">
            <v/>
          </cell>
          <cell r="EE185" t="str">
            <v/>
          </cell>
          <cell r="EF185" t="str">
            <v/>
          </cell>
          <cell r="EG185" t="str">
            <v/>
          </cell>
          <cell r="EH185" t="str">
            <v/>
          </cell>
          <cell r="EI185" t="str">
            <v/>
          </cell>
          <cell r="EJ185" t="str">
            <v/>
          </cell>
          <cell r="EK185" t="str">
            <v/>
          </cell>
          <cell r="EL185" t="str">
            <v/>
          </cell>
          <cell r="EM185" t="str">
            <v/>
          </cell>
          <cell r="EN185" t="str">
            <v/>
          </cell>
          <cell r="EO185" t="str">
            <v/>
          </cell>
          <cell r="EP185" t="str">
            <v/>
          </cell>
          <cell r="EQ185" t="str">
            <v/>
          </cell>
          <cell r="ER185" t="str">
            <v/>
          </cell>
          <cell r="ES185" t="str">
            <v/>
          </cell>
          <cell r="ET185" t="str">
            <v/>
          </cell>
          <cell r="EU185" t="str">
            <v/>
          </cell>
          <cell r="EV185" t="str">
            <v/>
          </cell>
          <cell r="EW185" t="str">
            <v/>
          </cell>
        </row>
        <row r="186">
          <cell r="T186" t="str">
            <v>BUDGET FORECAST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 t="str">
            <v/>
          </cell>
          <cell r="AB186" t="str">
            <v/>
          </cell>
          <cell r="AC186" t="str">
            <v/>
          </cell>
          <cell r="AD186" t="str">
            <v/>
          </cell>
          <cell r="AE186" t="str">
            <v/>
          </cell>
          <cell r="AF186" t="str">
            <v/>
          </cell>
          <cell r="AG186" t="str">
            <v/>
          </cell>
          <cell r="AH186" t="str">
            <v/>
          </cell>
          <cell r="AI186" t="str">
            <v/>
          </cell>
          <cell r="AJ186" t="str">
            <v/>
          </cell>
          <cell r="AK186" t="str">
            <v/>
          </cell>
          <cell r="AL186" t="str">
            <v/>
          </cell>
          <cell r="AM186" t="str">
            <v/>
          </cell>
          <cell r="AN186" t="str">
            <v/>
          </cell>
          <cell r="AO186" t="str">
            <v/>
          </cell>
          <cell r="AP186" t="str">
            <v/>
          </cell>
          <cell r="AQ186" t="str">
            <v/>
          </cell>
          <cell r="AR186" t="str">
            <v/>
          </cell>
          <cell r="AS186" t="str">
            <v/>
          </cell>
          <cell r="AT186" t="str">
            <v/>
          </cell>
          <cell r="AU186" t="str">
            <v/>
          </cell>
          <cell r="AV186" t="str">
            <v/>
          </cell>
          <cell r="AW186" t="str">
            <v/>
          </cell>
          <cell r="AX186" t="str">
            <v/>
          </cell>
          <cell r="AY186" t="str">
            <v/>
          </cell>
          <cell r="AZ186">
            <v>35730</v>
          </cell>
          <cell r="BA186">
            <v>35737</v>
          </cell>
          <cell r="BB186">
            <v>35744</v>
          </cell>
          <cell r="BC186">
            <v>35751</v>
          </cell>
          <cell r="BD186">
            <v>35758</v>
          </cell>
          <cell r="BE186">
            <v>35765</v>
          </cell>
          <cell r="BF186">
            <v>35772</v>
          </cell>
          <cell r="BG186">
            <v>35779</v>
          </cell>
          <cell r="BH186">
            <v>35786</v>
          </cell>
          <cell r="BI186" t="str">
            <v/>
          </cell>
          <cell r="BJ186" t="str">
            <v/>
          </cell>
          <cell r="BK186" t="str">
            <v/>
          </cell>
          <cell r="BL186" t="str">
            <v/>
          </cell>
          <cell r="BM186" t="str">
            <v/>
          </cell>
          <cell r="BN186" t="str">
            <v/>
          </cell>
          <cell r="BO186" t="str">
            <v/>
          </cell>
          <cell r="BP186" t="str">
            <v/>
          </cell>
          <cell r="BQ186" t="str">
            <v/>
          </cell>
          <cell r="BR186" t="str">
            <v/>
          </cell>
          <cell r="BS186" t="str">
            <v/>
          </cell>
          <cell r="BT186" t="str">
            <v/>
          </cell>
          <cell r="BU186" t="str">
            <v/>
          </cell>
          <cell r="BV186" t="str">
            <v/>
          </cell>
          <cell r="BW186" t="str">
            <v/>
          </cell>
          <cell r="BX186" t="str">
            <v/>
          </cell>
          <cell r="BY186" t="str">
            <v/>
          </cell>
          <cell r="BZ186" t="str">
            <v/>
          </cell>
          <cell r="CA186" t="str">
            <v/>
          </cell>
          <cell r="CB186" t="str">
            <v/>
          </cell>
          <cell r="CC186" t="str">
            <v/>
          </cell>
          <cell r="CD186" t="str">
            <v/>
          </cell>
          <cell r="CE186" t="str">
            <v/>
          </cell>
          <cell r="CF186" t="str">
            <v/>
          </cell>
          <cell r="CG186" t="str">
            <v/>
          </cell>
          <cell r="CH186" t="str">
            <v/>
          </cell>
          <cell r="CI186" t="str">
            <v/>
          </cell>
          <cell r="CJ186" t="str">
            <v/>
          </cell>
          <cell r="CK186" t="str">
            <v/>
          </cell>
          <cell r="CL186" t="str">
            <v/>
          </cell>
          <cell r="CM186" t="str">
            <v/>
          </cell>
          <cell r="CN186" t="str">
            <v/>
          </cell>
          <cell r="CO186" t="str">
            <v/>
          </cell>
          <cell r="CP186" t="str">
            <v/>
          </cell>
          <cell r="CQ186" t="str">
            <v/>
          </cell>
          <cell r="CR186" t="str">
            <v/>
          </cell>
          <cell r="CS186" t="str">
            <v/>
          </cell>
          <cell r="CT186" t="str">
            <v/>
          </cell>
          <cell r="CU186" t="str">
            <v/>
          </cell>
          <cell r="CV186" t="str">
            <v/>
          </cell>
          <cell r="CW186" t="str">
            <v/>
          </cell>
          <cell r="CX186" t="str">
            <v/>
          </cell>
          <cell r="CY186" t="str">
            <v/>
          </cell>
          <cell r="CZ186" t="str">
            <v/>
          </cell>
          <cell r="DA186" t="str">
            <v/>
          </cell>
          <cell r="DB186" t="str">
            <v/>
          </cell>
          <cell r="DC186" t="str">
            <v/>
          </cell>
          <cell r="DD186" t="str">
            <v/>
          </cell>
          <cell r="DE186" t="str">
            <v/>
          </cell>
          <cell r="DF186" t="str">
            <v/>
          </cell>
          <cell r="DG186" t="str">
            <v/>
          </cell>
          <cell r="DH186" t="str">
            <v/>
          </cell>
          <cell r="DI186" t="str">
            <v/>
          </cell>
          <cell r="DJ186" t="str">
            <v/>
          </cell>
          <cell r="DK186" t="str">
            <v/>
          </cell>
          <cell r="DL186" t="str">
            <v/>
          </cell>
          <cell r="DM186" t="str">
            <v/>
          </cell>
          <cell r="DN186" t="str">
            <v/>
          </cell>
          <cell r="DO186" t="str">
            <v/>
          </cell>
          <cell r="DP186" t="str">
            <v/>
          </cell>
          <cell r="DQ186" t="str">
            <v/>
          </cell>
          <cell r="DR186" t="str">
            <v/>
          </cell>
          <cell r="DS186" t="str">
            <v/>
          </cell>
          <cell r="DT186" t="str">
            <v/>
          </cell>
          <cell r="DU186" t="str">
            <v/>
          </cell>
          <cell r="DV186" t="str">
            <v/>
          </cell>
          <cell r="DW186" t="str">
            <v/>
          </cell>
          <cell r="DX186" t="str">
            <v/>
          </cell>
          <cell r="DY186" t="str">
            <v/>
          </cell>
          <cell r="DZ186" t="str">
            <v/>
          </cell>
          <cell r="EA186" t="str">
            <v/>
          </cell>
          <cell r="EB186" t="str">
            <v/>
          </cell>
          <cell r="EC186" t="str">
            <v/>
          </cell>
          <cell r="ED186" t="str">
            <v/>
          </cell>
          <cell r="EE186" t="str">
            <v/>
          </cell>
          <cell r="EF186" t="str">
            <v/>
          </cell>
          <cell r="EG186" t="str">
            <v/>
          </cell>
          <cell r="EH186" t="str">
            <v/>
          </cell>
          <cell r="EI186" t="str">
            <v/>
          </cell>
          <cell r="EJ186" t="str">
            <v/>
          </cell>
          <cell r="EK186" t="str">
            <v/>
          </cell>
          <cell r="EL186" t="str">
            <v/>
          </cell>
          <cell r="EM186" t="str">
            <v/>
          </cell>
          <cell r="EN186" t="str">
            <v/>
          </cell>
          <cell r="EO186" t="str">
            <v/>
          </cell>
          <cell r="EP186" t="str">
            <v/>
          </cell>
          <cell r="EQ186" t="str">
            <v/>
          </cell>
          <cell r="ER186" t="str">
            <v/>
          </cell>
          <cell r="ES186" t="str">
            <v/>
          </cell>
          <cell r="ET186" t="str">
            <v/>
          </cell>
          <cell r="EU186" t="str">
            <v/>
          </cell>
          <cell r="EV186" t="str">
            <v/>
          </cell>
          <cell r="EW186" t="str">
            <v/>
          </cell>
          <cell r="EX186" t="str">
            <v/>
          </cell>
          <cell r="EY186" t="str">
            <v/>
          </cell>
          <cell r="EZ186" t="str">
            <v/>
          </cell>
          <cell r="FA186" t="str">
            <v/>
          </cell>
          <cell r="FB186" t="str">
            <v/>
          </cell>
          <cell r="FC186" t="str">
            <v/>
          </cell>
          <cell r="FD186" t="str">
            <v/>
          </cell>
          <cell r="FE186" t="str">
            <v/>
          </cell>
          <cell r="FF186" t="str">
            <v/>
          </cell>
          <cell r="FG186" t="str">
            <v/>
          </cell>
          <cell r="FH186" t="str">
            <v/>
          </cell>
          <cell r="FI186" t="str">
            <v/>
          </cell>
          <cell r="FJ186">
            <v>0</v>
          </cell>
          <cell r="FK186">
            <v>0</v>
          </cell>
          <cell r="FL186">
            <v>0</v>
          </cell>
          <cell r="FM186">
            <v>0</v>
          </cell>
          <cell r="FN186">
            <v>0</v>
          </cell>
          <cell r="FO186">
            <v>0</v>
          </cell>
          <cell r="FP186">
            <v>0</v>
          </cell>
          <cell r="FQ186">
            <v>0</v>
          </cell>
          <cell r="FR186">
            <v>0</v>
          </cell>
          <cell r="FS186">
            <v>0</v>
          </cell>
          <cell r="FT186">
            <v>0</v>
          </cell>
          <cell r="FU186">
            <v>0</v>
          </cell>
          <cell r="FV186">
            <v>0</v>
          </cell>
          <cell r="FW186">
            <v>0</v>
          </cell>
          <cell r="FX186">
            <v>0</v>
          </cell>
        </row>
        <row r="187">
          <cell r="T187" t="str">
            <v>BUDGET FORECAST</v>
          </cell>
          <cell r="U187">
            <v>0</v>
          </cell>
          <cell r="V187" t="str">
            <v>PRE PROD</v>
          </cell>
          <cell r="W187">
            <v>30</v>
          </cell>
          <cell r="X187">
            <v>90000</v>
          </cell>
          <cell r="Y187">
            <v>0</v>
          </cell>
          <cell r="Z187">
            <v>0</v>
          </cell>
          <cell r="AA187" t="str">
            <v/>
          </cell>
          <cell r="AB187" t="str">
            <v/>
          </cell>
          <cell r="AC187" t="str">
            <v/>
          </cell>
          <cell r="AD187" t="str">
            <v/>
          </cell>
          <cell r="AE187" t="str">
            <v/>
          </cell>
          <cell r="AF187" t="str">
            <v/>
          </cell>
          <cell r="AG187" t="str">
            <v/>
          </cell>
          <cell r="AH187" t="str">
            <v/>
          </cell>
          <cell r="AI187" t="str">
            <v/>
          </cell>
          <cell r="AJ187" t="str">
            <v/>
          </cell>
          <cell r="AK187" t="str">
            <v/>
          </cell>
          <cell r="AL187" t="str">
            <v/>
          </cell>
          <cell r="AM187" t="str">
            <v/>
          </cell>
          <cell r="AN187" t="str">
            <v/>
          </cell>
          <cell r="AO187" t="str">
            <v/>
          </cell>
          <cell r="AP187" t="str">
            <v/>
          </cell>
          <cell r="AQ187" t="str">
            <v/>
          </cell>
          <cell r="AR187" t="str">
            <v/>
          </cell>
          <cell r="AS187" t="str">
            <v/>
          </cell>
          <cell r="AT187" t="str">
            <v/>
          </cell>
          <cell r="AU187" t="str">
            <v/>
          </cell>
          <cell r="AV187" t="str">
            <v/>
          </cell>
          <cell r="AW187" t="str">
            <v/>
          </cell>
          <cell r="AX187" t="str">
            <v/>
          </cell>
          <cell r="AY187" t="str">
            <v/>
          </cell>
          <cell r="AZ187">
            <v>3000</v>
          </cell>
          <cell r="BA187">
            <v>6000</v>
          </cell>
          <cell r="BB187">
            <v>9000</v>
          </cell>
          <cell r="BC187">
            <v>12000</v>
          </cell>
          <cell r="BD187">
            <v>12000</v>
          </cell>
          <cell r="BE187">
            <v>12000</v>
          </cell>
          <cell r="BF187">
            <v>12000</v>
          </cell>
          <cell r="BG187">
            <v>12000</v>
          </cell>
          <cell r="BH187">
            <v>12000</v>
          </cell>
          <cell r="BI187" t="str">
            <v/>
          </cell>
          <cell r="BJ187" t="str">
            <v/>
          </cell>
          <cell r="BK187" t="str">
            <v/>
          </cell>
          <cell r="BL187" t="str">
            <v/>
          </cell>
          <cell r="BM187" t="str">
            <v/>
          </cell>
          <cell r="BN187" t="str">
            <v/>
          </cell>
          <cell r="BO187" t="str">
            <v/>
          </cell>
          <cell r="BP187" t="str">
            <v/>
          </cell>
          <cell r="BQ187" t="str">
            <v/>
          </cell>
          <cell r="BR187" t="str">
            <v/>
          </cell>
          <cell r="BS187" t="str">
            <v/>
          </cell>
          <cell r="BT187" t="str">
            <v/>
          </cell>
          <cell r="BU187" t="str">
            <v/>
          </cell>
          <cell r="BV187" t="str">
            <v/>
          </cell>
          <cell r="BW187" t="str">
            <v/>
          </cell>
          <cell r="BX187" t="str">
            <v/>
          </cell>
          <cell r="BY187" t="str">
            <v/>
          </cell>
          <cell r="BZ187" t="str">
            <v/>
          </cell>
          <cell r="CA187" t="str">
            <v/>
          </cell>
          <cell r="CB187" t="str">
            <v/>
          </cell>
          <cell r="CC187" t="str">
            <v/>
          </cell>
          <cell r="CD187" t="str">
            <v/>
          </cell>
          <cell r="CE187" t="str">
            <v/>
          </cell>
          <cell r="CF187" t="str">
            <v/>
          </cell>
          <cell r="CG187" t="str">
            <v/>
          </cell>
          <cell r="CH187" t="str">
            <v/>
          </cell>
          <cell r="CI187" t="str">
            <v/>
          </cell>
          <cell r="CJ187" t="str">
            <v/>
          </cell>
          <cell r="CK187" t="str">
            <v/>
          </cell>
          <cell r="CL187" t="str">
            <v/>
          </cell>
          <cell r="CM187" t="str">
            <v/>
          </cell>
          <cell r="CN187" t="str">
            <v/>
          </cell>
          <cell r="CO187" t="str">
            <v/>
          </cell>
          <cell r="CP187" t="str">
            <v/>
          </cell>
          <cell r="CQ187" t="str">
            <v/>
          </cell>
          <cell r="CR187" t="str">
            <v/>
          </cell>
          <cell r="CS187" t="str">
            <v/>
          </cell>
          <cell r="CT187" t="str">
            <v/>
          </cell>
          <cell r="CU187" t="str">
            <v/>
          </cell>
          <cell r="CV187" t="str">
            <v/>
          </cell>
          <cell r="CW187" t="str">
            <v/>
          </cell>
          <cell r="CX187" t="str">
            <v/>
          </cell>
          <cell r="CY187" t="str">
            <v/>
          </cell>
          <cell r="CZ187" t="str">
            <v/>
          </cell>
          <cell r="DA187" t="str">
            <v/>
          </cell>
          <cell r="DB187" t="str">
            <v/>
          </cell>
          <cell r="DC187" t="str">
            <v/>
          </cell>
          <cell r="DD187" t="str">
            <v/>
          </cell>
          <cell r="DE187" t="str">
            <v/>
          </cell>
          <cell r="DF187" t="str">
            <v/>
          </cell>
          <cell r="DG187" t="str">
            <v/>
          </cell>
          <cell r="DH187" t="str">
            <v/>
          </cell>
          <cell r="DI187" t="str">
            <v/>
          </cell>
          <cell r="DJ187" t="str">
            <v/>
          </cell>
          <cell r="DK187" t="str">
            <v/>
          </cell>
          <cell r="DL187" t="str">
            <v/>
          </cell>
          <cell r="DM187" t="str">
            <v/>
          </cell>
          <cell r="DN187" t="str">
            <v/>
          </cell>
          <cell r="DO187" t="str">
            <v/>
          </cell>
          <cell r="DP187" t="str">
            <v/>
          </cell>
          <cell r="DQ187" t="str">
            <v/>
          </cell>
          <cell r="DR187" t="str">
            <v/>
          </cell>
          <cell r="DS187" t="str">
            <v/>
          </cell>
          <cell r="DT187" t="str">
            <v/>
          </cell>
          <cell r="DU187" t="str">
            <v/>
          </cell>
          <cell r="DV187" t="str">
            <v/>
          </cell>
          <cell r="DW187" t="str">
            <v/>
          </cell>
          <cell r="DX187" t="str">
            <v/>
          </cell>
          <cell r="DY187" t="str">
            <v/>
          </cell>
          <cell r="DZ187" t="str">
            <v/>
          </cell>
          <cell r="EA187" t="str">
            <v/>
          </cell>
          <cell r="EB187" t="str">
            <v/>
          </cell>
          <cell r="EC187" t="str">
            <v/>
          </cell>
          <cell r="ED187" t="str">
            <v/>
          </cell>
          <cell r="EE187" t="str">
            <v/>
          </cell>
          <cell r="EF187" t="str">
            <v/>
          </cell>
          <cell r="EG187" t="str">
            <v/>
          </cell>
          <cell r="EH187" t="str">
            <v/>
          </cell>
          <cell r="EI187" t="str">
            <v/>
          </cell>
          <cell r="EJ187" t="str">
            <v/>
          </cell>
          <cell r="EK187" t="str">
            <v/>
          </cell>
          <cell r="EL187" t="str">
            <v/>
          </cell>
          <cell r="EM187" t="str">
            <v/>
          </cell>
          <cell r="EN187" t="str">
            <v/>
          </cell>
          <cell r="EO187" t="str">
            <v/>
          </cell>
          <cell r="EP187" t="str">
            <v/>
          </cell>
          <cell r="EQ187" t="str">
            <v/>
          </cell>
          <cell r="ER187" t="str">
            <v/>
          </cell>
          <cell r="ES187" t="str">
            <v/>
          </cell>
          <cell r="ET187" t="str">
            <v/>
          </cell>
          <cell r="EU187" t="str">
            <v/>
          </cell>
          <cell r="EV187" t="str">
            <v/>
          </cell>
          <cell r="EW187" t="str">
            <v/>
          </cell>
          <cell r="EX187" t="str">
            <v/>
          </cell>
          <cell r="EY187" t="str">
            <v/>
          </cell>
          <cell r="EZ187" t="str">
            <v/>
          </cell>
          <cell r="FA187" t="str">
            <v/>
          </cell>
          <cell r="FB187" t="str">
            <v/>
          </cell>
          <cell r="FC187" t="str">
            <v/>
          </cell>
          <cell r="FD187" t="str">
            <v/>
          </cell>
          <cell r="FE187" t="str">
            <v/>
          </cell>
          <cell r="FF187" t="str">
            <v/>
          </cell>
          <cell r="FG187" t="str">
            <v/>
          </cell>
          <cell r="FH187" t="str">
            <v/>
          </cell>
          <cell r="FI187" t="str">
            <v/>
          </cell>
          <cell r="FJ187">
            <v>0</v>
          </cell>
          <cell r="FK187">
            <v>0</v>
          </cell>
          <cell r="FL187">
            <v>0</v>
          </cell>
          <cell r="FM187">
            <v>0</v>
          </cell>
          <cell r="FN187">
            <v>0</v>
          </cell>
          <cell r="FO187">
            <v>0</v>
          </cell>
          <cell r="FP187">
            <v>0</v>
          </cell>
          <cell r="FQ187">
            <v>0</v>
          </cell>
          <cell r="FR187">
            <v>0</v>
          </cell>
          <cell r="FS187">
            <v>0</v>
          </cell>
          <cell r="FT187">
            <v>0</v>
          </cell>
          <cell r="FU187">
            <v>0</v>
          </cell>
          <cell r="FV187">
            <v>0</v>
          </cell>
          <cell r="FW187">
            <v>0</v>
          </cell>
          <cell r="FX187">
            <v>0</v>
          </cell>
          <cell r="FY187">
            <v>0</v>
          </cell>
          <cell r="FZ187">
            <v>0</v>
          </cell>
          <cell r="GA187">
            <v>0</v>
          </cell>
          <cell r="GB187">
            <v>0</v>
          </cell>
        </row>
        <row r="188">
          <cell r="V188" t="str">
            <v>PRE PROD</v>
          </cell>
          <cell r="W188">
            <v>30</v>
          </cell>
          <cell r="X188">
            <v>97000</v>
          </cell>
          <cell r="Y188">
            <v>0</v>
          </cell>
          <cell r="Z188">
            <v>0</v>
          </cell>
          <cell r="AA188" t="str">
            <v/>
          </cell>
          <cell r="AB188" t="str">
            <v/>
          </cell>
          <cell r="AC188" t="str">
            <v/>
          </cell>
          <cell r="AD188" t="str">
            <v/>
          </cell>
          <cell r="AE188" t="str">
            <v/>
          </cell>
          <cell r="AF188" t="str">
            <v/>
          </cell>
          <cell r="AG188" t="str">
            <v/>
          </cell>
          <cell r="AH188" t="str">
            <v/>
          </cell>
          <cell r="AI188" t="str">
            <v/>
          </cell>
          <cell r="AJ188" t="str">
            <v/>
          </cell>
          <cell r="AK188" t="str">
            <v/>
          </cell>
          <cell r="AL188" t="str">
            <v/>
          </cell>
          <cell r="AM188" t="str">
            <v/>
          </cell>
          <cell r="AN188" t="str">
            <v/>
          </cell>
          <cell r="AO188" t="str">
            <v/>
          </cell>
          <cell r="AP188" t="str">
            <v/>
          </cell>
          <cell r="AQ188" t="str">
            <v/>
          </cell>
          <cell r="AR188" t="str">
            <v/>
          </cell>
          <cell r="AS188" t="str">
            <v/>
          </cell>
          <cell r="AT188" t="str">
            <v/>
          </cell>
          <cell r="AU188" t="str">
            <v/>
          </cell>
          <cell r="AV188" t="str">
            <v/>
          </cell>
          <cell r="AW188" t="str">
            <v/>
          </cell>
          <cell r="AX188" t="str">
            <v/>
          </cell>
          <cell r="AY188" t="str">
            <v/>
          </cell>
          <cell r="AZ188">
            <v>3000</v>
          </cell>
          <cell r="BA188">
            <v>6000</v>
          </cell>
          <cell r="BB188">
            <v>9000</v>
          </cell>
          <cell r="BC188">
            <v>12000</v>
          </cell>
          <cell r="BD188">
            <v>12000</v>
          </cell>
          <cell r="BE188">
            <v>12000</v>
          </cell>
          <cell r="BF188">
            <v>13000</v>
          </cell>
          <cell r="BG188">
            <v>18000</v>
          </cell>
          <cell r="BH188">
            <v>12000</v>
          </cell>
          <cell r="BI188" t="str">
            <v/>
          </cell>
          <cell r="BJ188" t="str">
            <v/>
          </cell>
          <cell r="BK188" t="str">
            <v/>
          </cell>
          <cell r="BL188" t="str">
            <v/>
          </cell>
          <cell r="BM188" t="str">
            <v/>
          </cell>
          <cell r="BN188" t="str">
            <v/>
          </cell>
          <cell r="BO188" t="str">
            <v/>
          </cell>
          <cell r="BP188" t="str">
            <v/>
          </cell>
          <cell r="BQ188" t="str">
            <v/>
          </cell>
          <cell r="BR188" t="str">
            <v/>
          </cell>
          <cell r="BS188" t="str">
            <v/>
          </cell>
          <cell r="BT188" t="str">
            <v/>
          </cell>
          <cell r="BU188" t="str">
            <v/>
          </cell>
          <cell r="BV188" t="str">
            <v/>
          </cell>
          <cell r="BW188" t="str">
            <v/>
          </cell>
          <cell r="BX188" t="str">
            <v/>
          </cell>
          <cell r="BY188" t="str">
            <v/>
          </cell>
          <cell r="BZ188" t="str">
            <v/>
          </cell>
          <cell r="CA188" t="str">
            <v/>
          </cell>
          <cell r="CB188" t="str">
            <v/>
          </cell>
          <cell r="CC188" t="str">
            <v/>
          </cell>
          <cell r="CD188" t="str">
            <v/>
          </cell>
          <cell r="CE188" t="str">
            <v/>
          </cell>
          <cell r="CF188" t="str">
            <v/>
          </cell>
          <cell r="CG188" t="str">
            <v/>
          </cell>
          <cell r="CH188" t="str">
            <v/>
          </cell>
          <cell r="CI188" t="str">
            <v/>
          </cell>
          <cell r="CJ188" t="str">
            <v/>
          </cell>
          <cell r="CK188" t="str">
            <v/>
          </cell>
          <cell r="CL188" t="str">
            <v/>
          </cell>
          <cell r="CM188" t="str">
            <v/>
          </cell>
          <cell r="CN188" t="str">
            <v/>
          </cell>
          <cell r="CO188" t="str">
            <v/>
          </cell>
          <cell r="CP188" t="str">
            <v/>
          </cell>
          <cell r="CQ188" t="str">
            <v/>
          </cell>
          <cell r="CR188" t="str">
            <v/>
          </cell>
          <cell r="CS188" t="str">
            <v/>
          </cell>
          <cell r="CT188" t="str">
            <v/>
          </cell>
          <cell r="CU188" t="str">
            <v/>
          </cell>
          <cell r="CV188" t="str">
            <v/>
          </cell>
          <cell r="CW188" t="str">
            <v/>
          </cell>
          <cell r="CX188" t="str">
            <v/>
          </cell>
          <cell r="CY188" t="str">
            <v/>
          </cell>
          <cell r="CZ188" t="str">
            <v/>
          </cell>
          <cell r="DA188" t="str">
            <v/>
          </cell>
          <cell r="DB188" t="str">
            <v/>
          </cell>
          <cell r="DC188" t="str">
            <v/>
          </cell>
          <cell r="DD188" t="str">
            <v/>
          </cell>
          <cell r="DE188" t="str">
            <v/>
          </cell>
          <cell r="DF188" t="str">
            <v/>
          </cell>
          <cell r="DG188" t="str">
            <v/>
          </cell>
          <cell r="DH188" t="str">
            <v/>
          </cell>
          <cell r="DI188" t="str">
            <v/>
          </cell>
          <cell r="DJ188" t="str">
            <v/>
          </cell>
          <cell r="DK188" t="str">
            <v/>
          </cell>
          <cell r="DL188" t="str">
            <v/>
          </cell>
          <cell r="DM188" t="str">
            <v/>
          </cell>
          <cell r="DN188" t="str">
            <v/>
          </cell>
          <cell r="DO188" t="str">
            <v/>
          </cell>
          <cell r="DP188" t="str">
            <v/>
          </cell>
          <cell r="DQ188" t="str">
            <v/>
          </cell>
          <cell r="DR188" t="str">
            <v/>
          </cell>
          <cell r="DS188" t="str">
            <v/>
          </cell>
          <cell r="DT188" t="str">
            <v/>
          </cell>
          <cell r="DU188" t="str">
            <v/>
          </cell>
          <cell r="DV188" t="str">
            <v/>
          </cell>
          <cell r="DW188" t="str">
            <v/>
          </cell>
          <cell r="DX188" t="str">
            <v/>
          </cell>
          <cell r="DY188" t="str">
            <v/>
          </cell>
          <cell r="DZ188" t="str">
            <v/>
          </cell>
          <cell r="EA188" t="str">
            <v/>
          </cell>
          <cell r="EB188" t="str">
            <v/>
          </cell>
          <cell r="EC188" t="str">
            <v/>
          </cell>
          <cell r="ED188" t="str">
            <v/>
          </cell>
          <cell r="EE188" t="str">
            <v/>
          </cell>
          <cell r="EF188" t="str">
            <v/>
          </cell>
          <cell r="EG188" t="str">
            <v/>
          </cell>
          <cell r="EH188" t="str">
            <v/>
          </cell>
          <cell r="EI188" t="str">
            <v/>
          </cell>
          <cell r="EJ188" t="str">
            <v/>
          </cell>
          <cell r="EK188" t="str">
            <v/>
          </cell>
          <cell r="EL188" t="str">
            <v/>
          </cell>
          <cell r="EM188" t="str">
            <v/>
          </cell>
          <cell r="EN188" t="str">
            <v/>
          </cell>
          <cell r="EO188" t="str">
            <v/>
          </cell>
          <cell r="EP188" t="str">
            <v/>
          </cell>
          <cell r="EQ188" t="str">
            <v/>
          </cell>
          <cell r="ER188" t="str">
            <v/>
          </cell>
          <cell r="ES188" t="str">
            <v/>
          </cell>
          <cell r="ET188" t="str">
            <v/>
          </cell>
          <cell r="EU188" t="str">
            <v/>
          </cell>
          <cell r="EV188" t="str">
            <v/>
          </cell>
          <cell r="EW188" t="str">
            <v/>
          </cell>
          <cell r="EX188" t="str">
            <v/>
          </cell>
          <cell r="EY188" t="str">
            <v/>
          </cell>
          <cell r="EZ188" t="str">
            <v/>
          </cell>
          <cell r="FA188" t="str">
            <v/>
          </cell>
          <cell r="FB188" t="str">
            <v/>
          </cell>
          <cell r="FC188" t="str">
            <v/>
          </cell>
          <cell r="FD188" t="str">
            <v/>
          </cell>
          <cell r="FE188" t="str">
            <v/>
          </cell>
          <cell r="FF188" t="str">
            <v/>
          </cell>
          <cell r="FG188" t="str">
            <v/>
          </cell>
          <cell r="FH188" t="str">
            <v/>
          </cell>
          <cell r="FI188" t="str">
            <v/>
          </cell>
          <cell r="FJ188">
            <v>0</v>
          </cell>
          <cell r="FK188">
            <v>0</v>
          </cell>
          <cell r="FL188">
            <v>0</v>
          </cell>
          <cell r="FM188">
            <v>0</v>
          </cell>
          <cell r="FN188">
            <v>0</v>
          </cell>
          <cell r="FO188">
            <v>0</v>
          </cell>
          <cell r="FP188">
            <v>0</v>
          </cell>
          <cell r="FQ188">
            <v>0</v>
          </cell>
          <cell r="FR188">
            <v>0</v>
          </cell>
          <cell r="FS188">
            <v>0</v>
          </cell>
          <cell r="FT188">
            <v>0</v>
          </cell>
          <cell r="FU188">
            <v>0</v>
          </cell>
          <cell r="FV188">
            <v>0</v>
          </cell>
          <cell r="FW188">
            <v>0</v>
          </cell>
          <cell r="FX188">
            <v>0</v>
          </cell>
          <cell r="FY188">
            <v>0</v>
          </cell>
          <cell r="FZ188">
            <v>0</v>
          </cell>
          <cell r="GA188">
            <v>0</v>
          </cell>
          <cell r="GB188">
            <v>0</v>
          </cell>
        </row>
        <row r="189">
          <cell r="V189" t="str">
            <v>PRODUCTION</v>
          </cell>
          <cell r="W189">
            <v>150</v>
          </cell>
          <cell r="X189">
            <v>438750</v>
          </cell>
          <cell r="Y189">
            <v>0</v>
          </cell>
          <cell r="Z189">
            <v>0</v>
          </cell>
          <cell r="AA189">
            <v>0</v>
          </cell>
          <cell r="AB189" t="str">
            <v/>
          </cell>
          <cell r="AC189" t="str">
            <v/>
          </cell>
          <cell r="AD189" t="str">
            <v/>
          </cell>
          <cell r="AE189" t="str">
            <v/>
          </cell>
          <cell r="AF189" t="str">
            <v/>
          </cell>
          <cell r="AG189" t="str">
            <v/>
          </cell>
          <cell r="AH189" t="str">
            <v/>
          </cell>
          <cell r="AI189" t="str">
            <v/>
          </cell>
          <cell r="AJ189" t="str">
            <v/>
          </cell>
          <cell r="AK189" t="str">
            <v/>
          </cell>
          <cell r="AL189" t="str">
            <v/>
          </cell>
          <cell r="AM189" t="str">
            <v/>
          </cell>
          <cell r="AN189" t="str">
            <v/>
          </cell>
          <cell r="AO189" t="str">
            <v/>
          </cell>
          <cell r="AP189" t="str">
            <v/>
          </cell>
          <cell r="AQ189" t="str">
            <v/>
          </cell>
          <cell r="AR189" t="str">
            <v/>
          </cell>
          <cell r="AS189" t="str">
            <v/>
          </cell>
          <cell r="AT189" t="str">
            <v/>
          </cell>
          <cell r="AU189" t="str">
            <v/>
          </cell>
          <cell r="AV189" t="str">
            <v/>
          </cell>
          <cell r="AW189" t="str">
            <v/>
          </cell>
          <cell r="AX189" t="str">
            <v/>
          </cell>
          <cell r="AY189" t="str">
            <v/>
          </cell>
          <cell r="AZ189" t="str">
            <v/>
          </cell>
          <cell r="BA189" t="str">
            <v/>
          </cell>
          <cell r="BB189" t="str">
            <v/>
          </cell>
          <cell r="BC189" t="str">
            <v/>
          </cell>
          <cell r="BD189" t="str">
            <v/>
          </cell>
          <cell r="BE189" t="str">
            <v/>
          </cell>
          <cell r="BF189" t="str">
            <v/>
          </cell>
          <cell r="BG189" t="str">
            <v/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56250</v>
          </cell>
          <cell r="BM189">
            <v>63750</v>
          </cell>
          <cell r="BN189">
            <v>63750</v>
          </cell>
          <cell r="BO189">
            <v>63750</v>
          </cell>
          <cell r="BP189">
            <v>63750</v>
          </cell>
          <cell r="BQ189">
            <v>63750</v>
          </cell>
          <cell r="BR189">
            <v>63750</v>
          </cell>
          <cell r="BS189" t="str">
            <v/>
          </cell>
          <cell r="BT189" t="str">
            <v/>
          </cell>
          <cell r="BU189" t="str">
            <v/>
          </cell>
          <cell r="BV189" t="str">
            <v/>
          </cell>
          <cell r="BW189" t="str">
            <v/>
          </cell>
          <cell r="BX189" t="str">
            <v/>
          </cell>
          <cell r="BY189" t="str">
            <v/>
          </cell>
          <cell r="BZ189" t="str">
            <v/>
          </cell>
          <cell r="CA189" t="str">
            <v/>
          </cell>
          <cell r="CB189" t="str">
            <v/>
          </cell>
          <cell r="CC189" t="str">
            <v/>
          </cell>
          <cell r="CD189" t="str">
            <v/>
          </cell>
          <cell r="CE189" t="str">
            <v/>
          </cell>
          <cell r="CF189" t="str">
            <v/>
          </cell>
          <cell r="CG189" t="str">
            <v/>
          </cell>
          <cell r="CH189" t="str">
            <v/>
          </cell>
          <cell r="CI189" t="str">
            <v/>
          </cell>
          <cell r="CJ189" t="str">
            <v/>
          </cell>
          <cell r="CK189" t="str">
            <v/>
          </cell>
          <cell r="CL189" t="str">
            <v/>
          </cell>
          <cell r="CM189" t="str">
            <v/>
          </cell>
          <cell r="CN189" t="str">
            <v/>
          </cell>
          <cell r="CO189" t="str">
            <v/>
          </cell>
          <cell r="CP189" t="str">
            <v/>
          </cell>
          <cell r="CQ189" t="str">
            <v/>
          </cell>
          <cell r="CR189" t="str">
            <v/>
          </cell>
          <cell r="CS189" t="str">
            <v/>
          </cell>
          <cell r="CT189" t="str">
            <v/>
          </cell>
          <cell r="CU189" t="str">
            <v/>
          </cell>
          <cell r="CV189" t="str">
            <v/>
          </cell>
          <cell r="CW189" t="str">
            <v/>
          </cell>
          <cell r="CX189" t="str">
            <v/>
          </cell>
          <cell r="CY189" t="str">
            <v/>
          </cell>
          <cell r="CZ189" t="str">
            <v/>
          </cell>
          <cell r="DA189" t="str">
            <v/>
          </cell>
          <cell r="DB189" t="str">
            <v/>
          </cell>
          <cell r="DC189" t="str">
            <v/>
          </cell>
          <cell r="DD189" t="str">
            <v/>
          </cell>
          <cell r="DE189" t="str">
            <v/>
          </cell>
          <cell r="DF189" t="str">
            <v/>
          </cell>
          <cell r="DG189" t="str">
            <v/>
          </cell>
          <cell r="DH189" t="str">
            <v/>
          </cell>
          <cell r="DI189" t="str">
            <v/>
          </cell>
          <cell r="DJ189" t="str">
            <v/>
          </cell>
          <cell r="DK189" t="str">
            <v/>
          </cell>
          <cell r="DL189" t="str">
            <v/>
          </cell>
          <cell r="DM189" t="str">
            <v/>
          </cell>
          <cell r="DN189" t="str">
            <v/>
          </cell>
          <cell r="DO189" t="str">
            <v/>
          </cell>
          <cell r="DP189" t="str">
            <v/>
          </cell>
          <cell r="DQ189" t="str">
            <v/>
          </cell>
          <cell r="DR189" t="str">
            <v/>
          </cell>
          <cell r="DS189" t="str">
            <v/>
          </cell>
          <cell r="DT189" t="str">
            <v/>
          </cell>
          <cell r="DU189" t="str">
            <v/>
          </cell>
          <cell r="DV189" t="str">
            <v/>
          </cell>
          <cell r="DW189" t="str">
            <v/>
          </cell>
          <cell r="DX189" t="str">
            <v/>
          </cell>
          <cell r="DY189" t="str">
            <v/>
          </cell>
          <cell r="DZ189" t="str">
            <v/>
          </cell>
          <cell r="EA189" t="str">
            <v/>
          </cell>
          <cell r="EB189" t="str">
            <v/>
          </cell>
          <cell r="EC189" t="str">
            <v/>
          </cell>
          <cell r="ED189" t="str">
            <v/>
          </cell>
          <cell r="EE189" t="str">
            <v/>
          </cell>
          <cell r="EF189" t="str">
            <v/>
          </cell>
          <cell r="EG189" t="str">
            <v/>
          </cell>
          <cell r="EH189" t="str">
            <v/>
          </cell>
          <cell r="EI189" t="str">
            <v/>
          </cell>
          <cell r="EJ189" t="str">
            <v/>
          </cell>
          <cell r="EK189" t="str">
            <v/>
          </cell>
          <cell r="EL189" t="str">
            <v/>
          </cell>
          <cell r="EM189" t="str">
            <v/>
          </cell>
          <cell r="EN189" t="str">
            <v/>
          </cell>
          <cell r="EO189" t="str">
            <v/>
          </cell>
          <cell r="EP189" t="str">
            <v/>
          </cell>
          <cell r="EQ189" t="str">
            <v/>
          </cell>
          <cell r="ER189" t="str">
            <v/>
          </cell>
          <cell r="ES189" t="str">
            <v/>
          </cell>
          <cell r="ET189" t="str">
            <v/>
          </cell>
          <cell r="EU189" t="str">
            <v/>
          </cell>
          <cell r="EV189" t="str">
            <v/>
          </cell>
          <cell r="EW189" t="str">
            <v/>
          </cell>
          <cell r="EX189" t="str">
            <v/>
          </cell>
          <cell r="EY189" t="str">
            <v/>
          </cell>
          <cell r="EZ189" t="str">
            <v/>
          </cell>
          <cell r="FA189" t="str">
            <v/>
          </cell>
          <cell r="FB189" t="str">
            <v/>
          </cell>
          <cell r="FC189" t="str">
            <v/>
          </cell>
          <cell r="FD189" t="str">
            <v/>
          </cell>
          <cell r="FE189" t="str">
            <v/>
          </cell>
          <cell r="FF189" t="str">
            <v/>
          </cell>
          <cell r="FG189" t="str">
            <v/>
          </cell>
          <cell r="FH189" t="str">
            <v/>
          </cell>
          <cell r="FI189" t="str">
            <v/>
          </cell>
          <cell r="FJ189">
            <v>0</v>
          </cell>
          <cell r="FK189">
            <v>0</v>
          </cell>
          <cell r="FL189">
            <v>0</v>
          </cell>
          <cell r="FM189">
            <v>0</v>
          </cell>
          <cell r="FN189">
            <v>0</v>
          </cell>
          <cell r="FO189">
            <v>0</v>
          </cell>
          <cell r="FP189">
            <v>0</v>
          </cell>
          <cell r="FQ189">
            <v>0</v>
          </cell>
          <cell r="FR189">
            <v>0</v>
          </cell>
          <cell r="FS189">
            <v>0</v>
          </cell>
          <cell r="FT189">
            <v>0</v>
          </cell>
          <cell r="FU189">
            <v>0</v>
          </cell>
          <cell r="FV189">
            <v>0</v>
          </cell>
          <cell r="FW189">
            <v>0</v>
          </cell>
          <cell r="FX189">
            <v>0</v>
          </cell>
          <cell r="FY189">
            <v>0</v>
          </cell>
          <cell r="FZ189">
            <v>0</v>
          </cell>
          <cell r="GA189">
            <v>0</v>
          </cell>
          <cell r="GB189">
            <v>0</v>
          </cell>
        </row>
        <row r="190">
          <cell r="V190" t="str">
            <v>PRODUCTION</v>
          </cell>
          <cell r="W190">
            <v>150</v>
          </cell>
          <cell r="X190">
            <v>531400</v>
          </cell>
          <cell r="Y190">
            <v>0</v>
          </cell>
          <cell r="Z190">
            <v>0</v>
          </cell>
          <cell r="AA190" t="str">
            <v/>
          </cell>
          <cell r="AB190" t="str">
            <v/>
          </cell>
          <cell r="AC190" t="str">
            <v/>
          </cell>
          <cell r="AD190" t="str">
            <v/>
          </cell>
          <cell r="AE190" t="str">
            <v/>
          </cell>
          <cell r="AF190" t="str">
            <v/>
          </cell>
          <cell r="AG190" t="str">
            <v/>
          </cell>
          <cell r="AH190" t="str">
            <v/>
          </cell>
          <cell r="AI190" t="str">
            <v/>
          </cell>
          <cell r="AJ190" t="str">
            <v/>
          </cell>
          <cell r="AK190" t="str">
            <v/>
          </cell>
          <cell r="AL190" t="str">
            <v/>
          </cell>
          <cell r="AM190" t="str">
            <v/>
          </cell>
          <cell r="AN190" t="str">
            <v/>
          </cell>
          <cell r="AO190" t="str">
            <v/>
          </cell>
          <cell r="AP190" t="str">
            <v/>
          </cell>
          <cell r="AQ190" t="str">
            <v/>
          </cell>
          <cell r="AR190" t="str">
            <v/>
          </cell>
          <cell r="AS190" t="str">
            <v/>
          </cell>
          <cell r="AT190" t="str">
            <v/>
          </cell>
          <cell r="AU190" t="str">
            <v/>
          </cell>
          <cell r="AV190" t="str">
            <v/>
          </cell>
          <cell r="AW190" t="str">
            <v/>
          </cell>
          <cell r="AX190" t="str">
            <v/>
          </cell>
          <cell r="AY190" t="str">
            <v/>
          </cell>
          <cell r="AZ190" t="str">
            <v/>
          </cell>
          <cell r="BA190" t="str">
            <v/>
          </cell>
          <cell r="BB190" t="str">
            <v/>
          </cell>
          <cell r="BC190" t="str">
            <v/>
          </cell>
          <cell r="BD190" t="str">
            <v/>
          </cell>
          <cell r="BE190" t="str">
            <v/>
          </cell>
          <cell r="BF190" t="str">
            <v/>
          </cell>
          <cell r="BG190" t="str">
            <v/>
          </cell>
          <cell r="BH190">
            <v>15150</v>
          </cell>
          <cell r="BI190">
            <v>22000</v>
          </cell>
          <cell r="BJ190">
            <v>28000</v>
          </cell>
          <cell r="BK190">
            <v>34000</v>
          </cell>
          <cell r="BL190">
            <v>40000</v>
          </cell>
          <cell r="BM190">
            <v>63750</v>
          </cell>
          <cell r="BN190">
            <v>63750</v>
          </cell>
          <cell r="BO190">
            <v>63750</v>
          </cell>
          <cell r="BP190">
            <v>67000</v>
          </cell>
          <cell r="BQ190">
            <v>67000</v>
          </cell>
          <cell r="BR190">
            <v>67000</v>
          </cell>
          <cell r="BS190" t="str">
            <v/>
          </cell>
          <cell r="BT190" t="str">
            <v/>
          </cell>
          <cell r="BU190" t="str">
            <v/>
          </cell>
          <cell r="BV190" t="str">
            <v/>
          </cell>
          <cell r="BW190" t="str">
            <v/>
          </cell>
          <cell r="BX190" t="str">
            <v/>
          </cell>
          <cell r="BY190" t="str">
            <v/>
          </cell>
          <cell r="BZ190" t="str">
            <v/>
          </cell>
          <cell r="CA190" t="str">
            <v/>
          </cell>
          <cell r="CB190" t="str">
            <v/>
          </cell>
          <cell r="CC190" t="str">
            <v/>
          </cell>
          <cell r="CD190" t="str">
            <v/>
          </cell>
          <cell r="CE190" t="str">
            <v/>
          </cell>
          <cell r="CF190" t="str">
            <v/>
          </cell>
          <cell r="CG190" t="str">
            <v/>
          </cell>
          <cell r="CH190" t="str">
            <v/>
          </cell>
          <cell r="CI190" t="str">
            <v/>
          </cell>
          <cell r="CJ190" t="str">
            <v/>
          </cell>
          <cell r="CK190" t="str">
            <v/>
          </cell>
          <cell r="CL190" t="str">
            <v/>
          </cell>
          <cell r="CM190" t="str">
            <v/>
          </cell>
          <cell r="CN190" t="str">
            <v/>
          </cell>
          <cell r="CO190" t="str">
            <v/>
          </cell>
          <cell r="CP190" t="str">
            <v/>
          </cell>
          <cell r="CQ190" t="str">
            <v/>
          </cell>
          <cell r="CR190" t="str">
            <v/>
          </cell>
          <cell r="CS190" t="str">
            <v/>
          </cell>
          <cell r="CT190" t="str">
            <v/>
          </cell>
          <cell r="CU190" t="str">
            <v/>
          </cell>
          <cell r="CV190" t="str">
            <v/>
          </cell>
          <cell r="CW190" t="str">
            <v/>
          </cell>
          <cell r="CX190" t="str">
            <v/>
          </cell>
          <cell r="CY190" t="str">
            <v/>
          </cell>
          <cell r="CZ190" t="str">
            <v/>
          </cell>
          <cell r="DA190" t="str">
            <v/>
          </cell>
          <cell r="DB190" t="str">
            <v/>
          </cell>
          <cell r="DC190" t="str">
            <v/>
          </cell>
          <cell r="DD190" t="str">
            <v/>
          </cell>
          <cell r="DE190" t="str">
            <v/>
          </cell>
          <cell r="DF190" t="str">
            <v/>
          </cell>
          <cell r="DG190" t="str">
            <v/>
          </cell>
          <cell r="DH190" t="str">
            <v/>
          </cell>
          <cell r="DI190" t="str">
            <v/>
          </cell>
          <cell r="DJ190" t="str">
            <v/>
          </cell>
          <cell r="DK190" t="str">
            <v/>
          </cell>
          <cell r="DL190" t="str">
            <v/>
          </cell>
          <cell r="DM190" t="str">
            <v/>
          </cell>
          <cell r="DN190" t="str">
            <v/>
          </cell>
          <cell r="DO190" t="str">
            <v/>
          </cell>
          <cell r="DP190" t="str">
            <v/>
          </cell>
          <cell r="DQ190" t="str">
            <v/>
          </cell>
          <cell r="DR190" t="str">
            <v/>
          </cell>
          <cell r="DS190" t="str">
            <v/>
          </cell>
          <cell r="DT190" t="str">
            <v/>
          </cell>
          <cell r="DU190" t="str">
            <v/>
          </cell>
          <cell r="DV190" t="str">
            <v/>
          </cell>
          <cell r="DW190" t="str">
            <v/>
          </cell>
          <cell r="DX190" t="str">
            <v/>
          </cell>
          <cell r="DY190" t="str">
            <v/>
          </cell>
          <cell r="DZ190" t="str">
            <v/>
          </cell>
          <cell r="EA190" t="str">
            <v/>
          </cell>
          <cell r="EB190" t="str">
            <v/>
          </cell>
          <cell r="EC190" t="str">
            <v/>
          </cell>
          <cell r="ED190" t="str">
            <v/>
          </cell>
          <cell r="EE190" t="str">
            <v/>
          </cell>
          <cell r="EF190" t="str">
            <v/>
          </cell>
          <cell r="EG190" t="str">
            <v/>
          </cell>
          <cell r="EH190" t="str">
            <v/>
          </cell>
          <cell r="EI190" t="str">
            <v/>
          </cell>
          <cell r="EJ190" t="str">
            <v/>
          </cell>
          <cell r="EK190" t="str">
            <v/>
          </cell>
          <cell r="EL190" t="str">
            <v/>
          </cell>
          <cell r="EM190" t="str">
            <v/>
          </cell>
          <cell r="EN190" t="str">
            <v/>
          </cell>
          <cell r="EO190" t="str">
            <v/>
          </cell>
          <cell r="EP190" t="str">
            <v/>
          </cell>
          <cell r="EQ190" t="str">
            <v/>
          </cell>
          <cell r="ER190" t="str">
            <v/>
          </cell>
          <cell r="ES190" t="str">
            <v/>
          </cell>
          <cell r="ET190" t="str">
            <v/>
          </cell>
          <cell r="EU190" t="str">
            <v/>
          </cell>
          <cell r="EV190" t="str">
            <v/>
          </cell>
          <cell r="EW190" t="str">
            <v/>
          </cell>
          <cell r="EX190" t="str">
            <v/>
          </cell>
          <cell r="EY190" t="str">
            <v/>
          </cell>
          <cell r="EZ190" t="str">
            <v/>
          </cell>
          <cell r="FA190" t="str">
            <v/>
          </cell>
          <cell r="FB190" t="str">
            <v/>
          </cell>
          <cell r="FC190" t="str">
            <v/>
          </cell>
          <cell r="FD190" t="str">
            <v/>
          </cell>
          <cell r="FE190" t="str">
            <v/>
          </cell>
          <cell r="FF190" t="str">
            <v/>
          </cell>
          <cell r="FG190" t="str">
            <v/>
          </cell>
          <cell r="FH190" t="str">
            <v/>
          </cell>
          <cell r="FI190" t="str">
            <v/>
          </cell>
          <cell r="FJ190">
            <v>0</v>
          </cell>
          <cell r="FK190">
            <v>0</v>
          </cell>
          <cell r="FL190">
            <v>0</v>
          </cell>
          <cell r="FM190">
            <v>0</v>
          </cell>
          <cell r="FN190">
            <v>0</v>
          </cell>
          <cell r="FO190">
            <v>0</v>
          </cell>
          <cell r="FP190">
            <v>0</v>
          </cell>
          <cell r="FQ190">
            <v>0</v>
          </cell>
          <cell r="FR190">
            <v>0</v>
          </cell>
          <cell r="FS190">
            <v>0</v>
          </cell>
          <cell r="FT190">
            <v>0</v>
          </cell>
          <cell r="FU190">
            <v>0</v>
          </cell>
          <cell r="FV190">
            <v>0</v>
          </cell>
          <cell r="FW190">
            <v>0</v>
          </cell>
          <cell r="FX190">
            <v>0</v>
          </cell>
          <cell r="FY190">
            <v>0</v>
          </cell>
          <cell r="FZ190">
            <v>0</v>
          </cell>
          <cell r="GA190">
            <v>0</v>
          </cell>
          <cell r="GB190">
            <v>0</v>
          </cell>
        </row>
        <row r="191">
          <cell r="V191" t="str">
            <v>INK &amp; PAINT</v>
          </cell>
          <cell r="W191">
            <v>8</v>
          </cell>
          <cell r="X191">
            <v>34200</v>
          </cell>
          <cell r="Y191">
            <v>0</v>
          </cell>
          <cell r="Z191">
            <v>0</v>
          </cell>
          <cell r="AA191" t="str">
            <v/>
          </cell>
          <cell r="AB191" t="str">
            <v/>
          </cell>
          <cell r="AC191" t="str">
            <v/>
          </cell>
          <cell r="AD191" t="str">
            <v/>
          </cell>
          <cell r="AE191" t="str">
            <v/>
          </cell>
          <cell r="AF191" t="str">
            <v/>
          </cell>
          <cell r="AG191" t="str">
            <v/>
          </cell>
          <cell r="AH191" t="str">
            <v/>
          </cell>
          <cell r="AI191" t="str">
            <v/>
          </cell>
          <cell r="AJ191" t="str">
            <v/>
          </cell>
          <cell r="AK191" t="str">
            <v/>
          </cell>
          <cell r="AL191" t="str">
            <v/>
          </cell>
          <cell r="AM191" t="str">
            <v/>
          </cell>
          <cell r="AN191" t="str">
            <v/>
          </cell>
          <cell r="AO191" t="str">
            <v/>
          </cell>
          <cell r="AP191" t="str">
            <v/>
          </cell>
          <cell r="AQ191" t="str">
            <v/>
          </cell>
          <cell r="AR191" t="str">
            <v/>
          </cell>
          <cell r="AS191" t="str">
            <v/>
          </cell>
          <cell r="AT191" t="str">
            <v/>
          </cell>
          <cell r="AU191" t="str">
            <v/>
          </cell>
          <cell r="AV191" t="str">
            <v/>
          </cell>
          <cell r="AW191" t="str">
            <v/>
          </cell>
          <cell r="AX191" t="str">
            <v/>
          </cell>
          <cell r="AY191" t="str">
            <v/>
          </cell>
          <cell r="AZ191" t="str">
            <v/>
          </cell>
          <cell r="BA191" t="str">
            <v/>
          </cell>
          <cell r="BB191" t="str">
            <v/>
          </cell>
          <cell r="BC191" t="str">
            <v/>
          </cell>
          <cell r="BD191" t="str">
            <v/>
          </cell>
          <cell r="BE191" t="str">
            <v/>
          </cell>
          <cell r="BF191" t="str">
            <v/>
          </cell>
          <cell r="BG191" t="str">
            <v/>
          </cell>
          <cell r="BH191" t="str">
            <v/>
          </cell>
          <cell r="BI191" t="str">
            <v/>
          </cell>
          <cell r="BJ191" t="str">
            <v/>
          </cell>
          <cell r="BK191" t="str">
            <v/>
          </cell>
          <cell r="BL191" t="str">
            <v/>
          </cell>
          <cell r="BM191" t="str">
            <v/>
          </cell>
          <cell r="BN191">
            <v>1800</v>
          </cell>
          <cell r="BO191">
            <v>3600</v>
          </cell>
          <cell r="BP191">
            <v>5400</v>
          </cell>
          <cell r="BQ191">
            <v>3600</v>
          </cell>
          <cell r="BR191">
            <v>5400</v>
          </cell>
          <cell r="BS191">
            <v>7200</v>
          </cell>
          <cell r="BT191">
            <v>7200</v>
          </cell>
          <cell r="BU191" t="str">
            <v/>
          </cell>
          <cell r="BV191" t="str">
            <v/>
          </cell>
          <cell r="BW191" t="str">
            <v/>
          </cell>
          <cell r="BX191" t="str">
            <v/>
          </cell>
          <cell r="BY191" t="str">
            <v/>
          </cell>
          <cell r="BZ191" t="str">
            <v/>
          </cell>
          <cell r="CA191" t="str">
            <v/>
          </cell>
          <cell r="CB191" t="str">
            <v/>
          </cell>
          <cell r="CC191" t="str">
            <v/>
          </cell>
          <cell r="CD191" t="str">
            <v/>
          </cell>
          <cell r="CE191" t="str">
            <v/>
          </cell>
          <cell r="CF191" t="str">
            <v/>
          </cell>
          <cell r="CG191" t="str">
            <v/>
          </cell>
          <cell r="CH191" t="str">
            <v/>
          </cell>
          <cell r="CI191" t="str">
            <v/>
          </cell>
          <cell r="CJ191" t="str">
            <v/>
          </cell>
          <cell r="CK191" t="str">
            <v/>
          </cell>
          <cell r="CL191" t="str">
            <v/>
          </cell>
          <cell r="CM191" t="str">
            <v/>
          </cell>
          <cell r="CN191" t="str">
            <v/>
          </cell>
          <cell r="CO191" t="str">
            <v/>
          </cell>
          <cell r="CP191" t="str">
            <v/>
          </cell>
          <cell r="CQ191" t="str">
            <v/>
          </cell>
          <cell r="CR191" t="str">
            <v/>
          </cell>
          <cell r="CS191" t="str">
            <v/>
          </cell>
          <cell r="CT191" t="str">
            <v/>
          </cell>
          <cell r="CU191" t="str">
            <v/>
          </cell>
          <cell r="CV191" t="str">
            <v/>
          </cell>
          <cell r="CW191" t="str">
            <v/>
          </cell>
          <cell r="CX191" t="str">
            <v/>
          </cell>
          <cell r="CY191" t="str">
            <v/>
          </cell>
          <cell r="CZ191" t="str">
            <v/>
          </cell>
          <cell r="DA191" t="str">
            <v/>
          </cell>
          <cell r="DB191" t="str">
            <v/>
          </cell>
          <cell r="DC191" t="str">
            <v/>
          </cell>
          <cell r="DD191" t="str">
            <v/>
          </cell>
          <cell r="DE191" t="str">
            <v/>
          </cell>
          <cell r="DF191" t="str">
            <v/>
          </cell>
          <cell r="DG191" t="str">
            <v/>
          </cell>
          <cell r="DH191" t="str">
            <v/>
          </cell>
          <cell r="DI191" t="str">
            <v/>
          </cell>
          <cell r="DJ191" t="str">
            <v/>
          </cell>
          <cell r="DK191" t="str">
            <v/>
          </cell>
          <cell r="DL191" t="str">
            <v/>
          </cell>
          <cell r="DM191" t="str">
            <v/>
          </cell>
          <cell r="DN191" t="str">
            <v/>
          </cell>
          <cell r="DO191" t="str">
            <v/>
          </cell>
          <cell r="DP191" t="str">
            <v/>
          </cell>
          <cell r="DQ191" t="str">
            <v/>
          </cell>
          <cell r="DR191" t="str">
            <v/>
          </cell>
          <cell r="DS191" t="str">
            <v/>
          </cell>
          <cell r="DT191" t="str">
            <v/>
          </cell>
          <cell r="DU191" t="str">
            <v/>
          </cell>
          <cell r="DV191" t="str">
            <v/>
          </cell>
          <cell r="DW191" t="str">
            <v/>
          </cell>
          <cell r="DX191" t="str">
            <v/>
          </cell>
          <cell r="DY191" t="str">
            <v/>
          </cell>
          <cell r="DZ191" t="str">
            <v/>
          </cell>
          <cell r="EA191" t="str">
            <v/>
          </cell>
          <cell r="EB191" t="str">
            <v/>
          </cell>
          <cell r="EC191" t="str">
            <v/>
          </cell>
          <cell r="ED191" t="str">
            <v/>
          </cell>
          <cell r="EE191" t="str">
            <v/>
          </cell>
          <cell r="EF191" t="str">
            <v/>
          </cell>
          <cell r="EG191" t="str">
            <v/>
          </cell>
          <cell r="EH191" t="str">
            <v/>
          </cell>
          <cell r="EI191" t="str">
            <v/>
          </cell>
          <cell r="EJ191" t="str">
            <v/>
          </cell>
          <cell r="EK191" t="str">
            <v/>
          </cell>
          <cell r="EL191" t="str">
            <v/>
          </cell>
          <cell r="EM191" t="str">
            <v/>
          </cell>
          <cell r="EN191" t="str">
            <v/>
          </cell>
          <cell r="EO191" t="str">
            <v/>
          </cell>
          <cell r="EP191" t="str">
            <v/>
          </cell>
          <cell r="EQ191" t="str">
            <v/>
          </cell>
          <cell r="ER191" t="str">
            <v/>
          </cell>
          <cell r="ES191" t="str">
            <v/>
          </cell>
          <cell r="ET191" t="str">
            <v/>
          </cell>
          <cell r="EU191" t="str">
            <v/>
          </cell>
          <cell r="EV191" t="str">
            <v/>
          </cell>
          <cell r="EW191" t="str">
            <v/>
          </cell>
          <cell r="EX191" t="str">
            <v/>
          </cell>
          <cell r="EY191" t="str">
            <v/>
          </cell>
          <cell r="EZ191" t="str">
            <v/>
          </cell>
          <cell r="FA191" t="str">
            <v/>
          </cell>
          <cell r="FB191" t="str">
            <v/>
          </cell>
          <cell r="FC191" t="str">
            <v/>
          </cell>
          <cell r="FD191" t="str">
            <v/>
          </cell>
          <cell r="FE191" t="str">
            <v/>
          </cell>
          <cell r="FF191" t="str">
            <v/>
          </cell>
          <cell r="FG191" t="str">
            <v/>
          </cell>
          <cell r="FH191" t="str">
            <v/>
          </cell>
          <cell r="FI191" t="str">
            <v/>
          </cell>
          <cell r="FJ191">
            <v>0</v>
          </cell>
          <cell r="FK191">
            <v>0</v>
          </cell>
          <cell r="FL191">
            <v>0</v>
          </cell>
          <cell r="FM191">
            <v>0</v>
          </cell>
          <cell r="FN191">
            <v>0</v>
          </cell>
          <cell r="FO191">
            <v>0</v>
          </cell>
          <cell r="FP191">
            <v>0</v>
          </cell>
          <cell r="FQ191">
            <v>0</v>
          </cell>
          <cell r="FR191">
            <v>0</v>
          </cell>
          <cell r="FS191">
            <v>0</v>
          </cell>
          <cell r="FT191">
            <v>0</v>
          </cell>
          <cell r="FU191">
            <v>0</v>
          </cell>
          <cell r="FV191">
            <v>0</v>
          </cell>
          <cell r="FW191">
            <v>0</v>
          </cell>
          <cell r="FX191">
            <v>0</v>
          </cell>
          <cell r="FY191">
            <v>0</v>
          </cell>
          <cell r="FZ191">
            <v>0</v>
          </cell>
          <cell r="GA191">
            <v>0</v>
          </cell>
          <cell r="GB191">
            <v>0</v>
          </cell>
        </row>
        <row r="192">
          <cell r="V192" t="str">
            <v>INK &amp; PAINT</v>
          </cell>
          <cell r="W192">
            <v>8</v>
          </cell>
          <cell r="X192">
            <v>39600</v>
          </cell>
          <cell r="Y192">
            <v>0</v>
          </cell>
          <cell r="Z192">
            <v>0</v>
          </cell>
          <cell r="AA192" t="str">
            <v/>
          </cell>
          <cell r="AB192" t="str">
            <v/>
          </cell>
          <cell r="AC192" t="str">
            <v/>
          </cell>
          <cell r="AD192" t="str">
            <v/>
          </cell>
          <cell r="AE192" t="str">
            <v/>
          </cell>
          <cell r="AF192" t="str">
            <v/>
          </cell>
          <cell r="AG192" t="str">
            <v/>
          </cell>
          <cell r="AH192" t="str">
            <v/>
          </cell>
          <cell r="AI192" t="str">
            <v/>
          </cell>
          <cell r="AJ192" t="str">
            <v/>
          </cell>
          <cell r="AK192" t="str">
            <v/>
          </cell>
          <cell r="AL192" t="str">
            <v/>
          </cell>
          <cell r="AM192" t="str">
            <v/>
          </cell>
          <cell r="AN192" t="str">
            <v/>
          </cell>
          <cell r="AO192" t="str">
            <v/>
          </cell>
          <cell r="AP192" t="str">
            <v/>
          </cell>
          <cell r="AQ192" t="str">
            <v/>
          </cell>
          <cell r="AR192" t="str">
            <v/>
          </cell>
          <cell r="AS192" t="str">
            <v/>
          </cell>
          <cell r="AT192" t="str">
            <v/>
          </cell>
          <cell r="AU192" t="str">
            <v/>
          </cell>
          <cell r="AV192" t="str">
            <v/>
          </cell>
          <cell r="AW192" t="str">
            <v/>
          </cell>
          <cell r="AX192" t="str">
            <v/>
          </cell>
          <cell r="AY192" t="str">
            <v/>
          </cell>
          <cell r="AZ192" t="str">
            <v/>
          </cell>
          <cell r="BA192" t="str">
            <v/>
          </cell>
          <cell r="BB192" t="str">
            <v/>
          </cell>
          <cell r="BC192" t="str">
            <v/>
          </cell>
          <cell r="BD192" t="str">
            <v/>
          </cell>
          <cell r="BE192" t="str">
            <v/>
          </cell>
          <cell r="BF192" t="str">
            <v/>
          </cell>
          <cell r="BG192" t="str">
            <v/>
          </cell>
          <cell r="BH192" t="str">
            <v/>
          </cell>
          <cell r="BI192" t="str">
            <v/>
          </cell>
          <cell r="BJ192" t="str">
            <v/>
          </cell>
          <cell r="BK192" t="str">
            <v/>
          </cell>
          <cell r="BL192" t="str">
            <v/>
          </cell>
          <cell r="BM192" t="str">
            <v/>
          </cell>
          <cell r="BN192">
            <v>1800</v>
          </cell>
          <cell r="BO192">
            <v>3600</v>
          </cell>
          <cell r="BP192">
            <v>5400</v>
          </cell>
          <cell r="BQ192">
            <v>7200</v>
          </cell>
          <cell r="BR192">
            <v>7200</v>
          </cell>
          <cell r="BS192">
            <v>7200</v>
          </cell>
          <cell r="BT192">
            <v>7200</v>
          </cell>
          <cell r="BU192" t="str">
            <v/>
          </cell>
          <cell r="BV192" t="str">
            <v/>
          </cell>
          <cell r="BW192" t="str">
            <v/>
          </cell>
          <cell r="BX192" t="str">
            <v/>
          </cell>
          <cell r="BY192" t="str">
            <v/>
          </cell>
          <cell r="BZ192" t="str">
            <v/>
          </cell>
          <cell r="CA192" t="str">
            <v/>
          </cell>
          <cell r="CB192" t="str">
            <v/>
          </cell>
          <cell r="CC192" t="str">
            <v/>
          </cell>
          <cell r="CD192" t="str">
            <v/>
          </cell>
          <cell r="CE192" t="str">
            <v/>
          </cell>
          <cell r="CF192" t="str">
            <v/>
          </cell>
          <cell r="CG192" t="str">
            <v/>
          </cell>
          <cell r="CH192" t="str">
            <v/>
          </cell>
          <cell r="CI192" t="str">
            <v/>
          </cell>
          <cell r="CJ192" t="str">
            <v/>
          </cell>
          <cell r="CK192" t="str">
            <v/>
          </cell>
          <cell r="CL192" t="str">
            <v/>
          </cell>
          <cell r="CM192" t="str">
            <v/>
          </cell>
          <cell r="CN192" t="str">
            <v/>
          </cell>
          <cell r="CO192" t="str">
            <v/>
          </cell>
          <cell r="CP192" t="str">
            <v/>
          </cell>
          <cell r="CQ192" t="str">
            <v/>
          </cell>
          <cell r="CR192" t="str">
            <v/>
          </cell>
          <cell r="CS192" t="str">
            <v/>
          </cell>
          <cell r="CT192" t="str">
            <v/>
          </cell>
          <cell r="CU192" t="str">
            <v/>
          </cell>
          <cell r="CV192" t="str">
            <v/>
          </cell>
          <cell r="CW192" t="str">
            <v/>
          </cell>
          <cell r="CX192" t="str">
            <v/>
          </cell>
          <cell r="CY192" t="str">
            <v/>
          </cell>
          <cell r="CZ192" t="str">
            <v/>
          </cell>
          <cell r="DA192" t="str">
            <v/>
          </cell>
          <cell r="DB192" t="str">
            <v/>
          </cell>
          <cell r="DC192" t="str">
            <v/>
          </cell>
          <cell r="DD192" t="str">
            <v/>
          </cell>
          <cell r="DE192" t="str">
            <v/>
          </cell>
          <cell r="DF192" t="str">
            <v/>
          </cell>
          <cell r="DG192" t="str">
            <v/>
          </cell>
          <cell r="DH192" t="str">
            <v/>
          </cell>
          <cell r="DI192" t="str">
            <v/>
          </cell>
          <cell r="DJ192" t="str">
            <v/>
          </cell>
          <cell r="DK192" t="str">
            <v/>
          </cell>
          <cell r="DL192" t="str">
            <v/>
          </cell>
          <cell r="DM192" t="str">
            <v/>
          </cell>
          <cell r="DN192" t="str">
            <v/>
          </cell>
          <cell r="DO192" t="str">
            <v/>
          </cell>
          <cell r="DP192" t="str">
            <v/>
          </cell>
          <cell r="DQ192" t="str">
            <v/>
          </cell>
          <cell r="DR192" t="str">
            <v/>
          </cell>
          <cell r="DS192" t="str">
            <v/>
          </cell>
          <cell r="DT192" t="str">
            <v/>
          </cell>
          <cell r="DU192" t="str">
            <v/>
          </cell>
          <cell r="DV192" t="str">
            <v/>
          </cell>
          <cell r="DW192" t="str">
            <v/>
          </cell>
          <cell r="DX192" t="str">
            <v/>
          </cell>
          <cell r="DY192" t="str">
            <v/>
          </cell>
          <cell r="DZ192" t="str">
            <v/>
          </cell>
          <cell r="EA192" t="str">
            <v/>
          </cell>
          <cell r="EB192" t="str">
            <v/>
          </cell>
          <cell r="EC192" t="str">
            <v/>
          </cell>
          <cell r="ED192" t="str">
            <v/>
          </cell>
          <cell r="EE192" t="str">
            <v/>
          </cell>
          <cell r="EF192" t="str">
            <v/>
          </cell>
          <cell r="EG192" t="str">
            <v/>
          </cell>
          <cell r="EH192" t="str">
            <v/>
          </cell>
          <cell r="EI192" t="str">
            <v/>
          </cell>
          <cell r="EJ192" t="str">
            <v/>
          </cell>
          <cell r="EK192" t="str">
            <v/>
          </cell>
          <cell r="EL192" t="str">
            <v/>
          </cell>
          <cell r="EM192" t="str">
            <v/>
          </cell>
          <cell r="EN192" t="str">
            <v/>
          </cell>
          <cell r="EO192" t="str">
            <v/>
          </cell>
          <cell r="EP192" t="str">
            <v/>
          </cell>
          <cell r="EQ192" t="str">
            <v/>
          </cell>
          <cell r="ER192" t="str">
            <v/>
          </cell>
          <cell r="ES192" t="str">
            <v/>
          </cell>
          <cell r="ET192" t="str">
            <v/>
          </cell>
          <cell r="EU192" t="str">
            <v/>
          </cell>
          <cell r="EV192" t="str">
            <v/>
          </cell>
          <cell r="EW192" t="str">
            <v/>
          </cell>
          <cell r="EX192" t="str">
            <v/>
          </cell>
          <cell r="EY192" t="str">
            <v/>
          </cell>
          <cell r="EZ192" t="str">
            <v/>
          </cell>
          <cell r="FA192" t="str">
            <v/>
          </cell>
          <cell r="FB192" t="str">
            <v/>
          </cell>
          <cell r="FC192" t="str">
            <v/>
          </cell>
          <cell r="FD192" t="str">
            <v/>
          </cell>
          <cell r="FE192" t="str">
            <v/>
          </cell>
          <cell r="FF192" t="str">
            <v/>
          </cell>
          <cell r="FG192" t="str">
            <v/>
          </cell>
          <cell r="FH192" t="str">
            <v/>
          </cell>
          <cell r="FI192" t="str">
            <v/>
          </cell>
          <cell r="FJ192">
            <v>0</v>
          </cell>
          <cell r="FK192">
            <v>0</v>
          </cell>
          <cell r="FL192">
            <v>0</v>
          </cell>
          <cell r="FM192">
            <v>0</v>
          </cell>
          <cell r="FN192">
            <v>0</v>
          </cell>
          <cell r="FO192">
            <v>0</v>
          </cell>
          <cell r="FP192">
            <v>0</v>
          </cell>
          <cell r="FQ192">
            <v>0</v>
          </cell>
          <cell r="FR192">
            <v>0</v>
          </cell>
          <cell r="FS192">
            <v>0</v>
          </cell>
          <cell r="FT192">
            <v>0</v>
          </cell>
          <cell r="FU192">
            <v>0</v>
          </cell>
          <cell r="FV192">
            <v>0</v>
          </cell>
          <cell r="FW192">
            <v>0</v>
          </cell>
          <cell r="FX192">
            <v>0</v>
          </cell>
          <cell r="FY192">
            <v>0</v>
          </cell>
          <cell r="FZ192">
            <v>0</v>
          </cell>
          <cell r="GA192">
            <v>0</v>
          </cell>
          <cell r="GB192">
            <v>0</v>
          </cell>
        </row>
        <row r="193">
          <cell r="X193" t="str">
            <v>DIRECT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3000</v>
          </cell>
          <cell r="BA193">
            <v>6000</v>
          </cell>
          <cell r="BB193">
            <v>9000</v>
          </cell>
          <cell r="BC193">
            <v>12000</v>
          </cell>
          <cell r="BD193">
            <v>12000</v>
          </cell>
          <cell r="BE193">
            <v>12000</v>
          </cell>
          <cell r="BF193">
            <v>12000</v>
          </cell>
          <cell r="BG193">
            <v>12000</v>
          </cell>
          <cell r="BH193">
            <v>12000</v>
          </cell>
          <cell r="BI193">
            <v>0</v>
          </cell>
          <cell r="BJ193">
            <v>0</v>
          </cell>
          <cell r="BK193">
            <v>0</v>
          </cell>
          <cell r="BL193">
            <v>56250</v>
          </cell>
          <cell r="BM193">
            <v>63750</v>
          </cell>
          <cell r="BN193">
            <v>65550</v>
          </cell>
          <cell r="BO193">
            <v>67350</v>
          </cell>
          <cell r="BP193">
            <v>69150</v>
          </cell>
          <cell r="BQ193">
            <v>67350</v>
          </cell>
          <cell r="BR193">
            <v>69150</v>
          </cell>
          <cell r="BS193">
            <v>43063</v>
          </cell>
          <cell r="BT193">
            <v>43070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0</v>
          </cell>
          <cell r="DA193">
            <v>0</v>
          </cell>
          <cell r="DB193">
            <v>0</v>
          </cell>
          <cell r="DC193">
            <v>0</v>
          </cell>
          <cell r="DD193">
            <v>0</v>
          </cell>
          <cell r="DE193">
            <v>0</v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G193">
            <v>0</v>
          </cell>
          <cell r="EH193">
            <v>0</v>
          </cell>
          <cell r="EI193">
            <v>0</v>
          </cell>
          <cell r="EJ193">
            <v>0</v>
          </cell>
          <cell r="EK193">
            <v>0</v>
          </cell>
          <cell r="EL193">
            <v>0</v>
          </cell>
          <cell r="EM193">
            <v>0</v>
          </cell>
          <cell r="EN193">
            <v>0</v>
          </cell>
          <cell r="EO193">
            <v>0</v>
          </cell>
          <cell r="EP193">
            <v>0</v>
          </cell>
          <cell r="EQ193">
            <v>0</v>
          </cell>
          <cell r="ER193">
            <v>0</v>
          </cell>
          <cell r="ES193">
            <v>0</v>
          </cell>
          <cell r="ET193">
            <v>0</v>
          </cell>
          <cell r="EU193">
            <v>0</v>
          </cell>
          <cell r="EV193">
            <v>0</v>
          </cell>
          <cell r="EW193">
            <v>0</v>
          </cell>
          <cell r="EX193">
            <v>0</v>
          </cell>
          <cell r="EY193">
            <v>0</v>
          </cell>
          <cell r="EZ193">
            <v>0</v>
          </cell>
          <cell r="FA193">
            <v>0</v>
          </cell>
          <cell r="FB193">
            <v>0</v>
          </cell>
          <cell r="FC193">
            <v>0</v>
          </cell>
          <cell r="FD193">
            <v>0</v>
          </cell>
          <cell r="FE193">
            <v>0</v>
          </cell>
          <cell r="FF193">
            <v>0</v>
          </cell>
          <cell r="FG193">
            <v>0</v>
          </cell>
          <cell r="FH193">
            <v>0</v>
          </cell>
          <cell r="FI193">
            <v>0</v>
          </cell>
          <cell r="FJ193">
            <v>0</v>
          </cell>
          <cell r="FK193">
            <v>0</v>
          </cell>
          <cell r="FL193">
            <v>0</v>
          </cell>
          <cell r="FM193">
            <v>0</v>
          </cell>
          <cell r="FN193">
            <v>0</v>
          </cell>
          <cell r="FO193">
            <v>0</v>
          </cell>
          <cell r="FP193">
            <v>0</v>
          </cell>
          <cell r="FQ193">
            <v>0</v>
          </cell>
          <cell r="FR193">
            <v>0</v>
          </cell>
          <cell r="FS193">
            <v>0</v>
          </cell>
          <cell r="FT193">
            <v>0</v>
          </cell>
          <cell r="FU193">
            <v>0</v>
          </cell>
          <cell r="FV193">
            <v>0</v>
          </cell>
          <cell r="FW193">
            <v>0</v>
          </cell>
          <cell r="FX193">
            <v>0</v>
          </cell>
          <cell r="FY193">
            <v>0</v>
          </cell>
          <cell r="FZ193">
            <v>0</v>
          </cell>
          <cell r="GA193">
            <v>0</v>
          </cell>
          <cell r="GB193">
            <v>0</v>
          </cell>
        </row>
        <row r="194">
          <cell r="W194">
            <v>668000</v>
          </cell>
          <cell r="X194" t="str">
            <v>DIRECT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3000</v>
          </cell>
          <cell r="BA194">
            <v>4000</v>
          </cell>
          <cell r="BB194">
            <v>4000</v>
          </cell>
          <cell r="BC194">
            <v>4000</v>
          </cell>
          <cell r="BD194">
            <v>4000</v>
          </cell>
          <cell r="BE194">
            <v>4000</v>
          </cell>
          <cell r="BF194">
            <v>8000</v>
          </cell>
          <cell r="BG194">
            <v>12000</v>
          </cell>
          <cell r="BH194">
            <v>27150</v>
          </cell>
          <cell r="BI194">
            <v>22000</v>
          </cell>
          <cell r="BJ194">
            <v>28000</v>
          </cell>
          <cell r="BK194">
            <v>34000</v>
          </cell>
          <cell r="BL194">
            <v>40000</v>
          </cell>
          <cell r="BM194">
            <v>63750</v>
          </cell>
          <cell r="BN194">
            <v>65550</v>
          </cell>
          <cell r="BO194">
            <v>67350</v>
          </cell>
          <cell r="BP194">
            <v>72400</v>
          </cell>
          <cell r="BQ194">
            <v>74200</v>
          </cell>
          <cell r="BR194">
            <v>74200</v>
          </cell>
          <cell r="BS194">
            <v>50000</v>
          </cell>
          <cell r="BT194">
            <v>6400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  <cell r="DD194">
            <v>0</v>
          </cell>
          <cell r="DE194">
            <v>0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G194">
            <v>0</v>
          </cell>
          <cell r="EH194">
            <v>0</v>
          </cell>
          <cell r="EI194">
            <v>0</v>
          </cell>
          <cell r="EJ194">
            <v>0</v>
          </cell>
          <cell r="EK194">
            <v>0</v>
          </cell>
          <cell r="EL194">
            <v>0</v>
          </cell>
          <cell r="EM194">
            <v>0</v>
          </cell>
          <cell r="EN194">
            <v>0</v>
          </cell>
          <cell r="EO194">
            <v>0</v>
          </cell>
          <cell r="EP194">
            <v>0</v>
          </cell>
          <cell r="EQ194">
            <v>0</v>
          </cell>
          <cell r="ER194">
            <v>0</v>
          </cell>
          <cell r="ES194">
            <v>0</v>
          </cell>
          <cell r="ET194">
            <v>0</v>
          </cell>
          <cell r="EU194">
            <v>0</v>
          </cell>
          <cell r="EV194">
            <v>0</v>
          </cell>
          <cell r="EW194">
            <v>0</v>
          </cell>
          <cell r="EX194">
            <v>0</v>
          </cell>
          <cell r="EY194">
            <v>0</v>
          </cell>
          <cell r="EZ194">
            <v>0</v>
          </cell>
          <cell r="FA194">
            <v>0</v>
          </cell>
          <cell r="FB194">
            <v>0</v>
          </cell>
          <cell r="FC194">
            <v>0</v>
          </cell>
          <cell r="FD194">
            <v>0</v>
          </cell>
          <cell r="FE194">
            <v>0</v>
          </cell>
          <cell r="FF194">
            <v>0</v>
          </cell>
          <cell r="FG194">
            <v>0</v>
          </cell>
          <cell r="FH194">
            <v>0</v>
          </cell>
          <cell r="FI194">
            <v>0</v>
          </cell>
          <cell r="FJ194">
            <v>0</v>
          </cell>
          <cell r="FK194">
            <v>0</v>
          </cell>
          <cell r="FL194">
            <v>0</v>
          </cell>
          <cell r="FM194">
            <v>0</v>
          </cell>
          <cell r="FN194">
            <v>0</v>
          </cell>
          <cell r="FO194">
            <v>0</v>
          </cell>
          <cell r="FP194">
            <v>0</v>
          </cell>
          <cell r="FQ194">
            <v>0</v>
          </cell>
          <cell r="FR194">
            <v>0</v>
          </cell>
          <cell r="FS194">
            <v>0</v>
          </cell>
          <cell r="FT194">
            <v>0</v>
          </cell>
          <cell r="FU194">
            <v>0</v>
          </cell>
          <cell r="FV194">
            <v>0</v>
          </cell>
          <cell r="FW194">
            <v>0</v>
          </cell>
          <cell r="FX194">
            <v>0</v>
          </cell>
          <cell r="FY194">
            <v>0</v>
          </cell>
          <cell r="FZ194">
            <v>0</v>
          </cell>
          <cell r="GA194">
            <v>0</v>
          </cell>
          <cell r="GB194">
            <v>0</v>
          </cell>
        </row>
        <row r="195">
          <cell r="X195" t="str">
            <v>LOADED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3000</v>
          </cell>
          <cell r="BA195">
            <v>7000</v>
          </cell>
          <cell r="BB195">
            <v>11000</v>
          </cell>
          <cell r="BC195">
            <v>15000</v>
          </cell>
          <cell r="BD195">
            <v>19000</v>
          </cell>
          <cell r="BE195">
            <v>23000</v>
          </cell>
          <cell r="BF195">
            <v>31000</v>
          </cell>
          <cell r="BG195">
            <v>43000</v>
          </cell>
          <cell r="BH195">
            <v>70150</v>
          </cell>
          <cell r="BI195">
            <v>92150</v>
          </cell>
          <cell r="BJ195">
            <v>120150</v>
          </cell>
          <cell r="BK195">
            <v>154150</v>
          </cell>
          <cell r="BL195">
            <v>194150</v>
          </cell>
          <cell r="BM195">
            <v>257900</v>
          </cell>
          <cell r="BN195">
            <v>323450</v>
          </cell>
          <cell r="BO195">
            <v>390800</v>
          </cell>
          <cell r="BP195">
            <v>463200</v>
          </cell>
          <cell r="BQ195">
            <v>537400</v>
          </cell>
          <cell r="BR195">
            <v>611600</v>
          </cell>
          <cell r="BS195">
            <v>661600</v>
          </cell>
          <cell r="BT195">
            <v>668000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  <cell r="EC195">
            <v>0</v>
          </cell>
          <cell r="ED195">
            <v>0</v>
          </cell>
          <cell r="EE195">
            <v>0</v>
          </cell>
          <cell r="EF195">
            <v>0</v>
          </cell>
          <cell r="EG195">
            <v>0</v>
          </cell>
          <cell r="EH195">
            <v>0</v>
          </cell>
          <cell r="EI195">
            <v>0</v>
          </cell>
          <cell r="EJ195">
            <v>0</v>
          </cell>
          <cell r="EK195">
            <v>0</v>
          </cell>
          <cell r="EL195">
            <v>0</v>
          </cell>
          <cell r="EM195">
            <v>0</v>
          </cell>
          <cell r="EN195">
            <v>0</v>
          </cell>
          <cell r="EO195">
            <v>0</v>
          </cell>
          <cell r="EP195">
            <v>0</v>
          </cell>
          <cell r="EQ195">
            <v>0</v>
          </cell>
          <cell r="ER195">
            <v>0</v>
          </cell>
          <cell r="ES195">
            <v>0</v>
          </cell>
          <cell r="ET195">
            <v>0</v>
          </cell>
          <cell r="EU195">
            <v>0</v>
          </cell>
          <cell r="EV195">
            <v>0</v>
          </cell>
          <cell r="EW195">
            <v>0</v>
          </cell>
          <cell r="EX195">
            <v>0</v>
          </cell>
          <cell r="EY195">
            <v>0</v>
          </cell>
          <cell r="EZ195">
            <v>0</v>
          </cell>
          <cell r="FA195">
            <v>0</v>
          </cell>
          <cell r="FB195">
            <v>0</v>
          </cell>
          <cell r="FC195">
            <v>0</v>
          </cell>
          <cell r="FD195">
            <v>0</v>
          </cell>
          <cell r="FE195">
            <v>0</v>
          </cell>
          <cell r="FF195">
            <v>0</v>
          </cell>
          <cell r="FG195">
            <v>0</v>
          </cell>
          <cell r="FH195">
            <v>0</v>
          </cell>
          <cell r="FI195">
            <v>0</v>
          </cell>
          <cell r="FJ195">
            <v>0</v>
          </cell>
          <cell r="FK195">
            <v>0</v>
          </cell>
          <cell r="FL195">
            <v>0</v>
          </cell>
          <cell r="FM195">
            <v>0</v>
          </cell>
          <cell r="FN195">
            <v>0</v>
          </cell>
          <cell r="FO195">
            <v>0</v>
          </cell>
          <cell r="FP195">
            <v>0</v>
          </cell>
          <cell r="FQ195">
            <v>0</v>
          </cell>
          <cell r="FR195">
            <v>0</v>
          </cell>
          <cell r="FS195">
            <v>0</v>
          </cell>
          <cell r="FT195">
            <v>0</v>
          </cell>
          <cell r="FU195">
            <v>0</v>
          </cell>
          <cell r="FV195">
            <v>0</v>
          </cell>
          <cell r="FW195">
            <v>0</v>
          </cell>
          <cell r="FX195">
            <v>0</v>
          </cell>
          <cell r="FY195">
            <v>0</v>
          </cell>
          <cell r="FZ195">
            <v>0</v>
          </cell>
          <cell r="GA195">
            <v>0</v>
          </cell>
          <cell r="GB195">
            <v>0</v>
          </cell>
        </row>
        <row r="196">
          <cell r="T196" t="str">
            <v>ACTUAL COST TO DATE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 t="str">
            <v/>
          </cell>
          <cell r="AB196" t="str">
            <v/>
          </cell>
          <cell r="AC196" t="str">
            <v/>
          </cell>
          <cell r="AD196" t="str">
            <v/>
          </cell>
          <cell r="AE196" t="str">
            <v/>
          </cell>
          <cell r="AF196" t="str">
            <v/>
          </cell>
          <cell r="AG196" t="str">
            <v/>
          </cell>
          <cell r="AH196" t="str">
            <v/>
          </cell>
          <cell r="AI196" t="str">
            <v/>
          </cell>
          <cell r="AJ196" t="str">
            <v/>
          </cell>
          <cell r="AK196" t="str">
            <v/>
          </cell>
          <cell r="AL196" t="str">
            <v/>
          </cell>
          <cell r="AM196" t="str">
            <v/>
          </cell>
          <cell r="AN196" t="str">
            <v/>
          </cell>
          <cell r="AO196" t="str">
            <v/>
          </cell>
          <cell r="AP196" t="str">
            <v/>
          </cell>
          <cell r="AQ196" t="str">
            <v/>
          </cell>
          <cell r="AR196" t="str">
            <v/>
          </cell>
          <cell r="AS196" t="str">
            <v/>
          </cell>
          <cell r="AT196" t="str">
            <v/>
          </cell>
          <cell r="AU196" t="str">
            <v/>
          </cell>
          <cell r="AV196" t="str">
            <v/>
          </cell>
          <cell r="AW196" t="str">
            <v/>
          </cell>
          <cell r="AX196" t="str">
            <v/>
          </cell>
          <cell r="AY196" t="str">
            <v/>
          </cell>
          <cell r="AZ196" t="str">
            <v/>
          </cell>
          <cell r="BA196" t="str">
            <v/>
          </cell>
          <cell r="BB196" t="str">
            <v/>
          </cell>
          <cell r="BC196" t="str">
            <v/>
          </cell>
          <cell r="BD196" t="str">
            <v/>
          </cell>
          <cell r="BE196" t="str">
            <v/>
          </cell>
          <cell r="BF196" t="str">
            <v/>
          </cell>
          <cell r="BG196" t="str">
            <v/>
          </cell>
          <cell r="BH196" t="str">
            <v/>
          </cell>
          <cell r="BI196">
            <v>0</v>
          </cell>
          <cell r="BJ196" t="str">
            <v/>
          </cell>
          <cell r="BK196" t="str">
            <v/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35870</v>
          </cell>
          <cell r="BU196" t="str">
            <v/>
          </cell>
          <cell r="BV196" t="str">
            <v/>
          </cell>
          <cell r="BW196" t="str">
            <v/>
          </cell>
          <cell r="BX196" t="str">
            <v/>
          </cell>
          <cell r="BY196" t="str">
            <v/>
          </cell>
          <cell r="BZ196" t="str">
            <v/>
          </cell>
          <cell r="CA196" t="str">
            <v/>
          </cell>
          <cell r="CB196" t="str">
            <v/>
          </cell>
          <cell r="CC196" t="str">
            <v/>
          </cell>
          <cell r="CD196" t="str">
            <v/>
          </cell>
          <cell r="CE196" t="str">
            <v/>
          </cell>
          <cell r="CF196" t="str">
            <v/>
          </cell>
          <cell r="CG196" t="str">
            <v/>
          </cell>
          <cell r="CH196" t="str">
            <v/>
          </cell>
          <cell r="CI196" t="str">
            <v/>
          </cell>
          <cell r="CJ196" t="str">
            <v/>
          </cell>
          <cell r="CK196" t="str">
            <v/>
          </cell>
          <cell r="CL196" t="str">
            <v/>
          </cell>
          <cell r="CM196" t="str">
            <v/>
          </cell>
          <cell r="CN196" t="str">
            <v/>
          </cell>
          <cell r="CO196" t="str">
            <v/>
          </cell>
          <cell r="CP196" t="str">
            <v/>
          </cell>
          <cell r="CQ196" t="str">
            <v/>
          </cell>
          <cell r="CR196" t="str">
            <v/>
          </cell>
          <cell r="CS196" t="str">
            <v/>
          </cell>
          <cell r="CT196" t="str">
            <v/>
          </cell>
          <cell r="CU196" t="str">
            <v/>
          </cell>
          <cell r="CV196" t="str">
            <v/>
          </cell>
          <cell r="CW196" t="str">
            <v/>
          </cell>
          <cell r="CX196" t="str">
            <v/>
          </cell>
          <cell r="CY196" t="str">
            <v/>
          </cell>
          <cell r="CZ196" t="str">
            <v/>
          </cell>
          <cell r="DA196" t="str">
            <v/>
          </cell>
          <cell r="DB196" t="str">
            <v/>
          </cell>
          <cell r="DC196" t="str">
            <v/>
          </cell>
          <cell r="DD196" t="str">
            <v/>
          </cell>
          <cell r="DE196" t="str">
            <v/>
          </cell>
          <cell r="DF196" t="str">
            <v/>
          </cell>
          <cell r="DG196" t="str">
            <v/>
          </cell>
          <cell r="DH196" t="str">
            <v/>
          </cell>
          <cell r="DI196" t="str">
            <v/>
          </cell>
          <cell r="DJ196" t="str">
            <v/>
          </cell>
          <cell r="DK196" t="str">
            <v/>
          </cell>
          <cell r="DL196" t="str">
            <v/>
          </cell>
          <cell r="DM196" t="str">
            <v/>
          </cell>
          <cell r="DN196" t="str">
            <v/>
          </cell>
          <cell r="DO196" t="str">
            <v/>
          </cell>
          <cell r="DP196" t="str">
            <v/>
          </cell>
          <cell r="DQ196" t="str">
            <v/>
          </cell>
          <cell r="DR196" t="str">
            <v/>
          </cell>
          <cell r="DS196" t="str">
            <v/>
          </cell>
          <cell r="DT196" t="str">
            <v/>
          </cell>
          <cell r="DU196" t="str">
            <v/>
          </cell>
          <cell r="DV196" t="str">
            <v/>
          </cell>
          <cell r="DW196" t="str">
            <v/>
          </cell>
          <cell r="DX196" t="str">
            <v/>
          </cell>
          <cell r="DY196" t="str">
            <v/>
          </cell>
          <cell r="DZ196" t="str">
            <v/>
          </cell>
          <cell r="EA196" t="str">
            <v/>
          </cell>
          <cell r="EB196" t="str">
            <v/>
          </cell>
          <cell r="EC196" t="str">
            <v/>
          </cell>
          <cell r="ED196" t="str">
            <v/>
          </cell>
          <cell r="EE196" t="str">
            <v/>
          </cell>
          <cell r="EF196" t="str">
            <v/>
          </cell>
          <cell r="EG196" t="str">
            <v/>
          </cell>
          <cell r="EH196" t="str">
            <v/>
          </cell>
          <cell r="EI196" t="str">
            <v/>
          </cell>
          <cell r="EJ196" t="str">
            <v/>
          </cell>
          <cell r="EK196" t="str">
            <v/>
          </cell>
          <cell r="EL196" t="str">
            <v/>
          </cell>
          <cell r="EM196" t="str">
            <v/>
          </cell>
          <cell r="EN196" t="str">
            <v/>
          </cell>
          <cell r="EO196" t="str">
            <v/>
          </cell>
          <cell r="EP196" t="str">
            <v/>
          </cell>
          <cell r="EQ196" t="str">
            <v/>
          </cell>
          <cell r="ER196" t="str">
            <v/>
          </cell>
          <cell r="ES196" t="str">
            <v/>
          </cell>
          <cell r="ET196" t="str">
            <v/>
          </cell>
          <cell r="EU196" t="str">
            <v/>
          </cell>
          <cell r="EV196" t="str">
            <v/>
          </cell>
          <cell r="EW196">
            <v>0</v>
          </cell>
          <cell r="EX196">
            <v>0</v>
          </cell>
          <cell r="EY196">
            <v>0</v>
          </cell>
          <cell r="EZ196">
            <v>0</v>
          </cell>
          <cell r="FA196">
            <v>0</v>
          </cell>
          <cell r="FB196">
            <v>0</v>
          </cell>
          <cell r="FC196">
            <v>0</v>
          </cell>
        </row>
        <row r="197">
          <cell r="S197" t="str">
            <v>COST TO DATE</v>
          </cell>
          <cell r="T197" t="str">
            <v>ACTUAL COST TO DATE</v>
          </cell>
          <cell r="U197">
            <v>0</v>
          </cell>
          <cell r="V197" t="str">
            <v>DIRECT TO DATE</v>
          </cell>
          <cell r="W197" t="str">
            <v>BUDGET</v>
          </cell>
          <cell r="X197">
            <v>0</v>
          </cell>
          <cell r="Y197">
            <v>0</v>
          </cell>
          <cell r="Z197">
            <v>0</v>
          </cell>
          <cell r="AA197" t="str">
            <v/>
          </cell>
          <cell r="AB197" t="str">
            <v/>
          </cell>
          <cell r="AC197" t="str">
            <v/>
          </cell>
          <cell r="AD197" t="str">
            <v/>
          </cell>
          <cell r="AE197" t="str">
            <v/>
          </cell>
          <cell r="AF197" t="str">
            <v/>
          </cell>
          <cell r="AG197" t="str">
            <v/>
          </cell>
          <cell r="AH197" t="str">
            <v/>
          </cell>
          <cell r="AI197" t="str">
            <v/>
          </cell>
          <cell r="AJ197" t="str">
            <v/>
          </cell>
          <cell r="AK197" t="str">
            <v/>
          </cell>
          <cell r="AL197" t="str">
            <v/>
          </cell>
          <cell r="AM197" t="str">
            <v/>
          </cell>
          <cell r="AN197" t="str">
            <v/>
          </cell>
          <cell r="AO197" t="str">
            <v/>
          </cell>
          <cell r="AP197" t="str">
            <v/>
          </cell>
          <cell r="AQ197" t="str">
            <v/>
          </cell>
          <cell r="AR197" t="str">
            <v/>
          </cell>
          <cell r="AS197" t="str">
            <v/>
          </cell>
          <cell r="AT197" t="str">
            <v/>
          </cell>
          <cell r="AU197" t="str">
            <v/>
          </cell>
          <cell r="AV197" t="str">
            <v/>
          </cell>
          <cell r="AW197" t="str">
            <v/>
          </cell>
          <cell r="AX197" t="str">
            <v/>
          </cell>
          <cell r="AY197" t="str">
            <v/>
          </cell>
          <cell r="AZ197" t="str">
            <v/>
          </cell>
          <cell r="BA197" t="str">
            <v/>
          </cell>
          <cell r="BB197" t="str">
            <v/>
          </cell>
          <cell r="BC197" t="str">
            <v/>
          </cell>
          <cell r="BD197" t="str">
            <v/>
          </cell>
          <cell r="BE197" t="str">
            <v/>
          </cell>
          <cell r="BF197" t="str">
            <v/>
          </cell>
          <cell r="BG197" t="str">
            <v/>
          </cell>
          <cell r="BH197" t="str">
            <v/>
          </cell>
          <cell r="BI197">
            <v>0</v>
          </cell>
          <cell r="BJ197" t="str">
            <v/>
          </cell>
          <cell r="BK197" t="str">
            <v/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 t="str">
            <v/>
          </cell>
          <cell r="BV197" t="str">
            <v/>
          </cell>
          <cell r="BW197" t="str">
            <v/>
          </cell>
          <cell r="BX197" t="str">
            <v/>
          </cell>
          <cell r="BY197" t="str">
            <v/>
          </cell>
          <cell r="BZ197" t="str">
            <v/>
          </cell>
          <cell r="CA197" t="str">
            <v/>
          </cell>
          <cell r="CB197" t="str">
            <v/>
          </cell>
          <cell r="CC197" t="str">
            <v/>
          </cell>
          <cell r="CD197" t="str">
            <v/>
          </cell>
          <cell r="CE197" t="str">
            <v/>
          </cell>
          <cell r="CF197" t="str">
            <v/>
          </cell>
          <cell r="CG197" t="str">
            <v/>
          </cell>
          <cell r="CH197" t="str">
            <v/>
          </cell>
          <cell r="CI197" t="str">
            <v/>
          </cell>
          <cell r="CJ197" t="str">
            <v/>
          </cell>
          <cell r="CK197" t="str">
            <v/>
          </cell>
          <cell r="CL197" t="str">
            <v/>
          </cell>
          <cell r="CM197" t="str">
            <v/>
          </cell>
          <cell r="CN197" t="str">
            <v/>
          </cell>
          <cell r="CO197" t="str">
            <v/>
          </cell>
          <cell r="CP197" t="str">
            <v/>
          </cell>
          <cell r="CQ197" t="str">
            <v/>
          </cell>
          <cell r="CR197" t="str">
            <v/>
          </cell>
          <cell r="CS197" t="str">
            <v/>
          </cell>
          <cell r="CT197" t="str">
            <v/>
          </cell>
          <cell r="CU197" t="str">
            <v/>
          </cell>
          <cell r="CV197" t="str">
            <v/>
          </cell>
          <cell r="CW197" t="str">
            <v/>
          </cell>
          <cell r="CX197" t="str">
            <v/>
          </cell>
          <cell r="CY197" t="str">
            <v/>
          </cell>
          <cell r="CZ197" t="str">
            <v/>
          </cell>
          <cell r="DA197" t="str">
            <v/>
          </cell>
          <cell r="DB197" t="str">
            <v/>
          </cell>
          <cell r="DC197" t="str">
            <v/>
          </cell>
          <cell r="DD197" t="str">
            <v/>
          </cell>
          <cell r="DE197" t="str">
            <v/>
          </cell>
          <cell r="DF197" t="str">
            <v/>
          </cell>
          <cell r="DG197" t="str">
            <v/>
          </cell>
          <cell r="DH197" t="str">
            <v/>
          </cell>
          <cell r="DI197" t="str">
            <v/>
          </cell>
          <cell r="DJ197" t="str">
            <v/>
          </cell>
          <cell r="DK197" t="str">
            <v/>
          </cell>
          <cell r="DL197" t="str">
            <v/>
          </cell>
          <cell r="DM197" t="str">
            <v/>
          </cell>
          <cell r="DN197" t="str">
            <v/>
          </cell>
          <cell r="DO197" t="str">
            <v/>
          </cell>
          <cell r="DP197" t="str">
            <v/>
          </cell>
          <cell r="DQ197" t="str">
            <v/>
          </cell>
          <cell r="DR197" t="str">
            <v/>
          </cell>
          <cell r="DS197" t="str">
            <v/>
          </cell>
          <cell r="DT197" t="str">
            <v/>
          </cell>
          <cell r="DU197" t="str">
            <v/>
          </cell>
          <cell r="DV197" t="str">
            <v/>
          </cell>
          <cell r="DW197" t="str">
            <v/>
          </cell>
          <cell r="DX197" t="str">
            <v/>
          </cell>
          <cell r="DY197" t="str">
            <v/>
          </cell>
          <cell r="DZ197" t="str">
            <v/>
          </cell>
          <cell r="EA197" t="str">
            <v/>
          </cell>
          <cell r="EB197" t="str">
            <v/>
          </cell>
          <cell r="EC197" t="str">
            <v/>
          </cell>
          <cell r="ED197" t="str">
            <v/>
          </cell>
          <cell r="EE197" t="str">
            <v/>
          </cell>
          <cell r="EF197" t="str">
            <v/>
          </cell>
          <cell r="EG197" t="str">
            <v/>
          </cell>
          <cell r="EH197" t="str">
            <v/>
          </cell>
          <cell r="EI197" t="str">
            <v/>
          </cell>
          <cell r="EJ197" t="str">
            <v/>
          </cell>
          <cell r="EK197" t="str">
            <v/>
          </cell>
          <cell r="EL197" t="str">
            <v/>
          </cell>
          <cell r="EM197" t="str">
            <v/>
          </cell>
          <cell r="EN197" t="str">
            <v/>
          </cell>
          <cell r="EO197" t="str">
            <v/>
          </cell>
          <cell r="EP197" t="str">
            <v/>
          </cell>
          <cell r="EQ197" t="str">
            <v/>
          </cell>
          <cell r="ER197" t="str">
            <v/>
          </cell>
          <cell r="ES197" t="str">
            <v/>
          </cell>
          <cell r="ET197" t="str">
            <v/>
          </cell>
          <cell r="EU197" t="str">
            <v/>
          </cell>
          <cell r="EV197" t="str">
            <v/>
          </cell>
          <cell r="EW197">
            <v>0</v>
          </cell>
          <cell r="EX197">
            <v>0</v>
          </cell>
          <cell r="EY197">
            <v>0</v>
          </cell>
          <cell r="EZ197">
            <v>0</v>
          </cell>
          <cell r="FA197">
            <v>0</v>
          </cell>
          <cell r="FB197">
            <v>0</v>
          </cell>
          <cell r="FC197">
            <v>0</v>
          </cell>
        </row>
        <row r="198">
          <cell r="S198" t="str">
            <v>COST TO DATE</v>
          </cell>
          <cell r="T198" t="str">
            <v>DEVELOPMENT</v>
          </cell>
          <cell r="U198">
            <v>0</v>
          </cell>
          <cell r="V198" t="str">
            <v>DIRECT TO DATE</v>
          </cell>
          <cell r="W198" t="str">
            <v>BUDGET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  <cell r="CL198">
            <v>0</v>
          </cell>
          <cell r="CM198">
            <v>0</v>
          </cell>
          <cell r="CN198">
            <v>0</v>
          </cell>
        </row>
        <row r="199">
          <cell r="T199" t="str">
            <v>DEVELOPMENT</v>
          </cell>
          <cell r="U199">
            <v>2.6577205773952221E-2</v>
          </cell>
          <cell r="V199">
            <v>0</v>
          </cell>
          <cell r="W199">
            <v>136000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</row>
        <row r="200">
          <cell r="T200" t="str">
            <v>PRE PRODUCTION</v>
          </cell>
          <cell r="U200">
            <v>5.5194045738399006E-2</v>
          </cell>
          <cell r="V200">
            <v>7506.390220422265</v>
          </cell>
          <cell r="W200">
            <v>136000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73.249909107150017</v>
          </cell>
          <cell r="AV200">
            <v>0</v>
          </cell>
          <cell r="AW200">
            <v>0</v>
          </cell>
          <cell r="AX200">
            <v>211.84885891174685</v>
          </cell>
          <cell r="AY200">
            <v>131.4440248158169</v>
          </cell>
          <cell r="AZ200">
            <v>538.99606500616505</v>
          </cell>
          <cell r="BA200">
            <v>832.02093803214586</v>
          </cell>
          <cell r="BB200">
            <v>997.95049164271302</v>
          </cell>
          <cell r="BC200">
            <v>290.56169774176448</v>
          </cell>
          <cell r="BD200">
            <v>538.428</v>
          </cell>
          <cell r="BE200">
            <v>3891.8902351647635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  <cell r="CL200">
            <v>0</v>
          </cell>
          <cell r="CM200">
            <v>0</v>
          </cell>
          <cell r="CN200">
            <v>0</v>
          </cell>
        </row>
        <row r="201">
          <cell r="T201" t="str">
            <v>PRODUCTION</v>
          </cell>
          <cell r="U201">
            <v>0</v>
          </cell>
          <cell r="V201">
            <v>0</v>
          </cell>
          <cell r="W201">
            <v>480000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0</v>
          </cell>
          <cell r="CK201">
            <v>0</v>
          </cell>
          <cell r="CL201">
            <v>0</v>
          </cell>
          <cell r="CM201">
            <v>0</v>
          </cell>
          <cell r="CN201">
            <v>0</v>
          </cell>
        </row>
        <row r="202">
          <cell r="T202" t="str">
            <v>INK &amp; PAINT</v>
          </cell>
          <cell r="U202">
            <v>0</v>
          </cell>
          <cell r="V202">
            <v>0</v>
          </cell>
          <cell r="W202">
            <v>52000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>
            <v>0</v>
          </cell>
          <cell r="CY202">
            <v>0</v>
          </cell>
          <cell r="CZ202">
            <v>0</v>
          </cell>
          <cell r="DA202">
            <v>0</v>
          </cell>
          <cell r="DB202">
            <v>0</v>
          </cell>
          <cell r="DC202">
            <v>0</v>
          </cell>
          <cell r="DD202">
            <v>0</v>
          </cell>
          <cell r="DE202">
            <v>0</v>
          </cell>
          <cell r="DF202">
            <v>0</v>
          </cell>
          <cell r="DG202">
            <v>0</v>
          </cell>
          <cell r="DH202">
            <v>0</v>
          </cell>
          <cell r="DI202">
            <v>0</v>
          </cell>
          <cell r="DJ202">
            <v>0</v>
          </cell>
          <cell r="DK202">
            <v>0</v>
          </cell>
          <cell r="DL202">
            <v>0</v>
          </cell>
          <cell r="DM202">
            <v>0</v>
          </cell>
          <cell r="DN202">
            <v>0</v>
          </cell>
          <cell r="DO202">
            <v>0</v>
          </cell>
          <cell r="DP202">
            <v>0</v>
          </cell>
          <cell r="DQ202">
            <v>0</v>
          </cell>
          <cell r="DR202">
            <v>0</v>
          </cell>
          <cell r="DS202">
            <v>0</v>
          </cell>
          <cell r="DT202">
            <v>0</v>
          </cell>
          <cell r="DU202">
            <v>0</v>
          </cell>
          <cell r="DV202">
            <v>0</v>
          </cell>
          <cell r="DW202">
            <v>0</v>
          </cell>
          <cell r="DX202">
            <v>0</v>
          </cell>
          <cell r="DY202">
            <v>0</v>
          </cell>
          <cell r="DZ202">
            <v>0</v>
          </cell>
          <cell r="EA202">
            <v>0</v>
          </cell>
          <cell r="EB202">
            <v>0</v>
          </cell>
          <cell r="EC202">
            <v>0</v>
          </cell>
          <cell r="ED202">
            <v>0</v>
          </cell>
          <cell r="EE202">
            <v>0</v>
          </cell>
          <cell r="EF202">
            <v>0</v>
          </cell>
          <cell r="EG202">
            <v>0</v>
          </cell>
          <cell r="EH202">
            <v>0</v>
          </cell>
          <cell r="EI202">
            <v>0</v>
          </cell>
          <cell r="EJ202">
            <v>0</v>
          </cell>
          <cell r="EK202">
            <v>0</v>
          </cell>
          <cell r="EL202">
            <v>0</v>
          </cell>
          <cell r="EM202">
            <v>0</v>
          </cell>
          <cell r="EN202">
            <v>0</v>
          </cell>
          <cell r="EO202">
            <v>0</v>
          </cell>
          <cell r="EP202">
            <v>0</v>
          </cell>
          <cell r="EQ202">
            <v>0</v>
          </cell>
          <cell r="ER202">
            <v>0</v>
          </cell>
          <cell r="ES202">
            <v>0</v>
          </cell>
          <cell r="ET202">
            <v>0</v>
          </cell>
          <cell r="EU202">
            <v>0</v>
          </cell>
          <cell r="EV202">
            <v>0</v>
          </cell>
        </row>
        <row r="203">
          <cell r="T203" t="str">
            <v>TOTAL DIRECT</v>
          </cell>
          <cell r="U203">
            <v>0</v>
          </cell>
          <cell r="V203">
            <v>7506.390220422265</v>
          </cell>
          <cell r="W203">
            <v>0</v>
          </cell>
          <cell r="X203" t="str">
            <v>DIRECT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73.249909107150017</v>
          </cell>
          <cell r="AV203">
            <v>0</v>
          </cell>
          <cell r="AW203">
            <v>0</v>
          </cell>
          <cell r="AX203">
            <v>211.84885891174685</v>
          </cell>
          <cell r="AY203">
            <v>131.4440248158169</v>
          </cell>
          <cell r="AZ203">
            <v>538.99606500616505</v>
          </cell>
          <cell r="BA203">
            <v>832.02093803214586</v>
          </cell>
          <cell r="BB203">
            <v>997.95049164271302</v>
          </cell>
          <cell r="BC203">
            <v>290.56169774176448</v>
          </cell>
          <cell r="BD203">
            <v>538.428</v>
          </cell>
          <cell r="BE203">
            <v>3891.8902351647635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0</v>
          </cell>
          <cell r="CD203">
            <v>0</v>
          </cell>
          <cell r="CE203">
            <v>0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0</v>
          </cell>
          <cell r="CK203">
            <v>0</v>
          </cell>
          <cell r="CL203">
            <v>0</v>
          </cell>
          <cell r="CM203">
            <v>0</v>
          </cell>
          <cell r="CN203">
            <v>0</v>
          </cell>
          <cell r="CO203">
            <v>0</v>
          </cell>
          <cell r="CP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0</v>
          </cell>
          <cell r="DA203">
            <v>0</v>
          </cell>
          <cell r="DB203">
            <v>0</v>
          </cell>
          <cell r="DC203">
            <v>0</v>
          </cell>
          <cell r="DD203">
            <v>0</v>
          </cell>
          <cell r="DE203">
            <v>0</v>
          </cell>
          <cell r="DF203">
            <v>0</v>
          </cell>
          <cell r="DG203">
            <v>0</v>
          </cell>
          <cell r="DH203">
            <v>0</v>
          </cell>
          <cell r="DI203">
            <v>0</v>
          </cell>
          <cell r="DJ203">
            <v>0</v>
          </cell>
          <cell r="DK203">
            <v>0</v>
          </cell>
          <cell r="DL203">
            <v>0</v>
          </cell>
          <cell r="DM203">
            <v>0</v>
          </cell>
          <cell r="DN203">
            <v>0</v>
          </cell>
          <cell r="DO203">
            <v>0</v>
          </cell>
          <cell r="DP203">
            <v>0</v>
          </cell>
          <cell r="DQ203">
            <v>0</v>
          </cell>
          <cell r="DR203">
            <v>0</v>
          </cell>
          <cell r="DS203">
            <v>0</v>
          </cell>
          <cell r="DT203">
            <v>0</v>
          </cell>
          <cell r="DU203">
            <v>0</v>
          </cell>
          <cell r="DV203">
            <v>0</v>
          </cell>
          <cell r="DW203">
            <v>0</v>
          </cell>
          <cell r="DX203">
            <v>0</v>
          </cell>
          <cell r="DY203">
            <v>0</v>
          </cell>
          <cell r="DZ203">
            <v>0</v>
          </cell>
          <cell r="EA203">
            <v>0</v>
          </cell>
          <cell r="EB203">
            <v>0</v>
          </cell>
          <cell r="EC203">
            <v>0</v>
          </cell>
          <cell r="ED203">
            <v>0</v>
          </cell>
          <cell r="EE203">
            <v>0</v>
          </cell>
          <cell r="EF203">
            <v>0</v>
          </cell>
          <cell r="EG203">
            <v>0</v>
          </cell>
          <cell r="EH203">
            <v>0</v>
          </cell>
          <cell r="EI203">
            <v>0</v>
          </cell>
          <cell r="EJ203">
            <v>0</v>
          </cell>
          <cell r="EK203">
            <v>0</v>
          </cell>
          <cell r="EL203">
            <v>0</v>
          </cell>
          <cell r="EM203">
            <v>0</v>
          </cell>
          <cell r="EN203">
            <v>0</v>
          </cell>
          <cell r="EO203">
            <v>0</v>
          </cell>
          <cell r="EP203">
            <v>0</v>
          </cell>
          <cell r="EQ203">
            <v>0</v>
          </cell>
          <cell r="ER203">
            <v>0</v>
          </cell>
          <cell r="ES203">
            <v>0</v>
          </cell>
          <cell r="ET203">
            <v>0</v>
          </cell>
          <cell r="EU203">
            <v>0</v>
          </cell>
          <cell r="EV203">
            <v>0</v>
          </cell>
        </row>
        <row r="204">
          <cell r="T204" t="str">
            <v>TOTAL TO DATE</v>
          </cell>
          <cell r="U204">
            <v>0</v>
          </cell>
          <cell r="V204">
            <v>5060.2999793605031</v>
          </cell>
          <cell r="W204">
            <v>668000</v>
          </cell>
          <cell r="X204" t="str">
            <v>DIRECT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73.249909107150017</v>
          </cell>
          <cell r="AV204">
            <v>0</v>
          </cell>
          <cell r="AW204">
            <v>0</v>
          </cell>
          <cell r="AX204">
            <v>211.84885891174685</v>
          </cell>
          <cell r="AY204">
            <v>131.4440248158169</v>
          </cell>
          <cell r="AZ204">
            <v>538.99606500616505</v>
          </cell>
          <cell r="BA204">
            <v>832.02093803214586</v>
          </cell>
          <cell r="BB204">
            <v>997.95049164271302</v>
          </cell>
          <cell r="BC204">
            <v>290.56169774176448</v>
          </cell>
          <cell r="BD204">
            <v>538.428</v>
          </cell>
          <cell r="BE204">
            <v>3891.8902351647635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  <cell r="CL204">
            <v>0</v>
          </cell>
          <cell r="CM204">
            <v>0</v>
          </cell>
          <cell r="CN204">
            <v>0</v>
          </cell>
          <cell r="CO204">
            <v>0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  <cell r="CW204">
            <v>0</v>
          </cell>
          <cell r="CX204">
            <v>0</v>
          </cell>
          <cell r="CY204">
            <v>0</v>
          </cell>
          <cell r="CZ204">
            <v>0</v>
          </cell>
          <cell r="DA204">
            <v>0</v>
          </cell>
          <cell r="DB204">
            <v>0</v>
          </cell>
          <cell r="DC204">
            <v>0</v>
          </cell>
          <cell r="DD204">
            <v>0</v>
          </cell>
          <cell r="DE204">
            <v>0</v>
          </cell>
          <cell r="DF204">
            <v>0</v>
          </cell>
          <cell r="DG204">
            <v>0</v>
          </cell>
          <cell r="DH204">
            <v>0</v>
          </cell>
          <cell r="DI204">
            <v>0</v>
          </cell>
          <cell r="DJ204">
            <v>0</v>
          </cell>
          <cell r="DK204">
            <v>0</v>
          </cell>
          <cell r="DL204">
            <v>0</v>
          </cell>
          <cell r="DM204">
            <v>0</v>
          </cell>
          <cell r="DN204">
            <v>0</v>
          </cell>
          <cell r="DO204">
            <v>0</v>
          </cell>
          <cell r="DP204">
            <v>0</v>
          </cell>
          <cell r="DQ204">
            <v>0</v>
          </cell>
          <cell r="DR204">
            <v>0</v>
          </cell>
          <cell r="DS204">
            <v>0</v>
          </cell>
          <cell r="DT204">
            <v>0</v>
          </cell>
          <cell r="DU204">
            <v>0</v>
          </cell>
          <cell r="DV204">
            <v>0</v>
          </cell>
          <cell r="DW204">
            <v>0</v>
          </cell>
          <cell r="DX204">
            <v>0</v>
          </cell>
          <cell r="DY204">
            <v>0</v>
          </cell>
          <cell r="DZ204">
            <v>0</v>
          </cell>
          <cell r="EA204">
            <v>0</v>
          </cell>
          <cell r="EB204">
            <v>0</v>
          </cell>
          <cell r="EC204">
            <v>0</v>
          </cell>
          <cell r="ED204">
            <v>0</v>
          </cell>
          <cell r="EE204">
            <v>0</v>
          </cell>
          <cell r="EF204">
            <v>0</v>
          </cell>
          <cell r="EG204">
            <v>0</v>
          </cell>
          <cell r="EH204">
            <v>0</v>
          </cell>
          <cell r="EI204">
            <v>0</v>
          </cell>
          <cell r="EJ204">
            <v>0</v>
          </cell>
          <cell r="EK204">
            <v>0</v>
          </cell>
          <cell r="EL204">
            <v>0</v>
          </cell>
          <cell r="EM204">
            <v>0</v>
          </cell>
          <cell r="EN204">
            <v>0</v>
          </cell>
          <cell r="EO204">
            <v>0</v>
          </cell>
          <cell r="EP204">
            <v>0</v>
          </cell>
          <cell r="EQ204">
            <v>0</v>
          </cell>
          <cell r="ER204">
            <v>0</v>
          </cell>
          <cell r="ES204">
            <v>0</v>
          </cell>
          <cell r="ET204">
            <v>0</v>
          </cell>
          <cell r="EU204">
            <v>0</v>
          </cell>
          <cell r="EV204">
            <v>0</v>
          </cell>
        </row>
        <row r="205">
          <cell r="T205" t="str">
            <v>TOTAL TO DATE</v>
          </cell>
          <cell r="U205">
            <v>0</v>
          </cell>
          <cell r="V205">
            <v>10508.94630859117</v>
          </cell>
          <cell r="W205">
            <v>668000</v>
          </cell>
          <cell r="X205" t="str">
            <v>LOADED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102.54987275001002</v>
          </cell>
          <cell r="AV205">
            <v>0</v>
          </cell>
          <cell r="AW205">
            <v>0</v>
          </cell>
          <cell r="AX205">
            <v>296.58840247644559</v>
          </cell>
          <cell r="AY205">
            <v>184.02163474214368</v>
          </cell>
          <cell r="AZ205">
            <v>754.59449100863105</v>
          </cell>
          <cell r="BA205">
            <v>1164.8293132450042</v>
          </cell>
          <cell r="BB205">
            <v>1397.1306882997983</v>
          </cell>
          <cell r="BC205">
            <v>406.78637683847029</v>
          </cell>
          <cell r="BD205">
            <v>753.79920000000004</v>
          </cell>
          <cell r="BE205">
            <v>5448.6463292306689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  <cell r="BY205">
            <v>0</v>
          </cell>
          <cell r="BZ205">
            <v>0</v>
          </cell>
          <cell r="CA205">
            <v>0</v>
          </cell>
          <cell r="CB205">
            <v>0</v>
          </cell>
          <cell r="CC205">
            <v>0</v>
          </cell>
          <cell r="CD205">
            <v>0</v>
          </cell>
          <cell r="CE205">
            <v>0</v>
          </cell>
          <cell r="CF205">
            <v>0</v>
          </cell>
          <cell r="CG205">
            <v>0</v>
          </cell>
          <cell r="CH205">
            <v>0</v>
          </cell>
          <cell r="CI205">
            <v>0</v>
          </cell>
          <cell r="CJ205">
            <v>0</v>
          </cell>
          <cell r="CK205">
            <v>0</v>
          </cell>
          <cell r="CL205">
            <v>0</v>
          </cell>
          <cell r="CM205">
            <v>0</v>
          </cell>
          <cell r="CN205">
            <v>0</v>
          </cell>
        </row>
        <row r="206">
          <cell r="V206" t="str">
            <v>PROJECTED RTM</v>
          </cell>
          <cell r="W206">
            <v>0</v>
          </cell>
          <cell r="X206" t="str">
            <v>CUMULATIVE</v>
          </cell>
          <cell r="Y206">
            <v>126</v>
          </cell>
          <cell r="Z206">
            <v>22.992822222222223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102.54987275001002</v>
          </cell>
          <cell r="AV206">
            <v>102.54987275001002</v>
          </cell>
          <cell r="AW206">
            <v>102.54987275001002</v>
          </cell>
          <cell r="AX206">
            <v>399.13827522645562</v>
          </cell>
          <cell r="AY206">
            <v>583.15990996859932</v>
          </cell>
          <cell r="AZ206">
            <v>1337.7544009772305</v>
          </cell>
          <cell r="BA206">
            <v>2502.5837142222344</v>
          </cell>
          <cell r="BB206">
            <v>3899.7144025220327</v>
          </cell>
          <cell r="BC206">
            <v>4306.5007793605027</v>
          </cell>
          <cell r="BD206">
            <v>5060.2999793605031</v>
          </cell>
          <cell r="BE206">
            <v>10508.946308591172</v>
          </cell>
        </row>
        <row r="207">
          <cell r="V207" t="str">
            <v>PROJECTED RTM</v>
          </cell>
          <cell r="W207">
            <v>0</v>
          </cell>
          <cell r="X207">
            <v>35937.992822222222</v>
          </cell>
          <cell r="Y207">
            <v>126</v>
          </cell>
          <cell r="Z207">
            <v>22.992822222222223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 t="str">
            <v xml:space="preserve"> </v>
          </cell>
        </row>
        <row r="208">
          <cell r="V208" t="str">
            <v>PROJECTED STREET</v>
          </cell>
          <cell r="W208">
            <v>0</v>
          </cell>
          <cell r="X208">
            <v>35966.992822222222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 t="str">
            <v xml:space="preserve"> </v>
          </cell>
        </row>
        <row r="209">
          <cell r="V209" t="str">
            <v>+ or - Scheduled Date</v>
          </cell>
          <cell r="W209">
            <v>0</v>
          </cell>
          <cell r="X209">
            <v>41.007177777777542</v>
          </cell>
        </row>
        <row r="210">
          <cell r="N210" t="str">
            <v>ENGINEERING</v>
          </cell>
          <cell r="O210">
            <v>0</v>
          </cell>
          <cell r="P210">
            <v>0</v>
          </cell>
          <cell r="Q210">
            <v>0</v>
          </cell>
          <cell r="R210" t="str">
            <v>CREATIVITY 2</v>
          </cell>
          <cell r="S210">
            <v>0</v>
          </cell>
          <cell r="T210">
            <v>0</v>
          </cell>
          <cell r="U210">
            <v>0</v>
          </cell>
          <cell r="V210" t="str">
            <v>START DATE</v>
          </cell>
          <cell r="W210" t="str">
            <v>END     DATE</v>
          </cell>
          <cell r="X210">
            <v>3087.1529999999998</v>
          </cell>
          <cell r="Y210" t="str">
            <v>WK Count</v>
          </cell>
          <cell r="Z210" t="str">
            <v>Total Days</v>
          </cell>
        </row>
        <row r="211">
          <cell r="N211" t="str">
            <v>ENGINEERING</v>
          </cell>
          <cell r="O211">
            <v>0</v>
          </cell>
          <cell r="P211">
            <v>0</v>
          </cell>
          <cell r="Q211">
            <v>0</v>
          </cell>
          <cell r="R211" t="str">
            <v>CREATIVITY 2</v>
          </cell>
          <cell r="S211">
            <v>0</v>
          </cell>
          <cell r="T211" t="str">
            <v>ANIMATION PRODUCTION</v>
          </cell>
          <cell r="U211">
            <v>0</v>
          </cell>
          <cell r="V211" t="str">
            <v>START DATE</v>
          </cell>
          <cell r="W211" t="str">
            <v>END     DATE</v>
          </cell>
          <cell r="X211">
            <v>3087.1529999999998</v>
          </cell>
          <cell r="Y211" t="str">
            <v>WK Count</v>
          </cell>
          <cell r="Z211" t="str">
            <v>Total Days</v>
          </cell>
          <cell r="AA211" t="str">
            <v/>
          </cell>
          <cell r="AB211" t="str">
            <v/>
          </cell>
          <cell r="AC211" t="str">
            <v/>
          </cell>
          <cell r="AD211" t="str">
            <v/>
          </cell>
          <cell r="AE211" t="str">
            <v/>
          </cell>
          <cell r="AF211" t="str">
            <v/>
          </cell>
          <cell r="AG211" t="str">
            <v/>
          </cell>
          <cell r="AH211" t="str">
            <v/>
          </cell>
          <cell r="AI211" t="str">
            <v/>
          </cell>
          <cell r="AJ211" t="str">
            <v/>
          </cell>
          <cell r="AK211" t="str">
            <v/>
          </cell>
          <cell r="AL211" t="str">
            <v/>
          </cell>
          <cell r="AM211" t="str">
            <v/>
          </cell>
          <cell r="AN211" t="str">
            <v/>
          </cell>
          <cell r="AO211" t="str">
            <v/>
          </cell>
          <cell r="AP211" t="str">
            <v/>
          </cell>
          <cell r="AQ211" t="str">
            <v/>
          </cell>
          <cell r="AR211" t="str">
            <v/>
          </cell>
          <cell r="AS211" t="str">
            <v/>
          </cell>
          <cell r="AT211" t="str">
            <v/>
          </cell>
          <cell r="AU211" t="str">
            <v/>
          </cell>
          <cell r="AV211" t="str">
            <v/>
          </cell>
          <cell r="AW211" t="str">
            <v/>
          </cell>
          <cell r="AX211" t="str">
            <v/>
          </cell>
          <cell r="AY211" t="str">
            <v/>
          </cell>
          <cell r="AZ211" t="str">
            <v/>
          </cell>
          <cell r="BA211" t="str">
            <v/>
          </cell>
          <cell r="BB211" t="str">
            <v/>
          </cell>
          <cell r="BC211" t="str">
            <v/>
          </cell>
          <cell r="BD211" t="str">
            <v/>
          </cell>
          <cell r="BE211" t="str">
            <v/>
          </cell>
          <cell r="BF211" t="str">
            <v/>
          </cell>
          <cell r="BG211" t="str">
            <v/>
          </cell>
          <cell r="BH211" t="str">
            <v/>
          </cell>
          <cell r="BI211" t="str">
            <v/>
          </cell>
          <cell r="BJ211" t="str">
            <v/>
          </cell>
          <cell r="BK211" t="str">
            <v/>
          </cell>
          <cell r="BL211" t="str">
            <v/>
          </cell>
          <cell r="BM211" t="str">
            <v/>
          </cell>
          <cell r="BN211" t="str">
            <v/>
          </cell>
          <cell r="BO211" t="str">
            <v/>
          </cell>
          <cell r="BP211" t="str">
            <v/>
          </cell>
          <cell r="BQ211" t="str">
            <v/>
          </cell>
          <cell r="BR211" t="str">
            <v/>
          </cell>
          <cell r="BS211" t="str">
            <v/>
          </cell>
          <cell r="BT211" t="str">
            <v/>
          </cell>
          <cell r="BU211" t="str">
            <v/>
          </cell>
          <cell r="BV211" t="str">
            <v/>
          </cell>
          <cell r="BW211" t="str">
            <v/>
          </cell>
          <cell r="BX211">
            <v>35898</v>
          </cell>
          <cell r="BY211">
            <v>35905</v>
          </cell>
          <cell r="BZ211">
            <v>35912</v>
          </cell>
          <cell r="CA211">
            <v>35919</v>
          </cell>
          <cell r="CB211">
            <v>35926</v>
          </cell>
          <cell r="CC211">
            <v>35933</v>
          </cell>
          <cell r="CD211">
            <v>35940</v>
          </cell>
          <cell r="CE211">
            <v>35947</v>
          </cell>
          <cell r="CF211">
            <v>35954</v>
          </cell>
          <cell r="CG211" t="str">
            <v/>
          </cell>
          <cell r="CH211" t="str">
            <v/>
          </cell>
          <cell r="CI211" t="str">
            <v/>
          </cell>
          <cell r="CJ211" t="str">
            <v/>
          </cell>
          <cell r="CK211" t="str">
            <v/>
          </cell>
          <cell r="CL211" t="str">
            <v/>
          </cell>
          <cell r="CM211" t="str">
            <v/>
          </cell>
          <cell r="CN211" t="str">
            <v/>
          </cell>
          <cell r="CO211" t="str">
            <v/>
          </cell>
          <cell r="CP211" t="str">
            <v/>
          </cell>
          <cell r="CQ211" t="str">
            <v/>
          </cell>
          <cell r="CR211" t="str">
            <v/>
          </cell>
          <cell r="CS211" t="str">
            <v/>
          </cell>
          <cell r="CT211" t="str">
            <v/>
          </cell>
          <cell r="CU211" t="str">
            <v/>
          </cell>
          <cell r="CV211" t="str">
            <v/>
          </cell>
          <cell r="CW211" t="str">
            <v/>
          </cell>
          <cell r="CX211" t="str">
            <v/>
          </cell>
          <cell r="CY211" t="str">
            <v/>
          </cell>
          <cell r="CZ211" t="str">
            <v/>
          </cell>
          <cell r="DA211" t="str">
            <v/>
          </cell>
          <cell r="DB211" t="str">
            <v/>
          </cell>
          <cell r="DC211" t="str">
            <v/>
          </cell>
          <cell r="DD211" t="str">
            <v/>
          </cell>
          <cell r="DE211" t="str">
            <v/>
          </cell>
          <cell r="DF211" t="str">
            <v/>
          </cell>
          <cell r="DG211" t="str">
            <v/>
          </cell>
          <cell r="DH211" t="str">
            <v/>
          </cell>
          <cell r="DI211" t="str">
            <v/>
          </cell>
          <cell r="DJ211" t="str">
            <v/>
          </cell>
          <cell r="DK211" t="str">
            <v/>
          </cell>
          <cell r="DL211" t="str">
            <v/>
          </cell>
          <cell r="DM211" t="str">
            <v/>
          </cell>
          <cell r="DN211" t="str">
            <v/>
          </cell>
          <cell r="DO211" t="str">
            <v/>
          </cell>
          <cell r="DP211" t="str">
            <v/>
          </cell>
          <cell r="DQ211" t="str">
            <v/>
          </cell>
          <cell r="DR211" t="str">
            <v/>
          </cell>
          <cell r="DS211" t="str">
            <v/>
          </cell>
          <cell r="DT211" t="str">
            <v/>
          </cell>
          <cell r="DU211" t="str">
            <v/>
          </cell>
          <cell r="DV211" t="str">
            <v/>
          </cell>
          <cell r="DW211" t="str">
            <v/>
          </cell>
          <cell r="DX211" t="str">
            <v/>
          </cell>
          <cell r="DY211" t="str">
            <v/>
          </cell>
          <cell r="DZ211" t="str">
            <v/>
          </cell>
          <cell r="EA211" t="str">
            <v/>
          </cell>
          <cell r="EB211" t="str">
            <v/>
          </cell>
          <cell r="EC211" t="str">
            <v/>
          </cell>
          <cell r="ED211" t="str">
            <v/>
          </cell>
          <cell r="EE211" t="str">
            <v/>
          </cell>
          <cell r="EF211" t="str">
            <v/>
          </cell>
          <cell r="EG211" t="str">
            <v/>
          </cell>
          <cell r="EH211" t="str">
            <v/>
          </cell>
          <cell r="EI211" t="str">
            <v/>
          </cell>
          <cell r="EJ211" t="str">
            <v/>
          </cell>
          <cell r="EK211" t="str">
            <v/>
          </cell>
          <cell r="EL211" t="str">
            <v/>
          </cell>
          <cell r="EM211" t="str">
            <v/>
          </cell>
          <cell r="EN211" t="str">
            <v/>
          </cell>
          <cell r="EO211" t="str">
            <v/>
          </cell>
          <cell r="EP211" t="str">
            <v/>
          </cell>
          <cell r="EQ211" t="str">
            <v/>
          </cell>
          <cell r="ER211" t="str">
            <v/>
          </cell>
          <cell r="ES211" t="str">
            <v/>
          </cell>
          <cell r="ET211" t="str">
            <v/>
          </cell>
          <cell r="EU211" t="str">
            <v/>
          </cell>
          <cell r="EV211" t="str">
            <v/>
          </cell>
        </row>
        <row r="212">
          <cell r="A212" t="str">
            <v>PREP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 t="str">
            <v>ANIMATION</v>
          </cell>
          <cell r="G212">
            <v>0</v>
          </cell>
          <cell r="H212">
            <v>0</v>
          </cell>
          <cell r="I212" t="str">
            <v>INK &amp; PAINT</v>
          </cell>
          <cell r="J212">
            <v>0</v>
          </cell>
          <cell r="K212">
            <v>0</v>
          </cell>
          <cell r="L212" t="str">
            <v>ALPHA</v>
          </cell>
          <cell r="M212">
            <v>0</v>
          </cell>
          <cell r="N212" t="str">
            <v>BETA</v>
          </cell>
          <cell r="O212">
            <v>0</v>
          </cell>
          <cell r="P212" t="str">
            <v>RTM</v>
          </cell>
          <cell r="Q212">
            <v>0</v>
          </cell>
          <cell r="R212" t="str">
            <v>STREET</v>
          </cell>
          <cell r="S212">
            <v>0</v>
          </cell>
          <cell r="T212" t="str">
            <v>ANIMATION PRODUCTION</v>
          </cell>
          <cell r="U212">
            <v>0</v>
          </cell>
          <cell r="V212">
            <v>35898</v>
          </cell>
          <cell r="W212">
            <v>35955.220141999998</v>
          </cell>
          <cell r="X212">
            <v>500</v>
          </cell>
          <cell r="Y212">
            <v>9</v>
          </cell>
          <cell r="Z212">
            <v>57.220141999999996</v>
          </cell>
          <cell r="AA212" t="str">
            <v/>
          </cell>
          <cell r="AB212" t="str">
            <v/>
          </cell>
          <cell r="AC212" t="str">
            <v/>
          </cell>
          <cell r="AD212" t="str">
            <v/>
          </cell>
          <cell r="AE212" t="str">
            <v/>
          </cell>
          <cell r="AF212" t="str">
            <v/>
          </cell>
          <cell r="AG212" t="str">
            <v/>
          </cell>
          <cell r="AH212" t="str">
            <v/>
          </cell>
          <cell r="AI212" t="str">
            <v/>
          </cell>
          <cell r="AJ212" t="str">
            <v/>
          </cell>
          <cell r="AK212" t="str">
            <v/>
          </cell>
          <cell r="AL212" t="str">
            <v/>
          </cell>
          <cell r="AM212" t="str">
            <v/>
          </cell>
          <cell r="AN212" t="str">
            <v/>
          </cell>
          <cell r="AO212" t="str">
            <v/>
          </cell>
          <cell r="AP212" t="str">
            <v/>
          </cell>
          <cell r="AQ212" t="str">
            <v/>
          </cell>
          <cell r="AR212" t="str">
            <v/>
          </cell>
          <cell r="AS212" t="str">
            <v/>
          </cell>
          <cell r="AT212" t="str">
            <v/>
          </cell>
          <cell r="AU212" t="str">
            <v/>
          </cell>
          <cell r="AV212" t="str">
            <v/>
          </cell>
          <cell r="AW212" t="str">
            <v/>
          </cell>
          <cell r="AX212" t="str">
            <v/>
          </cell>
          <cell r="AY212" t="str">
            <v/>
          </cell>
          <cell r="AZ212" t="str">
            <v/>
          </cell>
          <cell r="BA212" t="str">
            <v/>
          </cell>
          <cell r="BB212" t="str">
            <v/>
          </cell>
          <cell r="BC212" t="str">
            <v/>
          </cell>
          <cell r="BD212" t="str">
            <v/>
          </cell>
          <cell r="BE212" t="str">
            <v/>
          </cell>
          <cell r="BF212" t="str">
            <v/>
          </cell>
          <cell r="BG212" t="str">
            <v/>
          </cell>
          <cell r="BH212" t="str">
            <v/>
          </cell>
          <cell r="BI212" t="str">
            <v/>
          </cell>
          <cell r="BJ212" t="str">
            <v/>
          </cell>
          <cell r="BK212" t="str">
            <v/>
          </cell>
          <cell r="BL212" t="str">
            <v/>
          </cell>
          <cell r="BM212" t="str">
            <v/>
          </cell>
          <cell r="BN212" t="str">
            <v/>
          </cell>
          <cell r="BO212" t="str">
            <v/>
          </cell>
          <cell r="BP212" t="str">
            <v/>
          </cell>
          <cell r="BQ212" t="str">
            <v/>
          </cell>
          <cell r="BR212" t="str">
            <v/>
          </cell>
          <cell r="BS212" t="str">
            <v/>
          </cell>
          <cell r="BT212" t="str">
            <v/>
          </cell>
          <cell r="BU212" t="str">
            <v/>
          </cell>
          <cell r="BV212" t="str">
            <v/>
          </cell>
          <cell r="BW212" t="str">
            <v/>
          </cell>
          <cell r="BX212">
            <v>35898</v>
          </cell>
          <cell r="BY212">
            <v>35905</v>
          </cell>
          <cell r="BZ212">
            <v>35912</v>
          </cell>
          <cell r="CA212">
            <v>35919</v>
          </cell>
          <cell r="CB212">
            <v>35926</v>
          </cell>
          <cell r="CC212">
            <v>35933</v>
          </cell>
          <cell r="CD212">
            <v>35940</v>
          </cell>
          <cell r="CE212">
            <v>35947</v>
          </cell>
          <cell r="CF212">
            <v>35954</v>
          </cell>
          <cell r="CG212" t="str">
            <v/>
          </cell>
          <cell r="CH212" t="str">
            <v/>
          </cell>
          <cell r="CI212" t="str">
            <v/>
          </cell>
          <cell r="CJ212" t="str">
            <v/>
          </cell>
          <cell r="CK212" t="str">
            <v/>
          </cell>
          <cell r="CL212" t="str">
            <v/>
          </cell>
          <cell r="CM212" t="str">
            <v/>
          </cell>
          <cell r="CN212" t="str">
            <v/>
          </cell>
          <cell r="CO212" t="str">
            <v/>
          </cell>
          <cell r="CP212" t="str">
            <v/>
          </cell>
          <cell r="CQ212" t="str">
            <v/>
          </cell>
          <cell r="CR212" t="str">
            <v/>
          </cell>
          <cell r="CS212" t="str">
            <v/>
          </cell>
          <cell r="CT212" t="str">
            <v/>
          </cell>
          <cell r="CU212" t="str">
            <v/>
          </cell>
          <cell r="CV212" t="str">
            <v/>
          </cell>
          <cell r="CW212" t="str">
            <v/>
          </cell>
          <cell r="CX212" t="str">
            <v/>
          </cell>
          <cell r="CY212" t="str">
            <v/>
          </cell>
          <cell r="CZ212" t="str">
            <v/>
          </cell>
          <cell r="DA212" t="str">
            <v/>
          </cell>
          <cell r="DB212" t="str">
            <v/>
          </cell>
          <cell r="DC212" t="str">
            <v/>
          </cell>
          <cell r="DD212" t="str">
            <v/>
          </cell>
          <cell r="DE212" t="str">
            <v/>
          </cell>
          <cell r="DF212" t="str">
            <v/>
          </cell>
          <cell r="DG212" t="str">
            <v/>
          </cell>
          <cell r="DH212" t="str">
            <v/>
          </cell>
          <cell r="DI212" t="str">
            <v/>
          </cell>
          <cell r="DJ212" t="str">
            <v/>
          </cell>
          <cell r="DK212" t="str">
            <v/>
          </cell>
          <cell r="DL212" t="str">
            <v/>
          </cell>
          <cell r="DM212" t="str">
            <v/>
          </cell>
          <cell r="DN212" t="str">
            <v/>
          </cell>
          <cell r="DO212" t="str">
            <v/>
          </cell>
          <cell r="DP212" t="str">
            <v/>
          </cell>
          <cell r="DQ212" t="str">
            <v/>
          </cell>
          <cell r="DR212" t="str">
            <v/>
          </cell>
          <cell r="DS212" t="str">
            <v/>
          </cell>
          <cell r="DT212" t="str">
            <v/>
          </cell>
          <cell r="DU212" t="str">
            <v/>
          </cell>
          <cell r="DV212" t="str">
            <v/>
          </cell>
          <cell r="DW212" t="str">
            <v/>
          </cell>
          <cell r="DX212" t="str">
            <v/>
          </cell>
          <cell r="DY212" t="str">
            <v/>
          </cell>
          <cell r="DZ212" t="str">
            <v/>
          </cell>
          <cell r="EA212" t="str">
            <v/>
          </cell>
          <cell r="EB212" t="str">
            <v/>
          </cell>
          <cell r="EC212" t="str">
            <v/>
          </cell>
          <cell r="ED212" t="str">
            <v/>
          </cell>
          <cell r="EE212" t="str">
            <v/>
          </cell>
          <cell r="EF212" t="str">
            <v/>
          </cell>
          <cell r="EG212" t="str">
            <v/>
          </cell>
          <cell r="EH212" t="str">
            <v/>
          </cell>
          <cell r="EI212" t="str">
            <v/>
          </cell>
          <cell r="EJ212" t="str">
            <v/>
          </cell>
          <cell r="EK212" t="str">
            <v/>
          </cell>
          <cell r="EL212" t="str">
            <v/>
          </cell>
          <cell r="EM212" t="str">
            <v/>
          </cell>
          <cell r="EN212" t="str">
            <v/>
          </cell>
          <cell r="EO212" t="str">
            <v/>
          </cell>
          <cell r="EP212" t="str">
            <v/>
          </cell>
          <cell r="EQ212" t="str">
            <v/>
          </cell>
          <cell r="ER212" t="str">
            <v/>
          </cell>
          <cell r="ES212" t="str">
            <v/>
          </cell>
          <cell r="ET212" t="str">
            <v/>
          </cell>
          <cell r="EU212" t="str">
            <v/>
          </cell>
          <cell r="EV212" t="str">
            <v/>
          </cell>
        </row>
        <row r="213">
          <cell r="A213" t="str">
            <v>PREP</v>
          </cell>
          <cell r="B213" t="str">
            <v>Days</v>
          </cell>
          <cell r="C213">
            <v>0</v>
          </cell>
          <cell r="D213">
            <v>0</v>
          </cell>
          <cell r="E213">
            <v>0</v>
          </cell>
          <cell r="F213" t="str">
            <v>ANIMATION</v>
          </cell>
          <cell r="G213" t="str">
            <v>Days</v>
          </cell>
          <cell r="H213" t="str">
            <v>Frames</v>
          </cell>
          <cell r="I213" t="str">
            <v>INK &amp; PAINT</v>
          </cell>
          <cell r="J213" t="str">
            <v>Days</v>
          </cell>
          <cell r="K213">
            <v>0</v>
          </cell>
          <cell r="L213" t="str">
            <v>ALPHA</v>
          </cell>
          <cell r="M213">
            <v>0</v>
          </cell>
          <cell r="N213" t="str">
            <v>BETA</v>
          </cell>
          <cell r="O213">
            <v>0</v>
          </cell>
          <cell r="P213" t="str">
            <v>RTM</v>
          </cell>
          <cell r="Q213">
            <v>0</v>
          </cell>
          <cell r="R213" t="str">
            <v>STREET</v>
          </cell>
          <cell r="S213">
            <v>0</v>
          </cell>
          <cell r="T213" t="str">
            <v>Prep Projection</v>
          </cell>
          <cell r="U213">
            <v>0</v>
          </cell>
          <cell r="V213">
            <v>35898</v>
          </cell>
          <cell r="W213">
            <v>35955.220141999998</v>
          </cell>
          <cell r="X213">
            <v>500</v>
          </cell>
          <cell r="Y213">
            <v>9</v>
          </cell>
          <cell r="Z213">
            <v>57.220141999999996</v>
          </cell>
          <cell r="AA213" t="str">
            <v/>
          </cell>
          <cell r="AB213" t="str">
            <v/>
          </cell>
          <cell r="AC213" t="str">
            <v/>
          </cell>
          <cell r="AD213" t="str">
            <v/>
          </cell>
          <cell r="AE213" t="str">
            <v/>
          </cell>
          <cell r="AF213" t="str">
            <v/>
          </cell>
          <cell r="AG213" t="str">
            <v/>
          </cell>
          <cell r="AH213" t="str">
            <v/>
          </cell>
          <cell r="AI213" t="str">
            <v/>
          </cell>
          <cell r="AJ213" t="str">
            <v/>
          </cell>
          <cell r="AK213" t="str">
            <v/>
          </cell>
          <cell r="AL213" t="str">
            <v/>
          </cell>
          <cell r="AM213" t="str">
            <v/>
          </cell>
          <cell r="AN213" t="str">
            <v/>
          </cell>
          <cell r="AO213" t="str">
            <v/>
          </cell>
          <cell r="AP213" t="str">
            <v/>
          </cell>
          <cell r="AQ213" t="str">
            <v/>
          </cell>
          <cell r="AR213" t="str">
            <v/>
          </cell>
          <cell r="AS213" t="str">
            <v/>
          </cell>
          <cell r="AT213" t="str">
            <v/>
          </cell>
          <cell r="AU213" t="str">
            <v/>
          </cell>
          <cell r="AV213" t="str">
            <v/>
          </cell>
          <cell r="AW213" t="str">
            <v/>
          </cell>
          <cell r="AX213" t="str">
            <v/>
          </cell>
          <cell r="AY213" t="str">
            <v/>
          </cell>
          <cell r="AZ213" t="str">
            <v/>
          </cell>
          <cell r="BA213" t="str">
            <v/>
          </cell>
          <cell r="BB213" t="str">
            <v/>
          </cell>
          <cell r="BC213" t="str">
            <v/>
          </cell>
          <cell r="BD213" t="str">
            <v/>
          </cell>
          <cell r="BE213" t="str">
            <v/>
          </cell>
          <cell r="BF213" t="str">
            <v/>
          </cell>
          <cell r="BG213" t="str">
            <v/>
          </cell>
          <cell r="BH213" t="str">
            <v/>
          </cell>
          <cell r="BI213" t="str">
            <v/>
          </cell>
          <cell r="BJ213" t="str">
            <v/>
          </cell>
          <cell r="BK213" t="str">
            <v/>
          </cell>
          <cell r="BL213" t="str">
            <v/>
          </cell>
          <cell r="BM213" t="str">
            <v/>
          </cell>
          <cell r="BN213" t="str">
            <v/>
          </cell>
          <cell r="BO213" t="str">
            <v/>
          </cell>
          <cell r="BP213" t="str">
            <v/>
          </cell>
          <cell r="BQ213" t="str">
            <v/>
          </cell>
          <cell r="BR213" t="str">
            <v/>
          </cell>
          <cell r="BS213" t="str">
            <v/>
          </cell>
          <cell r="BT213" t="str">
            <v/>
          </cell>
          <cell r="BU213" t="str">
            <v/>
          </cell>
          <cell r="BV213" t="str">
            <v/>
          </cell>
          <cell r="BW213" t="str">
            <v/>
          </cell>
          <cell r="BX213">
            <v>125</v>
          </cell>
          <cell r="BY213">
            <v>250</v>
          </cell>
          <cell r="BZ213">
            <v>375</v>
          </cell>
          <cell r="CA213">
            <v>500</v>
          </cell>
          <cell r="CB213">
            <v>500</v>
          </cell>
          <cell r="CC213">
            <v>500</v>
          </cell>
          <cell r="CD213">
            <v>500</v>
          </cell>
          <cell r="CE213">
            <v>500</v>
          </cell>
          <cell r="CF213">
            <v>500</v>
          </cell>
          <cell r="CG213" t="str">
            <v/>
          </cell>
          <cell r="CH213" t="str">
            <v/>
          </cell>
          <cell r="CI213" t="str">
            <v/>
          </cell>
          <cell r="CJ213" t="str">
            <v/>
          </cell>
          <cell r="CK213" t="str">
            <v/>
          </cell>
          <cell r="CL213" t="str">
            <v/>
          </cell>
          <cell r="CM213" t="str">
            <v/>
          </cell>
          <cell r="CN213" t="str">
            <v/>
          </cell>
          <cell r="CO213" t="str">
            <v/>
          </cell>
          <cell r="CP213" t="str">
            <v/>
          </cell>
          <cell r="CQ213" t="str">
            <v/>
          </cell>
          <cell r="CR213" t="str">
            <v/>
          </cell>
          <cell r="CS213" t="str">
            <v/>
          </cell>
          <cell r="CT213" t="str">
            <v/>
          </cell>
          <cell r="CU213" t="str">
            <v/>
          </cell>
          <cell r="CV213" t="str">
            <v/>
          </cell>
          <cell r="CW213" t="str">
            <v/>
          </cell>
          <cell r="CX213" t="str">
            <v/>
          </cell>
          <cell r="CY213" t="str">
            <v/>
          </cell>
          <cell r="CZ213" t="str">
            <v/>
          </cell>
          <cell r="DA213" t="str">
            <v/>
          </cell>
          <cell r="DB213" t="str">
            <v/>
          </cell>
          <cell r="DC213" t="str">
            <v/>
          </cell>
          <cell r="DD213" t="str">
            <v/>
          </cell>
          <cell r="DE213" t="str">
            <v/>
          </cell>
          <cell r="DF213" t="str">
            <v/>
          </cell>
          <cell r="DG213" t="str">
            <v/>
          </cell>
          <cell r="DH213" t="str">
            <v/>
          </cell>
          <cell r="DI213" t="str">
            <v/>
          </cell>
          <cell r="DJ213" t="str">
            <v/>
          </cell>
          <cell r="DK213" t="str">
            <v/>
          </cell>
          <cell r="DL213" t="str">
            <v/>
          </cell>
          <cell r="DM213" t="str">
            <v/>
          </cell>
          <cell r="DN213" t="str">
            <v/>
          </cell>
          <cell r="DO213" t="str">
            <v/>
          </cell>
          <cell r="DP213" t="str">
            <v/>
          </cell>
          <cell r="DQ213" t="str">
            <v/>
          </cell>
          <cell r="DR213" t="str">
            <v/>
          </cell>
          <cell r="DS213" t="str">
            <v/>
          </cell>
          <cell r="DT213" t="str">
            <v/>
          </cell>
          <cell r="DU213" t="str">
            <v/>
          </cell>
          <cell r="DV213" t="str">
            <v/>
          </cell>
          <cell r="DW213" t="str">
            <v/>
          </cell>
          <cell r="DX213" t="str">
            <v/>
          </cell>
          <cell r="DY213" t="str">
            <v/>
          </cell>
          <cell r="DZ213" t="str">
            <v/>
          </cell>
          <cell r="EA213" t="str">
            <v/>
          </cell>
          <cell r="EB213" t="str">
            <v/>
          </cell>
          <cell r="EC213" t="str">
            <v/>
          </cell>
          <cell r="ED213" t="str">
            <v/>
          </cell>
          <cell r="EE213" t="str">
            <v/>
          </cell>
          <cell r="EF213" t="str">
            <v/>
          </cell>
          <cell r="EG213" t="str">
            <v/>
          </cell>
          <cell r="EH213" t="str">
            <v/>
          </cell>
          <cell r="EI213" t="str">
            <v/>
          </cell>
          <cell r="EJ213" t="str">
            <v/>
          </cell>
          <cell r="EK213" t="str">
            <v/>
          </cell>
          <cell r="EL213" t="str">
            <v/>
          </cell>
          <cell r="EM213" t="str">
            <v/>
          </cell>
          <cell r="EN213" t="str">
            <v/>
          </cell>
          <cell r="EO213" t="str">
            <v/>
          </cell>
          <cell r="EP213" t="str">
            <v/>
          </cell>
          <cell r="EQ213" t="str">
            <v/>
          </cell>
          <cell r="ER213" t="str">
            <v/>
          </cell>
          <cell r="ES213" t="str">
            <v/>
          </cell>
          <cell r="ET213" t="str">
            <v/>
          </cell>
          <cell r="EU213" t="str">
            <v/>
          </cell>
          <cell r="EV213" t="str">
            <v/>
          </cell>
        </row>
        <row r="214">
          <cell r="A214" t="str">
            <v>Wks</v>
          </cell>
          <cell r="B214" t="str">
            <v>Days</v>
          </cell>
          <cell r="C214">
            <v>0</v>
          </cell>
          <cell r="D214">
            <v>0</v>
          </cell>
          <cell r="E214">
            <v>0</v>
          </cell>
          <cell r="F214" t="str">
            <v>Wks</v>
          </cell>
          <cell r="G214" t="str">
            <v>Days</v>
          </cell>
          <cell r="H214" t="str">
            <v>Frames</v>
          </cell>
          <cell r="I214" t="str">
            <v>Wks</v>
          </cell>
          <cell r="J214" t="str">
            <v>Days</v>
          </cell>
          <cell r="K214">
            <v>21</v>
          </cell>
          <cell r="L214">
            <v>0</v>
          </cell>
          <cell r="M214">
            <v>29</v>
          </cell>
          <cell r="N214">
            <v>0</v>
          </cell>
          <cell r="O214">
            <v>29</v>
          </cell>
          <cell r="P214">
            <v>0</v>
          </cell>
          <cell r="Q214">
            <v>29</v>
          </cell>
          <cell r="R214">
            <v>36100</v>
          </cell>
          <cell r="S214">
            <v>0</v>
          </cell>
          <cell r="T214" t="str">
            <v>Animation Projection</v>
          </cell>
          <cell r="U214">
            <v>0</v>
          </cell>
          <cell r="V214">
            <v>35926</v>
          </cell>
          <cell r="W214">
            <v>35999.220141999998</v>
          </cell>
          <cell r="X214">
            <v>500</v>
          </cell>
          <cell r="Y214">
            <v>11</v>
          </cell>
          <cell r="Z214">
            <v>73.220141999999996</v>
          </cell>
          <cell r="AA214" t="str">
            <v/>
          </cell>
          <cell r="AB214" t="str">
            <v/>
          </cell>
          <cell r="AC214" t="str">
            <v/>
          </cell>
          <cell r="AD214" t="str">
            <v/>
          </cell>
          <cell r="AE214" t="str">
            <v/>
          </cell>
          <cell r="AF214" t="str">
            <v/>
          </cell>
          <cell r="AG214" t="str">
            <v/>
          </cell>
          <cell r="AH214" t="str">
            <v/>
          </cell>
          <cell r="AI214" t="str">
            <v/>
          </cell>
          <cell r="AJ214" t="str">
            <v/>
          </cell>
          <cell r="AK214" t="str">
            <v/>
          </cell>
          <cell r="AL214" t="str">
            <v/>
          </cell>
          <cell r="AM214" t="str">
            <v/>
          </cell>
          <cell r="AN214" t="str">
            <v/>
          </cell>
          <cell r="AO214" t="str">
            <v/>
          </cell>
          <cell r="AP214" t="str">
            <v/>
          </cell>
          <cell r="AQ214" t="str">
            <v/>
          </cell>
          <cell r="AR214" t="str">
            <v/>
          </cell>
          <cell r="AS214" t="str">
            <v/>
          </cell>
          <cell r="AT214" t="str">
            <v/>
          </cell>
          <cell r="AU214" t="str">
            <v/>
          </cell>
          <cell r="AV214" t="str">
            <v/>
          </cell>
          <cell r="AW214" t="str">
            <v/>
          </cell>
          <cell r="AX214" t="str">
            <v/>
          </cell>
          <cell r="AY214" t="str">
            <v/>
          </cell>
          <cell r="AZ214" t="str">
            <v/>
          </cell>
          <cell r="BA214" t="str">
            <v/>
          </cell>
          <cell r="BB214" t="str">
            <v/>
          </cell>
          <cell r="BC214" t="str">
            <v/>
          </cell>
          <cell r="BD214" t="str">
            <v/>
          </cell>
          <cell r="BE214" t="str">
            <v/>
          </cell>
          <cell r="BF214" t="str">
            <v/>
          </cell>
          <cell r="BG214" t="str">
            <v/>
          </cell>
          <cell r="BH214" t="str">
            <v/>
          </cell>
          <cell r="BI214" t="str">
            <v/>
          </cell>
          <cell r="BJ214" t="str">
            <v/>
          </cell>
          <cell r="BK214" t="str">
            <v/>
          </cell>
          <cell r="BL214" t="str">
            <v/>
          </cell>
          <cell r="BM214" t="str">
            <v/>
          </cell>
          <cell r="BN214" t="str">
            <v/>
          </cell>
          <cell r="BO214" t="str">
            <v/>
          </cell>
          <cell r="BP214" t="str">
            <v/>
          </cell>
          <cell r="BQ214" t="str">
            <v/>
          </cell>
          <cell r="BR214" t="str">
            <v/>
          </cell>
          <cell r="BS214" t="str">
            <v/>
          </cell>
          <cell r="BT214" t="str">
            <v/>
          </cell>
          <cell r="BU214" t="str">
            <v/>
          </cell>
          <cell r="BV214" t="str">
            <v/>
          </cell>
          <cell r="BW214" t="str">
            <v/>
          </cell>
          <cell r="BX214" t="str">
            <v/>
          </cell>
          <cell r="BY214" t="str">
            <v/>
          </cell>
          <cell r="BZ214" t="str">
            <v/>
          </cell>
          <cell r="CA214" t="str">
            <v/>
          </cell>
          <cell r="CB214">
            <v>0</v>
          </cell>
          <cell r="CC214">
            <v>0</v>
          </cell>
          <cell r="CD214">
            <v>0</v>
          </cell>
          <cell r="CE214">
            <v>125</v>
          </cell>
          <cell r="CF214">
            <v>250</v>
          </cell>
          <cell r="CG214">
            <v>375</v>
          </cell>
          <cell r="CH214">
            <v>500</v>
          </cell>
          <cell r="CI214">
            <v>500</v>
          </cell>
          <cell r="CJ214">
            <v>500</v>
          </cell>
          <cell r="CK214">
            <v>500</v>
          </cell>
          <cell r="CL214">
            <v>500</v>
          </cell>
          <cell r="CM214" t="str">
            <v/>
          </cell>
          <cell r="CN214" t="str">
            <v/>
          </cell>
          <cell r="CO214" t="str">
            <v/>
          </cell>
          <cell r="CP214" t="str">
            <v/>
          </cell>
          <cell r="CQ214" t="str">
            <v/>
          </cell>
          <cell r="CR214" t="str">
            <v/>
          </cell>
          <cell r="CS214" t="str">
            <v/>
          </cell>
          <cell r="CT214" t="str">
            <v/>
          </cell>
          <cell r="CU214" t="str">
            <v/>
          </cell>
          <cell r="CV214" t="str">
            <v/>
          </cell>
          <cell r="CW214" t="str">
            <v/>
          </cell>
          <cell r="CX214" t="str">
            <v/>
          </cell>
          <cell r="CY214" t="str">
            <v/>
          </cell>
          <cell r="CZ214" t="str">
            <v/>
          </cell>
          <cell r="DA214" t="str">
            <v/>
          </cell>
          <cell r="DB214" t="str">
            <v/>
          </cell>
          <cell r="DC214" t="str">
            <v/>
          </cell>
          <cell r="DD214" t="str">
            <v/>
          </cell>
          <cell r="DE214" t="str">
            <v/>
          </cell>
          <cell r="DF214" t="str">
            <v/>
          </cell>
          <cell r="DG214" t="str">
            <v/>
          </cell>
          <cell r="DH214" t="str">
            <v/>
          </cell>
          <cell r="DI214" t="str">
            <v/>
          </cell>
          <cell r="DJ214" t="str">
            <v/>
          </cell>
          <cell r="DK214" t="str">
            <v/>
          </cell>
          <cell r="DL214" t="str">
            <v/>
          </cell>
          <cell r="DM214" t="str">
            <v/>
          </cell>
          <cell r="DN214" t="str">
            <v/>
          </cell>
          <cell r="DO214" t="str">
            <v/>
          </cell>
          <cell r="DP214" t="str">
            <v/>
          </cell>
          <cell r="DQ214" t="str">
            <v/>
          </cell>
          <cell r="DR214" t="str">
            <v/>
          </cell>
          <cell r="DS214" t="str">
            <v/>
          </cell>
          <cell r="DT214" t="str">
            <v/>
          </cell>
          <cell r="DU214" t="str">
            <v/>
          </cell>
          <cell r="DV214" t="str">
            <v/>
          </cell>
          <cell r="DW214" t="str">
            <v/>
          </cell>
          <cell r="DX214" t="str">
            <v/>
          </cell>
          <cell r="DY214" t="str">
            <v/>
          </cell>
          <cell r="DZ214" t="str">
            <v/>
          </cell>
          <cell r="EA214" t="str">
            <v/>
          </cell>
          <cell r="EB214" t="str">
            <v/>
          </cell>
          <cell r="EC214" t="str">
            <v/>
          </cell>
          <cell r="ED214" t="str">
            <v/>
          </cell>
          <cell r="EE214" t="str">
            <v/>
          </cell>
          <cell r="EF214" t="str">
            <v/>
          </cell>
          <cell r="EG214" t="str">
            <v/>
          </cell>
          <cell r="EH214" t="str">
            <v/>
          </cell>
          <cell r="EI214" t="str">
            <v/>
          </cell>
          <cell r="EJ214" t="str">
            <v/>
          </cell>
          <cell r="EK214" t="str">
            <v/>
          </cell>
          <cell r="EL214" t="str">
            <v/>
          </cell>
          <cell r="EM214" t="str">
            <v/>
          </cell>
          <cell r="EN214" t="str">
            <v/>
          </cell>
          <cell r="EO214" t="str">
            <v/>
          </cell>
          <cell r="EP214" t="str">
            <v/>
          </cell>
          <cell r="EQ214" t="str">
            <v/>
          </cell>
          <cell r="ER214" t="str">
            <v/>
          </cell>
          <cell r="ES214" t="str">
            <v/>
          </cell>
          <cell r="ET214" t="str">
            <v/>
          </cell>
          <cell r="EU214" t="str">
            <v/>
          </cell>
          <cell r="EV214" t="str">
            <v/>
          </cell>
        </row>
        <row r="215">
          <cell r="A215">
            <v>6.1743059999999996</v>
          </cell>
          <cell r="B215">
            <v>57.220141999999996</v>
          </cell>
          <cell r="C215">
            <v>0</v>
          </cell>
          <cell r="D215">
            <v>0</v>
          </cell>
          <cell r="E215">
            <v>0</v>
          </cell>
          <cell r="F215">
            <v>6.1743059999999996</v>
          </cell>
          <cell r="G215">
            <v>73.220141999999996</v>
          </cell>
          <cell r="H215">
            <v>3087.1529999999998</v>
          </cell>
          <cell r="I215">
            <v>6.1743059999999996</v>
          </cell>
          <cell r="J215">
            <v>57.220141999999996</v>
          </cell>
          <cell r="K215">
            <v>21</v>
          </cell>
          <cell r="L215">
            <v>0</v>
          </cell>
          <cell r="M215">
            <v>29</v>
          </cell>
          <cell r="N215">
            <v>0</v>
          </cell>
          <cell r="O215">
            <v>29</v>
          </cell>
          <cell r="P215">
            <v>0</v>
          </cell>
          <cell r="Q215">
            <v>29</v>
          </cell>
          <cell r="R215">
            <v>36100</v>
          </cell>
          <cell r="S215">
            <v>0</v>
          </cell>
          <cell r="T215" t="str">
            <v>Ink &amp; Paint Projection</v>
          </cell>
          <cell r="U215">
            <v>0</v>
          </cell>
          <cell r="V215">
            <v>35956</v>
          </cell>
          <cell r="W215">
            <v>36013.220141999998</v>
          </cell>
          <cell r="X215">
            <v>500</v>
          </cell>
          <cell r="Y215">
            <v>8</v>
          </cell>
          <cell r="Z215">
            <v>57.220141999999996</v>
          </cell>
          <cell r="AA215" t="str">
            <v/>
          </cell>
          <cell r="AB215" t="str">
            <v/>
          </cell>
          <cell r="AC215" t="str">
            <v/>
          </cell>
          <cell r="AD215" t="str">
            <v/>
          </cell>
          <cell r="AE215" t="str">
            <v/>
          </cell>
          <cell r="AF215" t="str">
            <v/>
          </cell>
          <cell r="AG215" t="str">
            <v/>
          </cell>
          <cell r="AH215" t="str">
            <v/>
          </cell>
          <cell r="AI215" t="str">
            <v/>
          </cell>
          <cell r="AJ215" t="str">
            <v/>
          </cell>
          <cell r="AK215" t="str">
            <v/>
          </cell>
          <cell r="AL215" t="str">
            <v/>
          </cell>
          <cell r="AM215" t="str">
            <v/>
          </cell>
          <cell r="AN215" t="str">
            <v/>
          </cell>
          <cell r="AO215" t="str">
            <v/>
          </cell>
          <cell r="AP215" t="str">
            <v/>
          </cell>
          <cell r="AQ215" t="str">
            <v/>
          </cell>
          <cell r="AR215" t="str">
            <v/>
          </cell>
          <cell r="AS215" t="str">
            <v/>
          </cell>
          <cell r="AT215" t="str">
            <v/>
          </cell>
          <cell r="AU215" t="str">
            <v/>
          </cell>
          <cell r="AV215" t="str">
            <v/>
          </cell>
          <cell r="AW215" t="str">
            <v/>
          </cell>
          <cell r="AX215" t="str">
            <v/>
          </cell>
          <cell r="AY215" t="str">
            <v/>
          </cell>
          <cell r="AZ215" t="str">
            <v/>
          </cell>
          <cell r="BA215" t="str">
            <v/>
          </cell>
          <cell r="BB215" t="str">
            <v/>
          </cell>
          <cell r="BC215" t="str">
            <v/>
          </cell>
          <cell r="BD215" t="str">
            <v/>
          </cell>
          <cell r="BE215" t="str">
            <v/>
          </cell>
          <cell r="BF215" t="str">
            <v/>
          </cell>
          <cell r="BG215" t="str">
            <v/>
          </cell>
          <cell r="BH215" t="str">
            <v/>
          </cell>
          <cell r="BI215" t="str">
            <v/>
          </cell>
          <cell r="BJ215" t="str">
            <v/>
          </cell>
          <cell r="BK215" t="str">
            <v/>
          </cell>
          <cell r="BL215" t="str">
            <v/>
          </cell>
          <cell r="BM215" t="str">
            <v/>
          </cell>
          <cell r="BN215" t="str">
            <v/>
          </cell>
          <cell r="BO215" t="str">
            <v/>
          </cell>
          <cell r="BP215" t="str">
            <v/>
          </cell>
          <cell r="BQ215" t="str">
            <v/>
          </cell>
          <cell r="BR215" t="str">
            <v/>
          </cell>
          <cell r="BS215" t="str">
            <v/>
          </cell>
          <cell r="BT215" t="str">
            <v/>
          </cell>
          <cell r="BU215" t="str">
            <v/>
          </cell>
          <cell r="BV215" t="str">
            <v/>
          </cell>
          <cell r="BW215" t="str">
            <v/>
          </cell>
          <cell r="BX215" t="str">
            <v/>
          </cell>
          <cell r="BY215" t="str">
            <v/>
          </cell>
          <cell r="BZ215" t="str">
            <v/>
          </cell>
          <cell r="CA215" t="str">
            <v/>
          </cell>
          <cell r="CB215" t="str">
            <v/>
          </cell>
          <cell r="CC215" t="str">
            <v/>
          </cell>
          <cell r="CD215" t="str">
            <v/>
          </cell>
          <cell r="CE215" t="str">
            <v/>
          </cell>
          <cell r="CF215" t="str">
            <v/>
          </cell>
          <cell r="CG215">
            <v>125</v>
          </cell>
          <cell r="CH215">
            <v>250</v>
          </cell>
          <cell r="CI215">
            <v>375</v>
          </cell>
          <cell r="CJ215">
            <v>500</v>
          </cell>
          <cell r="CK215">
            <v>500</v>
          </cell>
          <cell r="CL215">
            <v>500</v>
          </cell>
          <cell r="CM215">
            <v>500</v>
          </cell>
          <cell r="CN215">
            <v>500</v>
          </cell>
          <cell r="CO215" t="str">
            <v/>
          </cell>
          <cell r="CP215" t="str">
            <v/>
          </cell>
          <cell r="CQ215" t="str">
            <v/>
          </cell>
          <cell r="CR215" t="str">
            <v/>
          </cell>
          <cell r="CS215" t="str">
            <v/>
          </cell>
          <cell r="CT215" t="str">
            <v/>
          </cell>
          <cell r="CU215" t="str">
            <v/>
          </cell>
          <cell r="CV215" t="str">
            <v/>
          </cell>
          <cell r="CW215" t="str">
            <v/>
          </cell>
          <cell r="CX215" t="str">
            <v/>
          </cell>
          <cell r="CY215" t="str">
            <v/>
          </cell>
          <cell r="CZ215" t="str">
            <v/>
          </cell>
          <cell r="DA215" t="str">
            <v/>
          </cell>
          <cell r="DB215" t="str">
            <v/>
          </cell>
          <cell r="DC215" t="str">
            <v/>
          </cell>
          <cell r="DD215" t="str">
            <v/>
          </cell>
          <cell r="DE215" t="str">
            <v/>
          </cell>
          <cell r="DF215" t="str">
            <v/>
          </cell>
          <cell r="DG215" t="str">
            <v/>
          </cell>
          <cell r="DH215" t="str">
            <v/>
          </cell>
          <cell r="DI215" t="str">
            <v/>
          </cell>
          <cell r="DJ215" t="str">
            <v/>
          </cell>
          <cell r="DK215" t="str">
            <v/>
          </cell>
          <cell r="DL215" t="str">
            <v/>
          </cell>
          <cell r="DM215" t="str">
            <v/>
          </cell>
          <cell r="DN215" t="str">
            <v/>
          </cell>
          <cell r="DO215" t="str">
            <v/>
          </cell>
          <cell r="DP215" t="str">
            <v/>
          </cell>
          <cell r="DQ215" t="str">
            <v/>
          </cell>
          <cell r="DR215" t="str">
            <v/>
          </cell>
          <cell r="DS215" t="str">
            <v/>
          </cell>
          <cell r="DT215" t="str">
            <v/>
          </cell>
          <cell r="DU215" t="str">
            <v/>
          </cell>
          <cell r="DV215" t="str">
            <v/>
          </cell>
          <cell r="DW215" t="str">
            <v/>
          </cell>
          <cell r="DX215" t="str">
            <v/>
          </cell>
          <cell r="DY215" t="str">
            <v/>
          </cell>
          <cell r="DZ215" t="str">
            <v/>
          </cell>
          <cell r="EA215" t="str">
            <v/>
          </cell>
          <cell r="EB215" t="str">
            <v/>
          </cell>
          <cell r="EC215" t="str">
            <v/>
          </cell>
          <cell r="ED215" t="str">
            <v/>
          </cell>
          <cell r="EE215" t="str">
            <v/>
          </cell>
          <cell r="EF215" t="str">
            <v/>
          </cell>
          <cell r="EG215" t="str">
            <v/>
          </cell>
          <cell r="EH215" t="str">
            <v/>
          </cell>
          <cell r="EI215" t="str">
            <v/>
          </cell>
          <cell r="EJ215" t="str">
            <v/>
          </cell>
          <cell r="EK215" t="str">
            <v/>
          </cell>
          <cell r="EL215" t="str">
            <v/>
          </cell>
          <cell r="EM215" t="str">
            <v/>
          </cell>
          <cell r="EN215" t="str">
            <v/>
          </cell>
          <cell r="EO215" t="str">
            <v/>
          </cell>
          <cell r="EP215" t="str">
            <v/>
          </cell>
          <cell r="EQ215" t="str">
            <v/>
          </cell>
          <cell r="ER215" t="str">
            <v/>
          </cell>
          <cell r="ES215" t="str">
            <v/>
          </cell>
          <cell r="ET215" t="str">
            <v/>
          </cell>
          <cell r="EU215" t="str">
            <v/>
          </cell>
          <cell r="EV215" t="str">
            <v/>
          </cell>
        </row>
        <row r="216">
          <cell r="V216">
            <v>35956</v>
          </cell>
          <cell r="W216">
            <v>36013.220141999998</v>
          </cell>
          <cell r="X216">
            <v>500</v>
          </cell>
          <cell r="Y216">
            <v>8</v>
          </cell>
          <cell r="Z216">
            <v>57.220141999999996</v>
          </cell>
          <cell r="AA216" t="str">
            <v/>
          </cell>
          <cell r="AB216" t="str">
            <v/>
          </cell>
          <cell r="AC216" t="str">
            <v/>
          </cell>
          <cell r="AD216" t="str">
            <v/>
          </cell>
          <cell r="AE216" t="str">
            <v/>
          </cell>
          <cell r="AF216" t="str">
            <v/>
          </cell>
          <cell r="AG216" t="str">
            <v/>
          </cell>
          <cell r="AH216" t="str">
            <v/>
          </cell>
          <cell r="AI216" t="str">
            <v/>
          </cell>
          <cell r="AJ216" t="str">
            <v/>
          </cell>
          <cell r="AK216" t="str">
            <v/>
          </cell>
          <cell r="AL216" t="str">
            <v/>
          </cell>
          <cell r="AM216" t="str">
            <v/>
          </cell>
          <cell r="AN216" t="str">
            <v/>
          </cell>
          <cell r="AO216" t="str">
            <v/>
          </cell>
          <cell r="AP216" t="str">
            <v/>
          </cell>
          <cell r="AQ216" t="str">
            <v/>
          </cell>
          <cell r="AR216" t="str">
            <v/>
          </cell>
          <cell r="AS216" t="str">
            <v/>
          </cell>
          <cell r="AT216" t="str">
            <v/>
          </cell>
          <cell r="AU216" t="str">
            <v/>
          </cell>
          <cell r="AV216" t="str">
            <v/>
          </cell>
          <cell r="AW216" t="str">
            <v/>
          </cell>
          <cell r="AX216" t="str">
            <v/>
          </cell>
          <cell r="AY216" t="str">
            <v/>
          </cell>
          <cell r="AZ216" t="str">
            <v/>
          </cell>
          <cell r="BA216" t="str">
            <v/>
          </cell>
          <cell r="BB216" t="str">
            <v/>
          </cell>
          <cell r="BC216" t="str">
            <v/>
          </cell>
          <cell r="BD216" t="str">
            <v/>
          </cell>
          <cell r="BE216" t="str">
            <v/>
          </cell>
          <cell r="BF216" t="str">
            <v/>
          </cell>
          <cell r="BG216" t="str">
            <v/>
          </cell>
          <cell r="BH216" t="str">
            <v/>
          </cell>
          <cell r="BI216" t="str">
            <v/>
          </cell>
          <cell r="BJ216" t="str">
            <v/>
          </cell>
          <cell r="BK216" t="str">
            <v/>
          </cell>
          <cell r="BL216" t="str">
            <v/>
          </cell>
          <cell r="BM216" t="str">
            <v/>
          </cell>
          <cell r="BN216" t="str">
            <v/>
          </cell>
          <cell r="BO216" t="str">
            <v/>
          </cell>
          <cell r="BP216" t="str">
            <v/>
          </cell>
          <cell r="BQ216" t="str">
            <v/>
          </cell>
          <cell r="BR216" t="str">
            <v/>
          </cell>
          <cell r="BS216" t="str">
            <v/>
          </cell>
          <cell r="BT216" t="str">
            <v/>
          </cell>
          <cell r="BU216" t="str">
            <v/>
          </cell>
          <cell r="BV216" t="str">
            <v/>
          </cell>
          <cell r="BW216" t="str">
            <v/>
          </cell>
          <cell r="BX216" t="str">
            <v/>
          </cell>
          <cell r="BY216" t="str">
            <v/>
          </cell>
          <cell r="BZ216" t="str">
            <v/>
          </cell>
          <cell r="CA216" t="str">
            <v/>
          </cell>
          <cell r="CB216" t="str">
            <v/>
          </cell>
          <cell r="CC216" t="str">
            <v/>
          </cell>
          <cell r="CD216" t="str">
            <v/>
          </cell>
          <cell r="CE216" t="str">
            <v/>
          </cell>
          <cell r="CF216" t="str">
            <v/>
          </cell>
          <cell r="CG216">
            <v>125</v>
          </cell>
          <cell r="CH216">
            <v>250</v>
          </cell>
          <cell r="CI216">
            <v>375</v>
          </cell>
          <cell r="CJ216">
            <v>500</v>
          </cell>
          <cell r="CK216">
            <v>500</v>
          </cell>
          <cell r="CL216">
            <v>500</v>
          </cell>
          <cell r="CM216">
            <v>500</v>
          </cell>
          <cell r="CN216">
            <v>500</v>
          </cell>
          <cell r="CO216" t="str">
            <v/>
          </cell>
          <cell r="CP216" t="str">
            <v/>
          </cell>
          <cell r="CQ216" t="str">
            <v/>
          </cell>
          <cell r="CR216" t="str">
            <v/>
          </cell>
          <cell r="CS216" t="str">
            <v/>
          </cell>
          <cell r="CT216" t="str">
            <v/>
          </cell>
          <cell r="CU216" t="str">
            <v/>
          </cell>
          <cell r="CV216" t="str">
            <v/>
          </cell>
          <cell r="CW216" t="str">
            <v/>
          </cell>
          <cell r="CX216" t="str">
            <v/>
          </cell>
          <cell r="CY216" t="str">
            <v/>
          </cell>
          <cell r="CZ216" t="str">
            <v/>
          </cell>
          <cell r="DA216" t="str">
            <v/>
          </cell>
          <cell r="DB216" t="str">
            <v/>
          </cell>
          <cell r="DC216" t="str">
            <v/>
          </cell>
          <cell r="DD216" t="str">
            <v/>
          </cell>
          <cell r="DE216" t="str">
            <v/>
          </cell>
          <cell r="DF216" t="str">
            <v/>
          </cell>
          <cell r="DG216" t="str">
            <v/>
          </cell>
          <cell r="DH216" t="str">
            <v/>
          </cell>
          <cell r="DI216" t="str">
            <v/>
          </cell>
          <cell r="DJ216" t="str">
            <v/>
          </cell>
          <cell r="DK216" t="str">
            <v/>
          </cell>
          <cell r="DL216" t="str">
            <v/>
          </cell>
          <cell r="DM216" t="str">
            <v/>
          </cell>
          <cell r="DN216" t="str">
            <v/>
          </cell>
          <cell r="DO216" t="str">
            <v/>
          </cell>
          <cell r="DP216" t="str">
            <v/>
          </cell>
          <cell r="DQ216" t="str">
            <v/>
          </cell>
          <cell r="DR216" t="str">
            <v/>
          </cell>
          <cell r="DS216" t="str">
            <v/>
          </cell>
          <cell r="DT216" t="str">
            <v/>
          </cell>
          <cell r="DU216" t="str">
            <v/>
          </cell>
          <cell r="DV216" t="str">
            <v/>
          </cell>
          <cell r="DW216" t="str">
            <v/>
          </cell>
          <cell r="DX216" t="str">
            <v/>
          </cell>
          <cell r="DY216" t="str">
            <v/>
          </cell>
          <cell r="DZ216" t="str">
            <v/>
          </cell>
          <cell r="EA216" t="str">
            <v/>
          </cell>
          <cell r="EB216" t="str">
            <v/>
          </cell>
          <cell r="EC216" t="str">
            <v/>
          </cell>
          <cell r="ED216" t="str">
            <v/>
          </cell>
          <cell r="EE216" t="str">
            <v/>
          </cell>
          <cell r="EF216" t="str">
            <v/>
          </cell>
          <cell r="EG216" t="str">
            <v/>
          </cell>
          <cell r="EH216" t="str">
            <v/>
          </cell>
          <cell r="EI216" t="str">
            <v/>
          </cell>
          <cell r="EJ216" t="str">
            <v/>
          </cell>
          <cell r="EK216" t="str">
            <v/>
          </cell>
          <cell r="EL216" t="str">
            <v/>
          </cell>
          <cell r="EM216" t="str">
            <v/>
          </cell>
          <cell r="EN216" t="str">
            <v/>
          </cell>
          <cell r="EO216" t="str">
            <v/>
          </cell>
          <cell r="EP216" t="str">
            <v/>
          </cell>
          <cell r="EQ216" t="str">
            <v/>
          </cell>
          <cell r="ER216" t="str">
            <v/>
          </cell>
          <cell r="ES216" t="str">
            <v/>
          </cell>
          <cell r="ET216" t="str">
            <v/>
          </cell>
          <cell r="EU216" t="str">
            <v/>
          </cell>
          <cell r="EV216" t="str">
            <v/>
          </cell>
        </row>
        <row r="217">
          <cell r="T217" t="str">
            <v>BUDGET FORECAST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 t="str">
            <v/>
          </cell>
          <cell r="AB217" t="str">
            <v/>
          </cell>
          <cell r="AC217" t="str">
            <v/>
          </cell>
          <cell r="AD217" t="str">
            <v/>
          </cell>
          <cell r="AE217" t="str">
            <v/>
          </cell>
          <cell r="AF217" t="str">
            <v/>
          </cell>
          <cell r="AG217" t="str">
            <v/>
          </cell>
          <cell r="AH217" t="str">
            <v/>
          </cell>
          <cell r="AI217" t="str">
            <v/>
          </cell>
          <cell r="AJ217" t="str">
            <v/>
          </cell>
          <cell r="AK217" t="str">
            <v/>
          </cell>
          <cell r="AL217" t="str">
            <v/>
          </cell>
          <cell r="AM217" t="str">
            <v/>
          </cell>
          <cell r="AN217" t="str">
            <v/>
          </cell>
          <cell r="AO217" t="str">
            <v/>
          </cell>
          <cell r="AP217" t="str">
            <v/>
          </cell>
          <cell r="AQ217" t="str">
            <v/>
          </cell>
          <cell r="AR217" t="str">
            <v/>
          </cell>
          <cell r="AS217" t="str">
            <v/>
          </cell>
          <cell r="AT217" t="str">
            <v/>
          </cell>
          <cell r="AU217" t="str">
            <v/>
          </cell>
          <cell r="AV217" t="str">
            <v/>
          </cell>
          <cell r="AW217" t="str">
            <v/>
          </cell>
          <cell r="AX217" t="str">
            <v/>
          </cell>
          <cell r="AY217" t="str">
            <v/>
          </cell>
          <cell r="AZ217" t="str">
            <v/>
          </cell>
          <cell r="BA217" t="str">
            <v/>
          </cell>
          <cell r="BB217" t="str">
            <v/>
          </cell>
          <cell r="BC217" t="str">
            <v/>
          </cell>
          <cell r="BD217" t="str">
            <v/>
          </cell>
          <cell r="BE217" t="str">
            <v/>
          </cell>
          <cell r="BF217" t="str">
            <v/>
          </cell>
          <cell r="BG217" t="str">
            <v/>
          </cell>
          <cell r="BH217" t="str">
            <v/>
          </cell>
          <cell r="BI217" t="str">
            <v/>
          </cell>
          <cell r="BJ217" t="str">
            <v/>
          </cell>
          <cell r="BK217" t="str">
            <v/>
          </cell>
          <cell r="BL217" t="str">
            <v/>
          </cell>
          <cell r="BM217" t="str">
            <v/>
          </cell>
          <cell r="BN217" t="str">
            <v/>
          </cell>
          <cell r="BO217" t="str">
            <v/>
          </cell>
          <cell r="BP217" t="str">
            <v/>
          </cell>
          <cell r="BQ217" t="str">
            <v/>
          </cell>
          <cell r="BR217" t="str">
            <v/>
          </cell>
          <cell r="BS217" t="str">
            <v/>
          </cell>
          <cell r="BT217" t="str">
            <v/>
          </cell>
          <cell r="BU217" t="str">
            <v/>
          </cell>
          <cell r="BV217" t="str">
            <v/>
          </cell>
          <cell r="BW217" t="str">
            <v/>
          </cell>
          <cell r="BX217">
            <v>35898</v>
          </cell>
          <cell r="BY217">
            <v>35905</v>
          </cell>
          <cell r="BZ217">
            <v>35912</v>
          </cell>
          <cell r="CA217">
            <v>35919</v>
          </cell>
          <cell r="CB217">
            <v>35926</v>
          </cell>
          <cell r="CC217">
            <v>35933</v>
          </cell>
          <cell r="CD217">
            <v>35940</v>
          </cell>
          <cell r="CE217">
            <v>35947</v>
          </cell>
          <cell r="CF217">
            <v>35954</v>
          </cell>
          <cell r="CG217" t="str">
            <v/>
          </cell>
          <cell r="CH217" t="str">
            <v/>
          </cell>
          <cell r="CI217" t="str">
            <v/>
          </cell>
          <cell r="CJ217" t="str">
            <v/>
          </cell>
          <cell r="CK217" t="str">
            <v/>
          </cell>
          <cell r="CL217" t="str">
            <v/>
          </cell>
          <cell r="CM217" t="str">
            <v/>
          </cell>
          <cell r="CN217" t="str">
            <v/>
          </cell>
          <cell r="CO217" t="str">
            <v/>
          </cell>
          <cell r="CP217" t="str">
            <v/>
          </cell>
          <cell r="CQ217" t="str">
            <v/>
          </cell>
          <cell r="CR217" t="str">
            <v/>
          </cell>
          <cell r="CS217" t="str">
            <v/>
          </cell>
          <cell r="CT217" t="str">
            <v/>
          </cell>
          <cell r="CU217" t="str">
            <v/>
          </cell>
          <cell r="CV217" t="str">
            <v/>
          </cell>
          <cell r="CW217" t="str">
            <v/>
          </cell>
          <cell r="CX217" t="str">
            <v/>
          </cell>
          <cell r="CY217" t="str">
            <v/>
          </cell>
          <cell r="CZ217" t="str">
            <v/>
          </cell>
          <cell r="DA217" t="str">
            <v/>
          </cell>
          <cell r="DB217" t="str">
            <v/>
          </cell>
          <cell r="DC217" t="str">
            <v/>
          </cell>
          <cell r="DD217" t="str">
            <v/>
          </cell>
          <cell r="DE217" t="str">
            <v/>
          </cell>
          <cell r="DF217" t="str">
            <v/>
          </cell>
          <cell r="DG217" t="str">
            <v/>
          </cell>
          <cell r="DH217" t="str">
            <v/>
          </cell>
          <cell r="DI217" t="str">
            <v/>
          </cell>
          <cell r="DJ217" t="str">
            <v/>
          </cell>
          <cell r="DK217" t="str">
            <v/>
          </cell>
          <cell r="DL217" t="str">
            <v/>
          </cell>
          <cell r="DM217" t="str">
            <v/>
          </cell>
          <cell r="DN217" t="str">
            <v/>
          </cell>
          <cell r="DO217" t="str">
            <v/>
          </cell>
          <cell r="DP217" t="str">
            <v/>
          </cell>
          <cell r="DQ217" t="str">
            <v/>
          </cell>
          <cell r="DR217" t="str">
            <v/>
          </cell>
          <cell r="DS217" t="str">
            <v/>
          </cell>
          <cell r="DT217" t="str">
            <v/>
          </cell>
          <cell r="DU217" t="str">
            <v/>
          </cell>
          <cell r="DV217" t="str">
            <v/>
          </cell>
          <cell r="DW217" t="str">
            <v/>
          </cell>
          <cell r="DX217" t="str">
            <v/>
          </cell>
          <cell r="DY217" t="str">
            <v/>
          </cell>
          <cell r="DZ217" t="str">
            <v/>
          </cell>
          <cell r="EA217" t="str">
            <v/>
          </cell>
          <cell r="EB217" t="str">
            <v/>
          </cell>
          <cell r="EC217" t="str">
            <v/>
          </cell>
          <cell r="ED217" t="str">
            <v/>
          </cell>
          <cell r="EE217" t="str">
            <v/>
          </cell>
          <cell r="EF217" t="str">
            <v/>
          </cell>
          <cell r="EG217" t="str">
            <v/>
          </cell>
          <cell r="EH217" t="str">
            <v/>
          </cell>
          <cell r="EI217" t="str">
            <v/>
          </cell>
          <cell r="EJ217" t="str">
            <v/>
          </cell>
          <cell r="EK217" t="str">
            <v/>
          </cell>
          <cell r="EL217" t="str">
            <v/>
          </cell>
          <cell r="EM217" t="str">
            <v/>
          </cell>
          <cell r="EN217" t="str">
            <v/>
          </cell>
          <cell r="EO217" t="str">
            <v/>
          </cell>
          <cell r="EP217" t="str">
            <v/>
          </cell>
          <cell r="EQ217" t="str">
            <v/>
          </cell>
          <cell r="ER217" t="str">
            <v/>
          </cell>
          <cell r="ES217" t="str">
            <v/>
          </cell>
          <cell r="ET217" t="str">
            <v/>
          </cell>
          <cell r="EU217" t="str">
            <v/>
          </cell>
          <cell r="EV217" t="str">
            <v/>
          </cell>
          <cell r="EW217" t="str">
            <v/>
          </cell>
          <cell r="EX217" t="str">
            <v/>
          </cell>
          <cell r="EY217" t="str">
            <v/>
          </cell>
          <cell r="EZ217" t="str">
            <v/>
          </cell>
          <cell r="FA217" t="str">
            <v/>
          </cell>
          <cell r="FB217" t="str">
            <v/>
          </cell>
          <cell r="FC217" t="str">
            <v/>
          </cell>
          <cell r="FD217" t="str">
            <v/>
          </cell>
          <cell r="FE217" t="str">
            <v/>
          </cell>
          <cell r="FF217" t="str">
            <v/>
          </cell>
          <cell r="FG217" t="str">
            <v/>
          </cell>
          <cell r="FH217" t="str">
            <v/>
          </cell>
          <cell r="FI217" t="str">
            <v/>
          </cell>
          <cell r="FJ217">
            <v>0</v>
          </cell>
          <cell r="FK217">
            <v>0</v>
          </cell>
          <cell r="FL217">
            <v>0</v>
          </cell>
          <cell r="FM217">
            <v>0</v>
          </cell>
          <cell r="FN217">
            <v>0</v>
          </cell>
          <cell r="FO217">
            <v>0</v>
          </cell>
          <cell r="FP217">
            <v>0</v>
          </cell>
          <cell r="FQ217">
            <v>0</v>
          </cell>
          <cell r="FR217">
            <v>0</v>
          </cell>
          <cell r="FS217">
            <v>0</v>
          </cell>
          <cell r="FT217">
            <v>0</v>
          </cell>
          <cell r="FU217">
            <v>0</v>
          </cell>
          <cell r="FV217">
            <v>0</v>
          </cell>
          <cell r="FW217">
            <v>0</v>
          </cell>
          <cell r="FX217">
            <v>0</v>
          </cell>
        </row>
        <row r="218">
          <cell r="T218" t="str">
            <v>BUDGET FORECAST</v>
          </cell>
          <cell r="U218">
            <v>0</v>
          </cell>
          <cell r="V218" t="str">
            <v>PRE PROD</v>
          </cell>
          <cell r="W218">
            <v>30</v>
          </cell>
          <cell r="X218">
            <v>112500</v>
          </cell>
          <cell r="Y218">
            <v>0</v>
          </cell>
          <cell r="Z218">
            <v>0</v>
          </cell>
          <cell r="AA218" t="str">
            <v/>
          </cell>
          <cell r="AB218" t="str">
            <v/>
          </cell>
          <cell r="AC218" t="str">
            <v/>
          </cell>
          <cell r="AD218" t="str">
            <v/>
          </cell>
          <cell r="AE218" t="str">
            <v/>
          </cell>
          <cell r="AF218" t="str">
            <v/>
          </cell>
          <cell r="AG218" t="str">
            <v/>
          </cell>
          <cell r="AH218" t="str">
            <v/>
          </cell>
          <cell r="AI218" t="str">
            <v/>
          </cell>
          <cell r="AJ218" t="str">
            <v/>
          </cell>
          <cell r="AK218" t="str">
            <v/>
          </cell>
          <cell r="AL218" t="str">
            <v/>
          </cell>
          <cell r="AM218" t="str">
            <v/>
          </cell>
          <cell r="AN218" t="str">
            <v/>
          </cell>
          <cell r="AO218" t="str">
            <v/>
          </cell>
          <cell r="AP218" t="str">
            <v/>
          </cell>
          <cell r="AQ218" t="str">
            <v/>
          </cell>
          <cell r="AR218" t="str">
            <v/>
          </cell>
          <cell r="AS218" t="str">
            <v/>
          </cell>
          <cell r="AT218" t="str">
            <v/>
          </cell>
          <cell r="AU218" t="str">
            <v/>
          </cell>
          <cell r="AV218" t="str">
            <v/>
          </cell>
          <cell r="AW218" t="str">
            <v/>
          </cell>
          <cell r="AX218" t="str">
            <v/>
          </cell>
          <cell r="AY218" t="str">
            <v/>
          </cell>
          <cell r="AZ218" t="str">
            <v/>
          </cell>
          <cell r="BA218" t="str">
            <v/>
          </cell>
          <cell r="BB218" t="str">
            <v/>
          </cell>
          <cell r="BC218" t="str">
            <v/>
          </cell>
          <cell r="BD218" t="str">
            <v/>
          </cell>
          <cell r="BE218" t="str">
            <v/>
          </cell>
          <cell r="BF218" t="str">
            <v/>
          </cell>
          <cell r="BG218" t="str">
            <v/>
          </cell>
          <cell r="BH218" t="str">
            <v/>
          </cell>
          <cell r="BI218" t="str">
            <v/>
          </cell>
          <cell r="BJ218" t="str">
            <v/>
          </cell>
          <cell r="BK218" t="str">
            <v/>
          </cell>
          <cell r="BL218" t="str">
            <v/>
          </cell>
          <cell r="BM218" t="str">
            <v/>
          </cell>
          <cell r="BN218" t="str">
            <v/>
          </cell>
          <cell r="BO218" t="str">
            <v/>
          </cell>
          <cell r="BP218" t="str">
            <v/>
          </cell>
          <cell r="BQ218" t="str">
            <v/>
          </cell>
          <cell r="BR218" t="str">
            <v/>
          </cell>
          <cell r="BS218" t="str">
            <v/>
          </cell>
          <cell r="BT218" t="str">
            <v/>
          </cell>
          <cell r="BU218" t="str">
            <v/>
          </cell>
          <cell r="BV218" t="str">
            <v/>
          </cell>
          <cell r="BW218" t="str">
            <v/>
          </cell>
          <cell r="BX218">
            <v>35898</v>
          </cell>
          <cell r="BY218">
            <v>35905</v>
          </cell>
          <cell r="BZ218">
            <v>35912</v>
          </cell>
          <cell r="CA218">
            <v>35919</v>
          </cell>
          <cell r="CB218">
            <v>35926</v>
          </cell>
          <cell r="CC218">
            <v>35933</v>
          </cell>
          <cell r="CD218">
            <v>35940</v>
          </cell>
          <cell r="CE218">
            <v>35947</v>
          </cell>
          <cell r="CF218">
            <v>35954</v>
          </cell>
          <cell r="CG218" t="str">
            <v/>
          </cell>
          <cell r="CH218" t="str">
            <v/>
          </cell>
          <cell r="CI218" t="str">
            <v/>
          </cell>
          <cell r="CJ218" t="str">
            <v/>
          </cell>
          <cell r="CK218" t="str">
            <v/>
          </cell>
          <cell r="CL218" t="str">
            <v/>
          </cell>
          <cell r="CM218" t="str">
            <v/>
          </cell>
          <cell r="CN218" t="str">
            <v/>
          </cell>
          <cell r="CO218" t="str">
            <v/>
          </cell>
          <cell r="CP218" t="str">
            <v/>
          </cell>
          <cell r="CQ218" t="str">
            <v/>
          </cell>
          <cell r="CR218" t="str">
            <v/>
          </cell>
          <cell r="CS218" t="str">
            <v/>
          </cell>
          <cell r="CT218" t="str">
            <v/>
          </cell>
          <cell r="CU218" t="str">
            <v/>
          </cell>
          <cell r="CV218" t="str">
            <v/>
          </cell>
          <cell r="CW218" t="str">
            <v/>
          </cell>
          <cell r="CX218" t="str">
            <v/>
          </cell>
          <cell r="CY218" t="str">
            <v/>
          </cell>
          <cell r="CZ218" t="str">
            <v/>
          </cell>
          <cell r="DA218" t="str">
            <v/>
          </cell>
          <cell r="DB218" t="str">
            <v/>
          </cell>
          <cell r="DC218" t="str">
            <v/>
          </cell>
          <cell r="DD218" t="str">
            <v/>
          </cell>
          <cell r="DE218" t="str">
            <v/>
          </cell>
          <cell r="DF218" t="str">
            <v/>
          </cell>
          <cell r="DG218" t="str">
            <v/>
          </cell>
          <cell r="DH218" t="str">
            <v/>
          </cell>
          <cell r="DI218" t="str">
            <v/>
          </cell>
          <cell r="DJ218" t="str">
            <v/>
          </cell>
          <cell r="DK218" t="str">
            <v/>
          </cell>
          <cell r="DL218" t="str">
            <v/>
          </cell>
          <cell r="DM218" t="str">
            <v/>
          </cell>
          <cell r="DN218" t="str">
            <v/>
          </cell>
          <cell r="DO218" t="str">
            <v/>
          </cell>
          <cell r="DP218" t="str">
            <v/>
          </cell>
          <cell r="DQ218" t="str">
            <v/>
          </cell>
          <cell r="DR218" t="str">
            <v/>
          </cell>
          <cell r="DS218" t="str">
            <v/>
          </cell>
          <cell r="DT218" t="str">
            <v/>
          </cell>
          <cell r="DU218" t="str">
            <v/>
          </cell>
          <cell r="DV218" t="str">
            <v/>
          </cell>
          <cell r="DW218" t="str">
            <v/>
          </cell>
          <cell r="DX218" t="str">
            <v/>
          </cell>
          <cell r="DY218" t="str">
            <v/>
          </cell>
          <cell r="DZ218" t="str">
            <v/>
          </cell>
          <cell r="EA218" t="str">
            <v/>
          </cell>
          <cell r="EB218" t="str">
            <v/>
          </cell>
          <cell r="EC218" t="str">
            <v/>
          </cell>
          <cell r="ED218" t="str">
            <v/>
          </cell>
          <cell r="EE218" t="str">
            <v/>
          </cell>
          <cell r="EF218" t="str">
            <v/>
          </cell>
          <cell r="EG218" t="str">
            <v/>
          </cell>
          <cell r="EH218" t="str">
            <v/>
          </cell>
          <cell r="EI218" t="str">
            <v/>
          </cell>
          <cell r="EJ218" t="str">
            <v/>
          </cell>
          <cell r="EK218" t="str">
            <v/>
          </cell>
          <cell r="EL218" t="str">
            <v/>
          </cell>
          <cell r="EM218" t="str">
            <v/>
          </cell>
          <cell r="EN218" t="str">
            <v/>
          </cell>
          <cell r="EO218" t="str">
            <v/>
          </cell>
          <cell r="EP218" t="str">
            <v/>
          </cell>
          <cell r="EQ218" t="str">
            <v/>
          </cell>
          <cell r="ER218" t="str">
            <v/>
          </cell>
          <cell r="ES218" t="str">
            <v/>
          </cell>
          <cell r="ET218" t="str">
            <v/>
          </cell>
          <cell r="EU218" t="str">
            <v/>
          </cell>
          <cell r="EV218" t="str">
            <v/>
          </cell>
          <cell r="EW218" t="str">
            <v/>
          </cell>
          <cell r="EX218" t="str">
            <v/>
          </cell>
          <cell r="EY218" t="str">
            <v/>
          </cell>
          <cell r="EZ218" t="str">
            <v/>
          </cell>
          <cell r="FA218" t="str">
            <v/>
          </cell>
          <cell r="FB218" t="str">
            <v/>
          </cell>
          <cell r="FC218" t="str">
            <v/>
          </cell>
          <cell r="FD218" t="str">
            <v/>
          </cell>
          <cell r="FE218" t="str">
            <v/>
          </cell>
          <cell r="FF218" t="str">
            <v/>
          </cell>
          <cell r="FG218" t="str">
            <v/>
          </cell>
          <cell r="FH218" t="str">
            <v/>
          </cell>
          <cell r="FI218" t="str">
            <v/>
          </cell>
          <cell r="FJ218">
            <v>0</v>
          </cell>
          <cell r="FK218">
            <v>0</v>
          </cell>
          <cell r="FL218">
            <v>0</v>
          </cell>
          <cell r="FM218">
            <v>0</v>
          </cell>
          <cell r="FN218">
            <v>0</v>
          </cell>
          <cell r="FO218">
            <v>0</v>
          </cell>
          <cell r="FP218">
            <v>0</v>
          </cell>
          <cell r="FQ218">
            <v>0</v>
          </cell>
          <cell r="FR218">
            <v>0</v>
          </cell>
          <cell r="FS218">
            <v>0</v>
          </cell>
          <cell r="FT218">
            <v>0</v>
          </cell>
          <cell r="FU218">
            <v>0</v>
          </cell>
          <cell r="FV218">
            <v>0</v>
          </cell>
          <cell r="FW218">
            <v>0</v>
          </cell>
          <cell r="FX218">
            <v>0</v>
          </cell>
          <cell r="FY218">
            <v>0</v>
          </cell>
          <cell r="FZ218">
            <v>0</v>
          </cell>
          <cell r="GA218">
            <v>0</v>
          </cell>
          <cell r="GB218">
            <v>0</v>
          </cell>
        </row>
        <row r="219">
          <cell r="V219" t="str">
            <v>PRE PROD</v>
          </cell>
          <cell r="W219">
            <v>30</v>
          </cell>
          <cell r="X219">
            <v>112500</v>
          </cell>
          <cell r="Y219">
            <v>0</v>
          </cell>
          <cell r="Z219">
            <v>0</v>
          </cell>
          <cell r="AA219" t="str">
            <v/>
          </cell>
          <cell r="AB219" t="str">
            <v/>
          </cell>
          <cell r="AC219" t="str">
            <v/>
          </cell>
          <cell r="AD219" t="str">
            <v/>
          </cell>
          <cell r="AE219" t="str">
            <v/>
          </cell>
          <cell r="AF219" t="str">
            <v/>
          </cell>
          <cell r="AG219" t="str">
            <v/>
          </cell>
          <cell r="AH219" t="str">
            <v/>
          </cell>
          <cell r="AI219" t="str">
            <v/>
          </cell>
          <cell r="AJ219" t="str">
            <v/>
          </cell>
          <cell r="AK219" t="str">
            <v/>
          </cell>
          <cell r="AL219" t="str">
            <v/>
          </cell>
          <cell r="AM219" t="str">
            <v/>
          </cell>
          <cell r="AN219" t="str">
            <v/>
          </cell>
          <cell r="AO219" t="str">
            <v/>
          </cell>
          <cell r="AP219" t="str">
            <v/>
          </cell>
          <cell r="AQ219" t="str">
            <v/>
          </cell>
          <cell r="AR219" t="str">
            <v/>
          </cell>
          <cell r="AS219" t="str">
            <v/>
          </cell>
          <cell r="AT219" t="str">
            <v/>
          </cell>
          <cell r="AU219" t="str">
            <v/>
          </cell>
          <cell r="AV219" t="str">
            <v/>
          </cell>
          <cell r="AW219" t="str">
            <v/>
          </cell>
          <cell r="AX219" t="str">
            <v/>
          </cell>
          <cell r="AY219" t="str">
            <v/>
          </cell>
          <cell r="AZ219" t="str">
            <v/>
          </cell>
          <cell r="BA219" t="str">
            <v/>
          </cell>
          <cell r="BB219" t="str">
            <v/>
          </cell>
          <cell r="BC219" t="str">
            <v/>
          </cell>
          <cell r="BD219" t="str">
            <v/>
          </cell>
          <cell r="BE219" t="str">
            <v/>
          </cell>
          <cell r="BF219" t="str">
            <v/>
          </cell>
          <cell r="BG219" t="str">
            <v/>
          </cell>
          <cell r="BH219" t="str">
            <v/>
          </cell>
          <cell r="BI219" t="str">
            <v/>
          </cell>
          <cell r="BJ219" t="str">
            <v/>
          </cell>
          <cell r="BK219" t="str">
            <v/>
          </cell>
          <cell r="BL219" t="str">
            <v/>
          </cell>
          <cell r="BM219" t="str">
            <v/>
          </cell>
          <cell r="BN219" t="str">
            <v/>
          </cell>
          <cell r="BO219" t="str">
            <v/>
          </cell>
          <cell r="BP219" t="str">
            <v/>
          </cell>
          <cell r="BQ219" t="str">
            <v/>
          </cell>
          <cell r="BR219" t="str">
            <v/>
          </cell>
          <cell r="BS219" t="str">
            <v/>
          </cell>
          <cell r="BT219" t="str">
            <v/>
          </cell>
          <cell r="BU219" t="str">
            <v/>
          </cell>
          <cell r="BV219" t="str">
            <v/>
          </cell>
          <cell r="BW219" t="str">
            <v/>
          </cell>
          <cell r="BX219">
            <v>3750</v>
          </cell>
          <cell r="BY219">
            <v>7500</v>
          </cell>
          <cell r="BZ219">
            <v>11250</v>
          </cell>
          <cell r="CA219">
            <v>15000</v>
          </cell>
          <cell r="CB219">
            <v>15000</v>
          </cell>
          <cell r="CC219">
            <v>15000</v>
          </cell>
          <cell r="CD219">
            <v>15000</v>
          </cell>
          <cell r="CE219">
            <v>15000</v>
          </cell>
          <cell r="CF219">
            <v>15000</v>
          </cell>
          <cell r="CG219" t="str">
            <v/>
          </cell>
          <cell r="CH219" t="str">
            <v/>
          </cell>
          <cell r="CI219" t="str">
            <v/>
          </cell>
          <cell r="CJ219" t="str">
            <v/>
          </cell>
          <cell r="CK219" t="str">
            <v/>
          </cell>
          <cell r="CL219" t="str">
            <v/>
          </cell>
          <cell r="CM219" t="str">
            <v/>
          </cell>
          <cell r="CN219" t="str">
            <v/>
          </cell>
          <cell r="CO219" t="str">
            <v/>
          </cell>
          <cell r="CP219" t="str">
            <v/>
          </cell>
          <cell r="CQ219" t="str">
            <v/>
          </cell>
          <cell r="CR219" t="str">
            <v/>
          </cell>
          <cell r="CS219" t="str">
            <v/>
          </cell>
          <cell r="CT219" t="str">
            <v/>
          </cell>
          <cell r="CU219" t="str">
            <v/>
          </cell>
          <cell r="CV219" t="str">
            <v/>
          </cell>
          <cell r="CW219" t="str">
            <v/>
          </cell>
          <cell r="CX219" t="str">
            <v/>
          </cell>
          <cell r="CY219" t="str">
            <v/>
          </cell>
          <cell r="CZ219" t="str">
            <v/>
          </cell>
          <cell r="DA219" t="str">
            <v/>
          </cell>
          <cell r="DB219" t="str">
            <v/>
          </cell>
          <cell r="DC219" t="str">
            <v/>
          </cell>
          <cell r="DD219" t="str">
            <v/>
          </cell>
          <cell r="DE219" t="str">
            <v/>
          </cell>
          <cell r="DF219" t="str">
            <v/>
          </cell>
          <cell r="DG219" t="str">
            <v/>
          </cell>
          <cell r="DH219" t="str">
            <v/>
          </cell>
          <cell r="DI219" t="str">
            <v/>
          </cell>
          <cell r="DJ219" t="str">
            <v/>
          </cell>
          <cell r="DK219" t="str">
            <v/>
          </cell>
          <cell r="DL219" t="str">
            <v/>
          </cell>
          <cell r="DM219" t="str">
            <v/>
          </cell>
          <cell r="DN219" t="str">
            <v/>
          </cell>
          <cell r="DO219" t="str">
            <v/>
          </cell>
          <cell r="DP219" t="str">
            <v/>
          </cell>
          <cell r="DQ219" t="str">
            <v/>
          </cell>
          <cell r="DR219" t="str">
            <v/>
          </cell>
          <cell r="DS219" t="str">
            <v/>
          </cell>
          <cell r="DT219" t="str">
            <v/>
          </cell>
          <cell r="DU219" t="str">
            <v/>
          </cell>
          <cell r="DV219" t="str">
            <v/>
          </cell>
          <cell r="DW219" t="str">
            <v/>
          </cell>
          <cell r="DX219" t="str">
            <v/>
          </cell>
          <cell r="DY219" t="str">
            <v/>
          </cell>
          <cell r="DZ219" t="str">
            <v/>
          </cell>
          <cell r="EA219" t="str">
            <v/>
          </cell>
          <cell r="EB219" t="str">
            <v/>
          </cell>
          <cell r="EC219" t="str">
            <v/>
          </cell>
          <cell r="ED219" t="str">
            <v/>
          </cell>
          <cell r="EE219" t="str">
            <v/>
          </cell>
          <cell r="EF219" t="str">
            <v/>
          </cell>
          <cell r="EG219" t="str">
            <v/>
          </cell>
          <cell r="EH219" t="str">
            <v/>
          </cell>
          <cell r="EI219" t="str">
            <v/>
          </cell>
          <cell r="EJ219" t="str">
            <v/>
          </cell>
          <cell r="EK219" t="str">
            <v/>
          </cell>
          <cell r="EL219" t="str">
            <v/>
          </cell>
          <cell r="EM219" t="str">
            <v/>
          </cell>
          <cell r="EN219" t="str">
            <v/>
          </cell>
          <cell r="EO219" t="str">
            <v/>
          </cell>
          <cell r="EP219" t="str">
            <v/>
          </cell>
          <cell r="EQ219" t="str">
            <v/>
          </cell>
          <cell r="ER219" t="str">
            <v/>
          </cell>
          <cell r="ES219" t="str">
            <v/>
          </cell>
          <cell r="ET219" t="str">
            <v/>
          </cell>
          <cell r="EU219" t="str">
            <v/>
          </cell>
          <cell r="EV219" t="str">
            <v/>
          </cell>
          <cell r="EW219" t="str">
            <v/>
          </cell>
          <cell r="EX219" t="str">
            <v/>
          </cell>
          <cell r="EY219" t="str">
            <v/>
          </cell>
          <cell r="EZ219" t="str">
            <v/>
          </cell>
          <cell r="FA219" t="str">
            <v/>
          </cell>
          <cell r="FB219" t="str">
            <v/>
          </cell>
          <cell r="FC219" t="str">
            <v/>
          </cell>
          <cell r="FD219" t="str">
            <v/>
          </cell>
          <cell r="FE219" t="str">
            <v/>
          </cell>
          <cell r="FF219" t="str">
            <v/>
          </cell>
          <cell r="FG219" t="str">
            <v/>
          </cell>
          <cell r="FH219" t="str">
            <v/>
          </cell>
          <cell r="FI219" t="str">
            <v/>
          </cell>
          <cell r="FJ219">
            <v>0</v>
          </cell>
          <cell r="FK219">
            <v>0</v>
          </cell>
          <cell r="FL219">
            <v>0</v>
          </cell>
          <cell r="FM219">
            <v>0</v>
          </cell>
          <cell r="FN219">
            <v>0</v>
          </cell>
          <cell r="FO219">
            <v>0</v>
          </cell>
          <cell r="FP219">
            <v>0</v>
          </cell>
          <cell r="FQ219">
            <v>0</v>
          </cell>
          <cell r="FR219">
            <v>0</v>
          </cell>
          <cell r="FS219">
            <v>0</v>
          </cell>
          <cell r="FT219">
            <v>0</v>
          </cell>
          <cell r="FU219">
            <v>0</v>
          </cell>
          <cell r="FV219">
            <v>0</v>
          </cell>
          <cell r="FW219">
            <v>0</v>
          </cell>
          <cell r="FX219">
            <v>0</v>
          </cell>
          <cell r="FY219">
            <v>0</v>
          </cell>
          <cell r="FZ219">
            <v>0</v>
          </cell>
          <cell r="GA219">
            <v>0</v>
          </cell>
          <cell r="GB219">
            <v>0</v>
          </cell>
        </row>
        <row r="220">
          <cell r="V220" t="str">
            <v>PRODUCTION</v>
          </cell>
          <cell r="W220">
            <v>150</v>
          </cell>
          <cell r="X220">
            <v>487500</v>
          </cell>
          <cell r="Y220">
            <v>0</v>
          </cell>
          <cell r="Z220">
            <v>0</v>
          </cell>
          <cell r="AA220" t="str">
            <v/>
          </cell>
          <cell r="AB220" t="str">
            <v/>
          </cell>
          <cell r="AC220" t="str">
            <v/>
          </cell>
          <cell r="AD220" t="str">
            <v/>
          </cell>
          <cell r="AE220" t="str">
            <v/>
          </cell>
          <cell r="AF220" t="str">
            <v/>
          </cell>
          <cell r="AG220" t="str">
            <v/>
          </cell>
          <cell r="AH220" t="str">
            <v/>
          </cell>
          <cell r="AI220" t="str">
            <v/>
          </cell>
          <cell r="AJ220" t="str">
            <v/>
          </cell>
          <cell r="AK220" t="str">
            <v/>
          </cell>
          <cell r="AL220" t="str">
            <v/>
          </cell>
          <cell r="AM220" t="str">
            <v/>
          </cell>
          <cell r="AN220" t="str">
            <v/>
          </cell>
          <cell r="AO220" t="str">
            <v/>
          </cell>
          <cell r="AP220" t="str">
            <v/>
          </cell>
          <cell r="AQ220" t="str">
            <v/>
          </cell>
          <cell r="AR220" t="str">
            <v/>
          </cell>
          <cell r="AS220" t="str">
            <v/>
          </cell>
          <cell r="AT220" t="str">
            <v/>
          </cell>
          <cell r="AU220" t="str">
            <v/>
          </cell>
          <cell r="AV220" t="str">
            <v/>
          </cell>
          <cell r="AW220" t="str">
            <v/>
          </cell>
          <cell r="AX220" t="str">
            <v/>
          </cell>
          <cell r="AY220" t="str">
            <v/>
          </cell>
          <cell r="AZ220" t="str">
            <v/>
          </cell>
          <cell r="BA220" t="str">
            <v/>
          </cell>
          <cell r="BB220" t="str">
            <v/>
          </cell>
          <cell r="BC220" t="str">
            <v/>
          </cell>
          <cell r="BD220" t="str">
            <v/>
          </cell>
          <cell r="BE220" t="str">
            <v/>
          </cell>
          <cell r="BF220" t="str">
            <v/>
          </cell>
          <cell r="BG220" t="str">
            <v/>
          </cell>
          <cell r="BH220" t="str">
            <v/>
          </cell>
          <cell r="BI220" t="str">
            <v/>
          </cell>
          <cell r="BJ220" t="str">
            <v/>
          </cell>
          <cell r="BK220" t="str">
            <v/>
          </cell>
          <cell r="BL220" t="str">
            <v/>
          </cell>
          <cell r="BM220" t="str">
            <v/>
          </cell>
          <cell r="BN220" t="str">
            <v/>
          </cell>
          <cell r="BO220" t="str">
            <v/>
          </cell>
          <cell r="BP220" t="str">
            <v/>
          </cell>
          <cell r="BQ220" t="str">
            <v/>
          </cell>
          <cell r="BR220" t="str">
            <v/>
          </cell>
          <cell r="BS220" t="str">
            <v/>
          </cell>
          <cell r="BT220" t="str">
            <v/>
          </cell>
          <cell r="BU220" t="str">
            <v/>
          </cell>
          <cell r="BV220" t="str">
            <v/>
          </cell>
          <cell r="BW220" t="str">
            <v/>
          </cell>
          <cell r="BX220" t="str">
            <v/>
          </cell>
          <cell r="BY220" t="str">
            <v/>
          </cell>
          <cell r="BZ220" t="str">
            <v/>
          </cell>
          <cell r="CA220" t="str">
            <v/>
          </cell>
          <cell r="CB220">
            <v>35926</v>
          </cell>
          <cell r="CC220">
            <v>35933</v>
          </cell>
          <cell r="CD220">
            <v>35940</v>
          </cell>
          <cell r="CE220">
            <v>35947</v>
          </cell>
          <cell r="CF220">
            <v>35954</v>
          </cell>
          <cell r="CG220">
            <v>35961</v>
          </cell>
          <cell r="CH220">
            <v>35968</v>
          </cell>
          <cell r="CI220">
            <v>35975</v>
          </cell>
          <cell r="CJ220">
            <v>35982</v>
          </cell>
          <cell r="CK220">
            <v>35989</v>
          </cell>
          <cell r="CL220">
            <v>35996</v>
          </cell>
          <cell r="CM220" t="str">
            <v/>
          </cell>
          <cell r="CN220" t="str">
            <v/>
          </cell>
          <cell r="CO220" t="str">
            <v/>
          </cell>
          <cell r="CP220" t="str">
            <v/>
          </cell>
          <cell r="CQ220" t="str">
            <v/>
          </cell>
          <cell r="CR220" t="str">
            <v/>
          </cell>
          <cell r="CS220" t="str">
            <v/>
          </cell>
          <cell r="CT220" t="str">
            <v/>
          </cell>
          <cell r="CU220" t="str">
            <v/>
          </cell>
          <cell r="CV220" t="str">
            <v/>
          </cell>
          <cell r="CW220" t="str">
            <v/>
          </cell>
          <cell r="CX220" t="str">
            <v/>
          </cell>
          <cell r="CY220" t="str">
            <v/>
          </cell>
          <cell r="CZ220" t="str">
            <v/>
          </cell>
          <cell r="DA220" t="str">
            <v/>
          </cell>
          <cell r="DB220" t="str">
            <v/>
          </cell>
          <cell r="DC220" t="str">
            <v/>
          </cell>
          <cell r="DD220" t="str">
            <v/>
          </cell>
          <cell r="DE220" t="str">
            <v/>
          </cell>
          <cell r="DF220" t="str">
            <v/>
          </cell>
          <cell r="DG220" t="str">
            <v/>
          </cell>
          <cell r="DH220" t="str">
            <v/>
          </cell>
          <cell r="DI220" t="str">
            <v/>
          </cell>
          <cell r="DJ220" t="str">
            <v/>
          </cell>
          <cell r="DK220" t="str">
            <v/>
          </cell>
          <cell r="DL220" t="str">
            <v/>
          </cell>
          <cell r="DM220" t="str">
            <v/>
          </cell>
          <cell r="DN220" t="str">
            <v/>
          </cell>
          <cell r="DO220" t="str">
            <v/>
          </cell>
          <cell r="DP220" t="str">
            <v/>
          </cell>
          <cell r="DQ220" t="str">
            <v/>
          </cell>
          <cell r="DR220" t="str">
            <v/>
          </cell>
          <cell r="DS220" t="str">
            <v/>
          </cell>
          <cell r="DT220" t="str">
            <v/>
          </cell>
          <cell r="DU220" t="str">
            <v/>
          </cell>
          <cell r="DV220" t="str">
            <v/>
          </cell>
          <cell r="DW220" t="str">
            <v/>
          </cell>
          <cell r="DX220" t="str">
            <v/>
          </cell>
          <cell r="DY220" t="str">
            <v/>
          </cell>
          <cell r="DZ220" t="str">
            <v/>
          </cell>
          <cell r="EA220" t="str">
            <v/>
          </cell>
          <cell r="EB220" t="str">
            <v/>
          </cell>
          <cell r="EC220" t="str">
            <v/>
          </cell>
          <cell r="ED220" t="str">
            <v/>
          </cell>
          <cell r="EE220" t="str">
            <v/>
          </cell>
          <cell r="EF220" t="str">
            <v/>
          </cell>
          <cell r="EG220" t="str">
            <v/>
          </cell>
          <cell r="EH220" t="str">
            <v/>
          </cell>
          <cell r="EI220" t="str">
            <v/>
          </cell>
          <cell r="EJ220" t="str">
            <v/>
          </cell>
          <cell r="EK220" t="str">
            <v/>
          </cell>
          <cell r="EL220" t="str">
            <v/>
          </cell>
          <cell r="EM220" t="str">
            <v/>
          </cell>
          <cell r="EN220" t="str">
            <v/>
          </cell>
          <cell r="EO220" t="str">
            <v/>
          </cell>
          <cell r="EP220" t="str">
            <v/>
          </cell>
          <cell r="EQ220" t="str">
            <v/>
          </cell>
          <cell r="ER220" t="str">
            <v/>
          </cell>
          <cell r="ES220" t="str">
            <v/>
          </cell>
          <cell r="ET220" t="str">
            <v/>
          </cell>
          <cell r="EU220" t="str">
            <v/>
          </cell>
          <cell r="EV220" t="str">
            <v/>
          </cell>
          <cell r="EW220" t="str">
            <v/>
          </cell>
          <cell r="EX220" t="str">
            <v/>
          </cell>
          <cell r="EY220" t="str">
            <v/>
          </cell>
          <cell r="EZ220" t="str">
            <v/>
          </cell>
          <cell r="FA220" t="str">
            <v/>
          </cell>
          <cell r="FB220" t="str">
            <v/>
          </cell>
          <cell r="FC220" t="str">
            <v/>
          </cell>
          <cell r="FD220" t="str">
            <v/>
          </cell>
          <cell r="FE220" t="str">
            <v/>
          </cell>
          <cell r="FF220" t="str">
            <v/>
          </cell>
          <cell r="FG220" t="str">
            <v/>
          </cell>
          <cell r="FH220" t="str">
            <v/>
          </cell>
          <cell r="FI220" t="str">
            <v/>
          </cell>
          <cell r="FJ220">
            <v>0</v>
          </cell>
          <cell r="FK220">
            <v>0</v>
          </cell>
          <cell r="FL220">
            <v>0</v>
          </cell>
          <cell r="FM220">
            <v>0</v>
          </cell>
          <cell r="FN220">
            <v>0</v>
          </cell>
          <cell r="FO220">
            <v>0</v>
          </cell>
          <cell r="FP220">
            <v>0</v>
          </cell>
          <cell r="FQ220">
            <v>0</v>
          </cell>
          <cell r="FR220">
            <v>0</v>
          </cell>
          <cell r="FS220">
            <v>0</v>
          </cell>
          <cell r="FT220">
            <v>0</v>
          </cell>
          <cell r="FU220">
            <v>0</v>
          </cell>
          <cell r="FV220">
            <v>0</v>
          </cell>
          <cell r="FW220">
            <v>0</v>
          </cell>
          <cell r="FX220">
            <v>0</v>
          </cell>
          <cell r="FY220">
            <v>0</v>
          </cell>
          <cell r="FZ220">
            <v>0</v>
          </cell>
          <cell r="GA220">
            <v>0</v>
          </cell>
          <cell r="GB220">
            <v>0</v>
          </cell>
        </row>
        <row r="221">
          <cell r="V221" t="str">
            <v>PRODUCTION</v>
          </cell>
          <cell r="W221">
            <v>150</v>
          </cell>
          <cell r="X221">
            <v>487500</v>
          </cell>
          <cell r="Y221">
            <v>0</v>
          </cell>
          <cell r="Z221">
            <v>0</v>
          </cell>
          <cell r="AA221" t="str">
            <v/>
          </cell>
          <cell r="AB221" t="str">
            <v/>
          </cell>
          <cell r="AC221" t="str">
            <v/>
          </cell>
          <cell r="AD221" t="str">
            <v/>
          </cell>
          <cell r="AE221" t="str">
            <v/>
          </cell>
          <cell r="AF221" t="str">
            <v/>
          </cell>
          <cell r="AG221" t="str">
            <v/>
          </cell>
          <cell r="AH221" t="str">
            <v/>
          </cell>
          <cell r="AI221" t="str">
            <v/>
          </cell>
          <cell r="AJ221" t="str">
            <v/>
          </cell>
          <cell r="AK221" t="str">
            <v/>
          </cell>
          <cell r="AL221" t="str">
            <v/>
          </cell>
          <cell r="AM221" t="str">
            <v/>
          </cell>
          <cell r="AN221" t="str">
            <v/>
          </cell>
          <cell r="AO221" t="str">
            <v/>
          </cell>
          <cell r="AP221" t="str">
            <v/>
          </cell>
          <cell r="AQ221" t="str">
            <v/>
          </cell>
          <cell r="AR221" t="str">
            <v/>
          </cell>
          <cell r="AS221" t="str">
            <v/>
          </cell>
          <cell r="AT221" t="str">
            <v/>
          </cell>
          <cell r="AU221" t="str">
            <v/>
          </cell>
          <cell r="AV221" t="str">
            <v/>
          </cell>
          <cell r="AW221" t="str">
            <v/>
          </cell>
          <cell r="AX221" t="str">
            <v/>
          </cell>
          <cell r="AY221" t="str">
            <v/>
          </cell>
          <cell r="AZ221" t="str">
            <v/>
          </cell>
          <cell r="BA221" t="str">
            <v/>
          </cell>
          <cell r="BB221" t="str">
            <v/>
          </cell>
          <cell r="BC221" t="str">
            <v/>
          </cell>
          <cell r="BD221" t="str">
            <v/>
          </cell>
          <cell r="BE221" t="str">
            <v/>
          </cell>
          <cell r="BF221" t="str">
            <v/>
          </cell>
          <cell r="BG221" t="str">
            <v/>
          </cell>
          <cell r="BH221" t="str">
            <v/>
          </cell>
          <cell r="BI221" t="str">
            <v/>
          </cell>
          <cell r="BJ221" t="str">
            <v/>
          </cell>
          <cell r="BK221" t="str">
            <v/>
          </cell>
          <cell r="BL221" t="str">
            <v/>
          </cell>
          <cell r="BM221" t="str">
            <v/>
          </cell>
          <cell r="BN221" t="str">
            <v/>
          </cell>
          <cell r="BO221" t="str">
            <v/>
          </cell>
          <cell r="BP221" t="str">
            <v/>
          </cell>
          <cell r="BQ221" t="str">
            <v/>
          </cell>
          <cell r="BR221" t="str">
            <v/>
          </cell>
          <cell r="BS221" t="str">
            <v/>
          </cell>
          <cell r="BT221" t="str">
            <v/>
          </cell>
          <cell r="BU221" t="str">
            <v/>
          </cell>
          <cell r="BV221" t="str">
            <v/>
          </cell>
          <cell r="BW221" t="str">
            <v/>
          </cell>
          <cell r="BX221" t="str">
            <v/>
          </cell>
          <cell r="BY221" t="str">
            <v/>
          </cell>
          <cell r="BZ221" t="str">
            <v/>
          </cell>
          <cell r="CA221" t="str">
            <v/>
          </cell>
          <cell r="CB221">
            <v>0</v>
          </cell>
          <cell r="CC221">
            <v>0</v>
          </cell>
          <cell r="CD221">
            <v>0</v>
          </cell>
          <cell r="CE221">
            <v>18750</v>
          </cell>
          <cell r="CF221">
            <v>37500</v>
          </cell>
          <cell r="CG221">
            <v>56250</v>
          </cell>
          <cell r="CH221">
            <v>75000</v>
          </cell>
          <cell r="CI221">
            <v>75000</v>
          </cell>
          <cell r="CJ221">
            <v>75000</v>
          </cell>
          <cell r="CK221">
            <v>75000</v>
          </cell>
          <cell r="CL221">
            <v>75000</v>
          </cell>
          <cell r="CM221" t="str">
            <v/>
          </cell>
          <cell r="CN221" t="str">
            <v/>
          </cell>
          <cell r="CO221" t="str">
            <v/>
          </cell>
          <cell r="CP221" t="str">
            <v/>
          </cell>
          <cell r="CQ221" t="str">
            <v/>
          </cell>
          <cell r="CR221" t="str">
            <v/>
          </cell>
          <cell r="CS221" t="str">
            <v/>
          </cell>
          <cell r="CT221" t="str">
            <v/>
          </cell>
          <cell r="CU221" t="str">
            <v/>
          </cell>
          <cell r="CV221" t="str">
            <v/>
          </cell>
          <cell r="CW221" t="str">
            <v/>
          </cell>
          <cell r="CX221" t="str">
            <v/>
          </cell>
          <cell r="CY221" t="str">
            <v/>
          </cell>
          <cell r="CZ221" t="str">
            <v/>
          </cell>
          <cell r="DA221" t="str">
            <v/>
          </cell>
          <cell r="DB221" t="str">
            <v/>
          </cell>
          <cell r="DC221" t="str">
            <v/>
          </cell>
          <cell r="DD221" t="str">
            <v/>
          </cell>
          <cell r="DE221" t="str">
            <v/>
          </cell>
          <cell r="DF221" t="str">
            <v/>
          </cell>
          <cell r="DG221" t="str">
            <v/>
          </cell>
          <cell r="DH221" t="str">
            <v/>
          </cell>
          <cell r="DI221" t="str">
            <v/>
          </cell>
          <cell r="DJ221" t="str">
            <v/>
          </cell>
          <cell r="DK221" t="str">
            <v/>
          </cell>
          <cell r="DL221" t="str">
            <v/>
          </cell>
          <cell r="DM221" t="str">
            <v/>
          </cell>
          <cell r="DN221" t="str">
            <v/>
          </cell>
          <cell r="DO221" t="str">
            <v/>
          </cell>
          <cell r="DP221" t="str">
            <v/>
          </cell>
          <cell r="DQ221" t="str">
            <v/>
          </cell>
          <cell r="DR221" t="str">
            <v/>
          </cell>
          <cell r="DS221" t="str">
            <v/>
          </cell>
          <cell r="DT221" t="str">
            <v/>
          </cell>
          <cell r="DU221" t="str">
            <v/>
          </cell>
          <cell r="DV221" t="str">
            <v/>
          </cell>
          <cell r="DW221" t="str">
            <v/>
          </cell>
          <cell r="DX221" t="str">
            <v/>
          </cell>
          <cell r="DY221" t="str">
            <v/>
          </cell>
          <cell r="DZ221" t="str">
            <v/>
          </cell>
          <cell r="EA221" t="str">
            <v/>
          </cell>
          <cell r="EB221" t="str">
            <v/>
          </cell>
          <cell r="EC221" t="str">
            <v/>
          </cell>
          <cell r="ED221" t="str">
            <v/>
          </cell>
          <cell r="EE221" t="str">
            <v/>
          </cell>
          <cell r="EF221" t="str">
            <v/>
          </cell>
          <cell r="EG221" t="str">
            <v/>
          </cell>
          <cell r="EH221" t="str">
            <v/>
          </cell>
          <cell r="EI221" t="str">
            <v/>
          </cell>
          <cell r="EJ221" t="str">
            <v/>
          </cell>
          <cell r="EK221" t="str">
            <v/>
          </cell>
          <cell r="EL221" t="str">
            <v/>
          </cell>
          <cell r="EM221" t="str">
            <v/>
          </cell>
          <cell r="EN221" t="str">
            <v/>
          </cell>
          <cell r="EO221" t="str">
            <v/>
          </cell>
          <cell r="EP221" t="str">
            <v/>
          </cell>
          <cell r="EQ221" t="str">
            <v/>
          </cell>
          <cell r="ER221" t="str">
            <v/>
          </cell>
          <cell r="ES221" t="str">
            <v/>
          </cell>
          <cell r="ET221" t="str">
            <v/>
          </cell>
          <cell r="EU221" t="str">
            <v/>
          </cell>
          <cell r="EV221" t="str">
            <v/>
          </cell>
          <cell r="EW221" t="str">
            <v/>
          </cell>
          <cell r="EX221" t="str">
            <v/>
          </cell>
          <cell r="EY221" t="str">
            <v/>
          </cell>
          <cell r="EZ221" t="str">
            <v/>
          </cell>
          <cell r="FA221" t="str">
            <v/>
          </cell>
          <cell r="FB221" t="str">
            <v/>
          </cell>
          <cell r="FC221" t="str">
            <v/>
          </cell>
          <cell r="FD221" t="str">
            <v/>
          </cell>
          <cell r="FE221" t="str">
            <v/>
          </cell>
          <cell r="FF221" t="str">
            <v/>
          </cell>
          <cell r="FG221" t="str">
            <v/>
          </cell>
          <cell r="FH221" t="str">
            <v/>
          </cell>
          <cell r="FI221" t="str">
            <v/>
          </cell>
          <cell r="FJ221">
            <v>0</v>
          </cell>
          <cell r="FK221">
            <v>0</v>
          </cell>
          <cell r="FL221">
            <v>0</v>
          </cell>
          <cell r="FM221">
            <v>0</v>
          </cell>
          <cell r="FN221">
            <v>0</v>
          </cell>
          <cell r="FO221">
            <v>0</v>
          </cell>
          <cell r="FP221">
            <v>0</v>
          </cell>
          <cell r="FQ221">
            <v>0</v>
          </cell>
          <cell r="FR221">
            <v>0</v>
          </cell>
          <cell r="FS221">
            <v>0</v>
          </cell>
          <cell r="FT221">
            <v>0</v>
          </cell>
          <cell r="FU221">
            <v>0</v>
          </cell>
          <cell r="FV221">
            <v>0</v>
          </cell>
          <cell r="FW221">
            <v>0</v>
          </cell>
          <cell r="FX221">
            <v>0</v>
          </cell>
          <cell r="FY221">
            <v>0</v>
          </cell>
          <cell r="FZ221">
            <v>0</v>
          </cell>
          <cell r="GA221">
            <v>0</v>
          </cell>
          <cell r="GB221">
            <v>0</v>
          </cell>
        </row>
        <row r="222">
          <cell r="V222" t="str">
            <v>INK &amp; PAINT</v>
          </cell>
          <cell r="W222">
            <v>8</v>
          </cell>
          <cell r="X222">
            <v>26000</v>
          </cell>
          <cell r="Y222">
            <v>0</v>
          </cell>
          <cell r="Z222">
            <v>0</v>
          </cell>
          <cell r="AA222" t="str">
            <v/>
          </cell>
          <cell r="AB222" t="str">
            <v/>
          </cell>
          <cell r="AC222" t="str">
            <v/>
          </cell>
          <cell r="AD222" t="str">
            <v/>
          </cell>
          <cell r="AE222" t="str">
            <v/>
          </cell>
          <cell r="AF222" t="str">
            <v/>
          </cell>
          <cell r="AG222" t="str">
            <v/>
          </cell>
          <cell r="AH222" t="str">
            <v/>
          </cell>
          <cell r="AI222" t="str">
            <v/>
          </cell>
          <cell r="AJ222" t="str">
            <v/>
          </cell>
          <cell r="AK222" t="str">
            <v/>
          </cell>
          <cell r="AL222" t="str">
            <v/>
          </cell>
          <cell r="AM222" t="str">
            <v/>
          </cell>
          <cell r="AN222" t="str">
            <v/>
          </cell>
          <cell r="AO222" t="str">
            <v/>
          </cell>
          <cell r="AP222" t="str">
            <v/>
          </cell>
          <cell r="AQ222" t="str">
            <v/>
          </cell>
          <cell r="AR222" t="str">
            <v/>
          </cell>
          <cell r="AS222" t="str">
            <v/>
          </cell>
          <cell r="AT222" t="str">
            <v/>
          </cell>
          <cell r="AU222" t="str">
            <v/>
          </cell>
          <cell r="AV222" t="str">
            <v/>
          </cell>
          <cell r="AW222" t="str">
            <v/>
          </cell>
          <cell r="AX222" t="str">
            <v/>
          </cell>
          <cell r="AY222" t="str">
            <v/>
          </cell>
          <cell r="AZ222" t="str">
            <v/>
          </cell>
          <cell r="BA222" t="str">
            <v/>
          </cell>
          <cell r="BB222" t="str">
            <v/>
          </cell>
          <cell r="BC222" t="str">
            <v/>
          </cell>
          <cell r="BD222" t="str">
            <v/>
          </cell>
          <cell r="BE222" t="str">
            <v/>
          </cell>
          <cell r="BF222" t="str">
            <v/>
          </cell>
          <cell r="BG222" t="str">
            <v/>
          </cell>
          <cell r="BH222" t="str">
            <v/>
          </cell>
          <cell r="BI222" t="str">
            <v/>
          </cell>
          <cell r="BJ222" t="str">
            <v/>
          </cell>
          <cell r="BK222" t="str">
            <v/>
          </cell>
          <cell r="BL222" t="str">
            <v/>
          </cell>
          <cell r="BM222" t="str">
            <v/>
          </cell>
          <cell r="BN222" t="str">
            <v/>
          </cell>
          <cell r="BO222" t="str">
            <v/>
          </cell>
          <cell r="BP222" t="str">
            <v/>
          </cell>
          <cell r="BQ222" t="str">
            <v/>
          </cell>
          <cell r="BR222" t="str">
            <v/>
          </cell>
          <cell r="BS222" t="str">
            <v/>
          </cell>
          <cell r="BT222" t="str">
            <v/>
          </cell>
          <cell r="BU222" t="str">
            <v/>
          </cell>
          <cell r="BV222" t="str">
            <v/>
          </cell>
          <cell r="BW222" t="str">
            <v/>
          </cell>
          <cell r="BX222" t="str">
            <v/>
          </cell>
          <cell r="BY222" t="str">
            <v/>
          </cell>
          <cell r="BZ222" t="str">
            <v/>
          </cell>
          <cell r="CA222" t="str">
            <v/>
          </cell>
          <cell r="CB222" t="str">
            <v/>
          </cell>
          <cell r="CC222" t="str">
            <v/>
          </cell>
          <cell r="CD222" t="str">
            <v/>
          </cell>
          <cell r="CE222" t="str">
            <v/>
          </cell>
          <cell r="CF222" t="str">
            <v/>
          </cell>
          <cell r="CG222">
            <v>35961</v>
          </cell>
          <cell r="CH222">
            <v>35968</v>
          </cell>
          <cell r="CI222">
            <v>35975</v>
          </cell>
          <cell r="CJ222">
            <v>35982</v>
          </cell>
          <cell r="CK222">
            <v>35989</v>
          </cell>
          <cell r="CL222">
            <v>35996</v>
          </cell>
          <cell r="CM222">
            <v>36003</v>
          </cell>
          <cell r="CN222">
            <v>36010</v>
          </cell>
          <cell r="CO222" t="str">
            <v/>
          </cell>
          <cell r="CP222" t="str">
            <v/>
          </cell>
          <cell r="CQ222" t="str">
            <v/>
          </cell>
          <cell r="CR222" t="str">
            <v/>
          </cell>
          <cell r="CS222" t="str">
            <v/>
          </cell>
          <cell r="CT222" t="str">
            <v/>
          </cell>
          <cell r="CU222" t="str">
            <v/>
          </cell>
          <cell r="CV222" t="str">
            <v/>
          </cell>
          <cell r="CW222" t="str">
            <v/>
          </cell>
          <cell r="CX222" t="str">
            <v/>
          </cell>
          <cell r="CY222" t="str">
            <v/>
          </cell>
          <cell r="CZ222" t="str">
            <v/>
          </cell>
          <cell r="DA222" t="str">
            <v/>
          </cell>
          <cell r="DB222" t="str">
            <v/>
          </cell>
          <cell r="DC222" t="str">
            <v/>
          </cell>
          <cell r="DD222" t="str">
            <v/>
          </cell>
          <cell r="DE222" t="str">
            <v/>
          </cell>
          <cell r="DF222" t="str">
            <v/>
          </cell>
          <cell r="DG222" t="str">
            <v/>
          </cell>
          <cell r="DH222" t="str">
            <v/>
          </cell>
          <cell r="DI222" t="str">
            <v/>
          </cell>
          <cell r="DJ222" t="str">
            <v/>
          </cell>
          <cell r="DK222" t="str">
            <v/>
          </cell>
          <cell r="DL222" t="str">
            <v/>
          </cell>
          <cell r="DM222" t="str">
            <v/>
          </cell>
          <cell r="DN222" t="str">
            <v/>
          </cell>
          <cell r="DO222" t="str">
            <v/>
          </cell>
          <cell r="DP222" t="str">
            <v/>
          </cell>
          <cell r="DQ222" t="str">
            <v/>
          </cell>
          <cell r="DR222" t="str">
            <v/>
          </cell>
          <cell r="DS222" t="str">
            <v/>
          </cell>
          <cell r="DT222" t="str">
            <v/>
          </cell>
          <cell r="DU222" t="str">
            <v/>
          </cell>
          <cell r="DV222" t="str">
            <v/>
          </cell>
          <cell r="DW222" t="str">
            <v/>
          </cell>
          <cell r="DX222" t="str">
            <v/>
          </cell>
          <cell r="DY222" t="str">
            <v/>
          </cell>
          <cell r="DZ222" t="str">
            <v/>
          </cell>
          <cell r="EA222" t="str">
            <v/>
          </cell>
          <cell r="EB222" t="str">
            <v/>
          </cell>
          <cell r="EC222" t="str">
            <v/>
          </cell>
          <cell r="ED222" t="str">
            <v/>
          </cell>
          <cell r="EE222" t="str">
            <v/>
          </cell>
          <cell r="EF222" t="str">
            <v/>
          </cell>
          <cell r="EG222" t="str">
            <v/>
          </cell>
          <cell r="EH222" t="str">
            <v/>
          </cell>
          <cell r="EI222" t="str">
            <v/>
          </cell>
          <cell r="EJ222" t="str">
            <v/>
          </cell>
          <cell r="EK222" t="str">
            <v/>
          </cell>
          <cell r="EL222" t="str">
            <v/>
          </cell>
          <cell r="EM222" t="str">
            <v/>
          </cell>
          <cell r="EN222" t="str">
            <v/>
          </cell>
          <cell r="EO222" t="str">
            <v/>
          </cell>
          <cell r="EP222" t="str">
            <v/>
          </cell>
          <cell r="EQ222" t="str">
            <v/>
          </cell>
          <cell r="ER222" t="str">
            <v/>
          </cell>
          <cell r="ES222" t="str">
            <v/>
          </cell>
          <cell r="ET222" t="str">
            <v/>
          </cell>
          <cell r="EU222" t="str">
            <v/>
          </cell>
          <cell r="EV222" t="str">
            <v/>
          </cell>
          <cell r="EW222" t="str">
            <v/>
          </cell>
          <cell r="EX222" t="str">
            <v/>
          </cell>
          <cell r="EY222" t="str">
            <v/>
          </cell>
          <cell r="EZ222" t="str">
            <v/>
          </cell>
          <cell r="FA222" t="str">
            <v/>
          </cell>
          <cell r="FB222" t="str">
            <v/>
          </cell>
          <cell r="FC222" t="str">
            <v/>
          </cell>
          <cell r="FD222" t="str">
            <v/>
          </cell>
          <cell r="FE222" t="str">
            <v/>
          </cell>
          <cell r="FF222" t="str">
            <v/>
          </cell>
          <cell r="FG222" t="str">
            <v/>
          </cell>
          <cell r="FH222" t="str">
            <v/>
          </cell>
          <cell r="FI222" t="str">
            <v/>
          </cell>
          <cell r="FJ222">
            <v>0</v>
          </cell>
          <cell r="FK222">
            <v>0</v>
          </cell>
          <cell r="FL222">
            <v>0</v>
          </cell>
          <cell r="FM222">
            <v>0</v>
          </cell>
          <cell r="FN222">
            <v>0</v>
          </cell>
          <cell r="FO222">
            <v>0</v>
          </cell>
          <cell r="FP222">
            <v>0</v>
          </cell>
          <cell r="FQ222">
            <v>0</v>
          </cell>
          <cell r="FR222">
            <v>0</v>
          </cell>
          <cell r="FS222">
            <v>0</v>
          </cell>
          <cell r="FT222">
            <v>0</v>
          </cell>
          <cell r="FU222">
            <v>0</v>
          </cell>
          <cell r="FV222">
            <v>0</v>
          </cell>
          <cell r="FW222">
            <v>0</v>
          </cell>
          <cell r="FX222">
            <v>0</v>
          </cell>
          <cell r="FY222">
            <v>0</v>
          </cell>
          <cell r="FZ222">
            <v>0</v>
          </cell>
          <cell r="GA222">
            <v>0</v>
          </cell>
          <cell r="GB222">
            <v>0</v>
          </cell>
        </row>
        <row r="223">
          <cell r="V223" t="str">
            <v>INK &amp; PAINT</v>
          </cell>
          <cell r="W223">
            <v>8</v>
          </cell>
          <cell r="X223">
            <v>26000</v>
          </cell>
          <cell r="Y223">
            <v>0</v>
          </cell>
          <cell r="Z223">
            <v>0</v>
          </cell>
          <cell r="AA223" t="str">
            <v/>
          </cell>
          <cell r="AB223" t="str">
            <v/>
          </cell>
          <cell r="AC223" t="str">
            <v/>
          </cell>
          <cell r="AD223" t="str">
            <v/>
          </cell>
          <cell r="AE223" t="str">
            <v/>
          </cell>
          <cell r="AF223" t="str">
            <v/>
          </cell>
          <cell r="AG223" t="str">
            <v/>
          </cell>
          <cell r="AH223" t="str">
            <v/>
          </cell>
          <cell r="AI223" t="str">
            <v/>
          </cell>
          <cell r="AJ223" t="str">
            <v/>
          </cell>
          <cell r="AK223" t="str">
            <v/>
          </cell>
          <cell r="AL223" t="str">
            <v/>
          </cell>
          <cell r="AM223" t="str">
            <v/>
          </cell>
          <cell r="AN223" t="str">
            <v/>
          </cell>
          <cell r="AO223" t="str">
            <v/>
          </cell>
          <cell r="AP223" t="str">
            <v/>
          </cell>
          <cell r="AQ223" t="str">
            <v/>
          </cell>
          <cell r="AR223" t="str">
            <v/>
          </cell>
          <cell r="AS223" t="str">
            <v/>
          </cell>
          <cell r="AT223" t="str">
            <v/>
          </cell>
          <cell r="AU223" t="str">
            <v/>
          </cell>
          <cell r="AV223" t="str">
            <v/>
          </cell>
          <cell r="AW223" t="str">
            <v/>
          </cell>
          <cell r="AX223" t="str">
            <v/>
          </cell>
          <cell r="AY223" t="str">
            <v/>
          </cell>
          <cell r="AZ223" t="str">
            <v/>
          </cell>
          <cell r="BA223" t="str">
            <v/>
          </cell>
          <cell r="BB223" t="str">
            <v/>
          </cell>
          <cell r="BC223" t="str">
            <v/>
          </cell>
          <cell r="BD223" t="str">
            <v/>
          </cell>
          <cell r="BE223" t="str">
            <v/>
          </cell>
          <cell r="BF223" t="str">
            <v/>
          </cell>
          <cell r="BG223" t="str">
            <v/>
          </cell>
          <cell r="BH223" t="str">
            <v/>
          </cell>
          <cell r="BI223" t="str">
            <v/>
          </cell>
          <cell r="BJ223" t="str">
            <v/>
          </cell>
          <cell r="BK223" t="str">
            <v/>
          </cell>
          <cell r="BL223" t="str">
            <v/>
          </cell>
          <cell r="BM223" t="str">
            <v/>
          </cell>
          <cell r="BN223" t="str">
            <v/>
          </cell>
          <cell r="BO223" t="str">
            <v/>
          </cell>
          <cell r="BP223" t="str">
            <v/>
          </cell>
          <cell r="BQ223" t="str">
            <v/>
          </cell>
          <cell r="BR223" t="str">
            <v/>
          </cell>
          <cell r="BS223" t="str">
            <v/>
          </cell>
          <cell r="BT223" t="str">
            <v/>
          </cell>
          <cell r="BU223" t="str">
            <v/>
          </cell>
          <cell r="BV223" t="str">
            <v/>
          </cell>
          <cell r="BW223" t="str">
            <v/>
          </cell>
          <cell r="BX223" t="str">
            <v/>
          </cell>
          <cell r="BY223" t="str">
            <v/>
          </cell>
          <cell r="BZ223" t="str">
            <v/>
          </cell>
          <cell r="CA223" t="str">
            <v/>
          </cell>
          <cell r="CB223" t="str">
            <v/>
          </cell>
          <cell r="CC223" t="str">
            <v/>
          </cell>
          <cell r="CD223" t="str">
            <v/>
          </cell>
          <cell r="CE223" t="str">
            <v/>
          </cell>
          <cell r="CF223" t="str">
            <v/>
          </cell>
          <cell r="CG223">
            <v>1000</v>
          </cell>
          <cell r="CH223">
            <v>2000</v>
          </cell>
          <cell r="CI223">
            <v>3000</v>
          </cell>
          <cell r="CJ223">
            <v>4000</v>
          </cell>
          <cell r="CK223">
            <v>4000</v>
          </cell>
          <cell r="CL223">
            <v>4000</v>
          </cell>
          <cell r="CM223">
            <v>4000</v>
          </cell>
          <cell r="CN223">
            <v>4000</v>
          </cell>
          <cell r="CO223" t="str">
            <v/>
          </cell>
          <cell r="CP223" t="str">
            <v/>
          </cell>
          <cell r="CQ223" t="str">
            <v/>
          </cell>
          <cell r="CR223" t="str">
            <v/>
          </cell>
          <cell r="CS223" t="str">
            <v/>
          </cell>
          <cell r="CT223" t="str">
            <v/>
          </cell>
          <cell r="CU223" t="str">
            <v/>
          </cell>
          <cell r="CV223" t="str">
            <v/>
          </cell>
          <cell r="CW223" t="str">
            <v/>
          </cell>
          <cell r="CX223" t="str">
            <v/>
          </cell>
          <cell r="CY223" t="str">
            <v/>
          </cell>
          <cell r="CZ223" t="str">
            <v/>
          </cell>
          <cell r="DA223" t="str">
            <v/>
          </cell>
          <cell r="DB223" t="str">
            <v/>
          </cell>
          <cell r="DC223" t="str">
            <v/>
          </cell>
          <cell r="DD223" t="str">
            <v/>
          </cell>
          <cell r="DE223" t="str">
            <v/>
          </cell>
          <cell r="DF223" t="str">
            <v/>
          </cell>
          <cell r="DG223" t="str">
            <v/>
          </cell>
          <cell r="DH223" t="str">
            <v/>
          </cell>
          <cell r="DI223" t="str">
            <v/>
          </cell>
          <cell r="DJ223" t="str">
            <v/>
          </cell>
          <cell r="DK223" t="str">
            <v/>
          </cell>
          <cell r="DL223" t="str">
            <v/>
          </cell>
          <cell r="DM223" t="str">
            <v/>
          </cell>
          <cell r="DN223" t="str">
            <v/>
          </cell>
          <cell r="DO223" t="str">
            <v/>
          </cell>
          <cell r="DP223" t="str">
            <v/>
          </cell>
          <cell r="DQ223" t="str">
            <v/>
          </cell>
          <cell r="DR223" t="str">
            <v/>
          </cell>
          <cell r="DS223" t="str">
            <v/>
          </cell>
          <cell r="DT223" t="str">
            <v/>
          </cell>
          <cell r="DU223" t="str">
            <v/>
          </cell>
          <cell r="DV223" t="str">
            <v/>
          </cell>
          <cell r="DW223" t="str">
            <v/>
          </cell>
          <cell r="DX223" t="str">
            <v/>
          </cell>
          <cell r="DY223" t="str">
            <v/>
          </cell>
          <cell r="DZ223" t="str">
            <v/>
          </cell>
          <cell r="EA223" t="str">
            <v/>
          </cell>
          <cell r="EB223" t="str">
            <v/>
          </cell>
          <cell r="EC223" t="str">
            <v/>
          </cell>
          <cell r="ED223" t="str">
            <v/>
          </cell>
          <cell r="EE223" t="str">
            <v/>
          </cell>
          <cell r="EF223" t="str">
            <v/>
          </cell>
          <cell r="EG223" t="str">
            <v/>
          </cell>
          <cell r="EH223" t="str">
            <v/>
          </cell>
          <cell r="EI223" t="str">
            <v/>
          </cell>
          <cell r="EJ223" t="str">
            <v/>
          </cell>
          <cell r="EK223" t="str">
            <v/>
          </cell>
          <cell r="EL223" t="str">
            <v/>
          </cell>
          <cell r="EM223" t="str">
            <v/>
          </cell>
          <cell r="EN223" t="str">
            <v/>
          </cell>
          <cell r="EO223" t="str">
            <v/>
          </cell>
          <cell r="EP223" t="str">
            <v/>
          </cell>
          <cell r="EQ223" t="str">
            <v/>
          </cell>
          <cell r="ER223" t="str">
            <v/>
          </cell>
          <cell r="ES223" t="str">
            <v/>
          </cell>
          <cell r="ET223" t="str">
            <v/>
          </cell>
          <cell r="EU223" t="str">
            <v/>
          </cell>
          <cell r="EV223" t="str">
            <v/>
          </cell>
          <cell r="EW223" t="str">
            <v/>
          </cell>
          <cell r="EX223" t="str">
            <v/>
          </cell>
          <cell r="EY223" t="str">
            <v/>
          </cell>
          <cell r="EZ223" t="str">
            <v/>
          </cell>
          <cell r="FA223" t="str">
            <v/>
          </cell>
          <cell r="FB223" t="str">
            <v/>
          </cell>
          <cell r="FC223" t="str">
            <v/>
          </cell>
          <cell r="FD223" t="str">
            <v/>
          </cell>
          <cell r="FE223" t="str">
            <v/>
          </cell>
          <cell r="FF223" t="str">
            <v/>
          </cell>
          <cell r="FG223" t="str">
            <v/>
          </cell>
          <cell r="FH223" t="str">
            <v/>
          </cell>
          <cell r="FI223" t="str">
            <v/>
          </cell>
          <cell r="FJ223">
            <v>0</v>
          </cell>
          <cell r="FK223">
            <v>0</v>
          </cell>
          <cell r="FL223">
            <v>0</v>
          </cell>
          <cell r="FM223">
            <v>0</v>
          </cell>
          <cell r="FN223">
            <v>0</v>
          </cell>
          <cell r="FO223">
            <v>0</v>
          </cell>
          <cell r="FP223">
            <v>0</v>
          </cell>
          <cell r="FQ223">
            <v>0</v>
          </cell>
          <cell r="FR223">
            <v>0</v>
          </cell>
          <cell r="FS223">
            <v>0</v>
          </cell>
          <cell r="FT223">
            <v>0</v>
          </cell>
          <cell r="FU223">
            <v>0</v>
          </cell>
          <cell r="FV223">
            <v>0</v>
          </cell>
          <cell r="FW223">
            <v>0</v>
          </cell>
          <cell r="FX223">
            <v>0</v>
          </cell>
          <cell r="FY223">
            <v>0</v>
          </cell>
          <cell r="FZ223">
            <v>0</v>
          </cell>
          <cell r="GA223">
            <v>0</v>
          </cell>
          <cell r="GB223">
            <v>0</v>
          </cell>
        </row>
        <row r="224">
          <cell r="X224" t="str">
            <v>DIRECT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3750</v>
          </cell>
          <cell r="BY224">
            <v>7500</v>
          </cell>
          <cell r="BZ224">
            <v>11250</v>
          </cell>
          <cell r="CA224">
            <v>15000</v>
          </cell>
          <cell r="CB224">
            <v>50926</v>
          </cell>
          <cell r="CC224">
            <v>50933</v>
          </cell>
          <cell r="CD224">
            <v>50940</v>
          </cell>
          <cell r="CE224">
            <v>69697</v>
          </cell>
          <cell r="CF224">
            <v>88454</v>
          </cell>
          <cell r="CG224">
            <v>129172</v>
          </cell>
          <cell r="CH224">
            <v>148936</v>
          </cell>
          <cell r="CI224">
            <v>149950</v>
          </cell>
          <cell r="CJ224">
            <v>150964</v>
          </cell>
          <cell r="CK224">
            <v>150978</v>
          </cell>
          <cell r="CL224">
            <v>150992</v>
          </cell>
          <cell r="CM224">
            <v>40003</v>
          </cell>
          <cell r="CN224">
            <v>40010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D224">
            <v>0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>
            <v>0</v>
          </cell>
          <cell r="DS224">
            <v>0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>
            <v>0</v>
          </cell>
          <cell r="EC224">
            <v>0</v>
          </cell>
          <cell r="ED224">
            <v>0</v>
          </cell>
          <cell r="EE224">
            <v>0</v>
          </cell>
          <cell r="EF224">
            <v>0</v>
          </cell>
          <cell r="EG224">
            <v>0</v>
          </cell>
          <cell r="EH224">
            <v>0</v>
          </cell>
          <cell r="EI224">
            <v>0</v>
          </cell>
          <cell r="EJ224">
            <v>0</v>
          </cell>
          <cell r="EK224">
            <v>0</v>
          </cell>
          <cell r="EL224">
            <v>0</v>
          </cell>
          <cell r="EM224">
            <v>0</v>
          </cell>
          <cell r="EN224">
            <v>0</v>
          </cell>
          <cell r="EO224">
            <v>0</v>
          </cell>
          <cell r="EP224">
            <v>0</v>
          </cell>
          <cell r="EQ224">
            <v>0</v>
          </cell>
          <cell r="ER224">
            <v>0</v>
          </cell>
          <cell r="ES224">
            <v>0</v>
          </cell>
          <cell r="ET224">
            <v>0</v>
          </cell>
          <cell r="EU224">
            <v>0</v>
          </cell>
          <cell r="EV224">
            <v>0</v>
          </cell>
          <cell r="EW224">
            <v>0</v>
          </cell>
          <cell r="EX224">
            <v>0</v>
          </cell>
          <cell r="EY224">
            <v>0</v>
          </cell>
          <cell r="EZ224">
            <v>0</v>
          </cell>
          <cell r="FA224">
            <v>0</v>
          </cell>
          <cell r="FB224">
            <v>0</v>
          </cell>
          <cell r="FC224">
            <v>0</v>
          </cell>
          <cell r="FD224">
            <v>0</v>
          </cell>
          <cell r="FE224">
            <v>0</v>
          </cell>
          <cell r="FF224">
            <v>0</v>
          </cell>
          <cell r="FG224">
            <v>0</v>
          </cell>
          <cell r="FH224">
            <v>0</v>
          </cell>
          <cell r="FI224">
            <v>0</v>
          </cell>
          <cell r="FJ224">
            <v>0</v>
          </cell>
          <cell r="FK224">
            <v>0</v>
          </cell>
          <cell r="FL224">
            <v>0</v>
          </cell>
          <cell r="FM224">
            <v>0</v>
          </cell>
          <cell r="FN224">
            <v>0</v>
          </cell>
          <cell r="FO224">
            <v>0</v>
          </cell>
          <cell r="FP224">
            <v>0</v>
          </cell>
          <cell r="FQ224">
            <v>0</v>
          </cell>
          <cell r="FR224">
            <v>0</v>
          </cell>
          <cell r="FS224">
            <v>0</v>
          </cell>
          <cell r="FT224">
            <v>0</v>
          </cell>
          <cell r="FU224">
            <v>0</v>
          </cell>
          <cell r="FV224">
            <v>0</v>
          </cell>
          <cell r="FW224">
            <v>0</v>
          </cell>
          <cell r="FX224">
            <v>0</v>
          </cell>
          <cell r="FY224">
            <v>0</v>
          </cell>
          <cell r="FZ224">
            <v>0</v>
          </cell>
          <cell r="GA224">
            <v>0</v>
          </cell>
          <cell r="GB224">
            <v>0</v>
          </cell>
        </row>
        <row r="225">
          <cell r="X225" t="str">
            <v>DIRECT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3750</v>
          </cell>
          <cell r="BY225">
            <v>7500</v>
          </cell>
          <cell r="BZ225">
            <v>11250</v>
          </cell>
          <cell r="CA225">
            <v>15000</v>
          </cell>
          <cell r="CB225">
            <v>50926</v>
          </cell>
          <cell r="CC225">
            <v>50933</v>
          </cell>
          <cell r="CD225">
            <v>50940</v>
          </cell>
          <cell r="CE225">
            <v>69697</v>
          </cell>
          <cell r="CF225">
            <v>88454</v>
          </cell>
          <cell r="CG225">
            <v>129172</v>
          </cell>
          <cell r="CH225">
            <v>148936</v>
          </cell>
          <cell r="CI225">
            <v>149950</v>
          </cell>
          <cell r="CJ225">
            <v>150964</v>
          </cell>
          <cell r="CK225">
            <v>150978</v>
          </cell>
          <cell r="CL225">
            <v>150992</v>
          </cell>
          <cell r="CM225">
            <v>40003</v>
          </cell>
          <cell r="CN225">
            <v>40010</v>
          </cell>
          <cell r="CO225">
            <v>0</v>
          </cell>
          <cell r="CP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0</v>
          </cell>
          <cell r="DA225">
            <v>0</v>
          </cell>
          <cell r="DB225">
            <v>0</v>
          </cell>
          <cell r="DC225">
            <v>0</v>
          </cell>
          <cell r="DD225">
            <v>0</v>
          </cell>
          <cell r="DE225">
            <v>0</v>
          </cell>
          <cell r="DF225">
            <v>0</v>
          </cell>
          <cell r="DG225">
            <v>0</v>
          </cell>
          <cell r="DH225">
            <v>0</v>
          </cell>
          <cell r="DI225">
            <v>0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>
            <v>0</v>
          </cell>
          <cell r="DS225">
            <v>0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A225">
            <v>0</v>
          </cell>
          <cell r="EB225">
            <v>0</v>
          </cell>
          <cell r="EC225">
            <v>0</v>
          </cell>
          <cell r="ED225">
            <v>0</v>
          </cell>
          <cell r="EE225">
            <v>0</v>
          </cell>
          <cell r="EF225">
            <v>0</v>
          </cell>
          <cell r="EG225">
            <v>0</v>
          </cell>
          <cell r="EH225">
            <v>0</v>
          </cell>
          <cell r="EI225">
            <v>0</v>
          </cell>
          <cell r="EJ225">
            <v>0</v>
          </cell>
          <cell r="EK225">
            <v>0</v>
          </cell>
          <cell r="EL225">
            <v>0</v>
          </cell>
          <cell r="EM225">
            <v>0</v>
          </cell>
          <cell r="EN225">
            <v>0</v>
          </cell>
          <cell r="EO225">
            <v>0</v>
          </cell>
          <cell r="EP225">
            <v>0</v>
          </cell>
          <cell r="EQ225">
            <v>0</v>
          </cell>
          <cell r="ER225">
            <v>0</v>
          </cell>
          <cell r="ES225">
            <v>0</v>
          </cell>
          <cell r="ET225">
            <v>0</v>
          </cell>
          <cell r="EU225">
            <v>0</v>
          </cell>
          <cell r="EV225">
            <v>0</v>
          </cell>
          <cell r="EW225">
            <v>0</v>
          </cell>
          <cell r="EX225">
            <v>0</v>
          </cell>
          <cell r="EY225">
            <v>0</v>
          </cell>
          <cell r="EZ225">
            <v>0</v>
          </cell>
          <cell r="FA225">
            <v>0</v>
          </cell>
          <cell r="FB225">
            <v>0</v>
          </cell>
          <cell r="FC225">
            <v>0</v>
          </cell>
          <cell r="FD225">
            <v>0</v>
          </cell>
          <cell r="FE225">
            <v>0</v>
          </cell>
          <cell r="FF225">
            <v>0</v>
          </cell>
          <cell r="FG225">
            <v>0</v>
          </cell>
          <cell r="FH225">
            <v>0</v>
          </cell>
          <cell r="FI225">
            <v>0</v>
          </cell>
          <cell r="FJ225">
            <v>0</v>
          </cell>
          <cell r="FK225">
            <v>0</v>
          </cell>
          <cell r="FL225">
            <v>0</v>
          </cell>
          <cell r="FM225">
            <v>0</v>
          </cell>
          <cell r="FN225">
            <v>0</v>
          </cell>
          <cell r="FO225">
            <v>0</v>
          </cell>
          <cell r="FP225">
            <v>0</v>
          </cell>
          <cell r="FQ225">
            <v>0</v>
          </cell>
          <cell r="FR225">
            <v>0</v>
          </cell>
          <cell r="FS225">
            <v>0</v>
          </cell>
          <cell r="FT225">
            <v>0</v>
          </cell>
          <cell r="FU225">
            <v>0</v>
          </cell>
          <cell r="FV225">
            <v>0</v>
          </cell>
          <cell r="FW225">
            <v>0</v>
          </cell>
          <cell r="FX225">
            <v>0</v>
          </cell>
          <cell r="FY225">
            <v>0</v>
          </cell>
          <cell r="FZ225">
            <v>0</v>
          </cell>
          <cell r="GA225">
            <v>0</v>
          </cell>
          <cell r="GB225">
            <v>0</v>
          </cell>
        </row>
        <row r="226">
          <cell r="X226" t="str">
            <v>LOADED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5062.5</v>
          </cell>
          <cell r="BY226">
            <v>10125</v>
          </cell>
          <cell r="BZ226">
            <v>15187.5</v>
          </cell>
          <cell r="CA226">
            <v>20250</v>
          </cell>
          <cell r="CB226">
            <v>68750.100000000006</v>
          </cell>
          <cell r="CC226">
            <v>68759.55</v>
          </cell>
          <cell r="CD226">
            <v>68769</v>
          </cell>
          <cell r="CE226">
            <v>94090.95</v>
          </cell>
          <cell r="CF226">
            <v>119412.9</v>
          </cell>
          <cell r="CG226">
            <v>174382.2</v>
          </cell>
          <cell r="CH226">
            <v>201063.6</v>
          </cell>
          <cell r="CI226">
            <v>202432.5</v>
          </cell>
          <cell r="CJ226">
            <v>203801.4</v>
          </cell>
          <cell r="CK226">
            <v>203820.3</v>
          </cell>
          <cell r="CL226">
            <v>203839.2</v>
          </cell>
          <cell r="CM226">
            <v>54004.05</v>
          </cell>
          <cell r="CN226">
            <v>54013.5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B226">
            <v>0</v>
          </cell>
          <cell r="DC226">
            <v>0</v>
          </cell>
          <cell r="DD226">
            <v>0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  <cell r="ED226">
            <v>0</v>
          </cell>
          <cell r="EE226">
            <v>0</v>
          </cell>
          <cell r="EF226">
            <v>0</v>
          </cell>
          <cell r="EG226">
            <v>0</v>
          </cell>
          <cell r="EH226">
            <v>0</v>
          </cell>
          <cell r="EI226">
            <v>0</v>
          </cell>
          <cell r="EJ226">
            <v>0</v>
          </cell>
          <cell r="EK226">
            <v>0</v>
          </cell>
          <cell r="EL226">
            <v>0</v>
          </cell>
          <cell r="EM226">
            <v>0</v>
          </cell>
          <cell r="EN226">
            <v>0</v>
          </cell>
          <cell r="EO226">
            <v>0</v>
          </cell>
          <cell r="EP226">
            <v>0</v>
          </cell>
          <cell r="EQ226">
            <v>0</v>
          </cell>
          <cell r="ER226">
            <v>0</v>
          </cell>
          <cell r="ES226">
            <v>0</v>
          </cell>
          <cell r="ET226">
            <v>0</v>
          </cell>
          <cell r="EU226">
            <v>0</v>
          </cell>
          <cell r="EV226">
            <v>0</v>
          </cell>
          <cell r="EW226">
            <v>0</v>
          </cell>
          <cell r="EX226">
            <v>0</v>
          </cell>
          <cell r="EY226">
            <v>0</v>
          </cell>
          <cell r="EZ226">
            <v>0</v>
          </cell>
          <cell r="FA226">
            <v>0</v>
          </cell>
          <cell r="FB226">
            <v>0</v>
          </cell>
          <cell r="FC226">
            <v>0</v>
          </cell>
          <cell r="FD226">
            <v>0</v>
          </cell>
          <cell r="FE226">
            <v>0</v>
          </cell>
          <cell r="FF226">
            <v>0</v>
          </cell>
          <cell r="FG226">
            <v>0</v>
          </cell>
          <cell r="FH226">
            <v>0</v>
          </cell>
          <cell r="FI226">
            <v>0</v>
          </cell>
          <cell r="FJ226">
            <v>0</v>
          </cell>
          <cell r="FK226">
            <v>0</v>
          </cell>
          <cell r="FL226">
            <v>0</v>
          </cell>
          <cell r="FM226">
            <v>0</v>
          </cell>
          <cell r="FN226">
            <v>0</v>
          </cell>
          <cell r="FO226">
            <v>0</v>
          </cell>
          <cell r="FP226">
            <v>0</v>
          </cell>
          <cell r="FQ226">
            <v>0</v>
          </cell>
          <cell r="FR226">
            <v>0</v>
          </cell>
          <cell r="FS226">
            <v>0</v>
          </cell>
          <cell r="FT226">
            <v>0</v>
          </cell>
          <cell r="FU226">
            <v>0</v>
          </cell>
          <cell r="FV226">
            <v>0</v>
          </cell>
          <cell r="FW226">
            <v>0</v>
          </cell>
          <cell r="FX226">
            <v>0</v>
          </cell>
          <cell r="FY226">
            <v>0</v>
          </cell>
          <cell r="FZ226">
            <v>0</v>
          </cell>
          <cell r="GA226">
            <v>0</v>
          </cell>
          <cell r="GB226">
            <v>0</v>
          </cell>
        </row>
        <row r="227">
          <cell r="V227" t="str">
            <v>PROJECTED RTM</v>
          </cell>
          <cell r="W227">
            <v>0</v>
          </cell>
          <cell r="X227" t="str">
            <v>CUMULATIVE TO DATE</v>
          </cell>
          <cell r="Y227">
            <v>119</v>
          </cell>
          <cell r="Z227">
            <v>43.220141999999996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5062.5</v>
          </cell>
          <cell r="BY227">
            <v>10125</v>
          </cell>
          <cell r="BZ227">
            <v>15187.5</v>
          </cell>
          <cell r="CA227">
            <v>20250</v>
          </cell>
          <cell r="CB227">
            <v>68750.100000000006</v>
          </cell>
          <cell r="CC227">
            <v>68759.55</v>
          </cell>
          <cell r="CD227">
            <v>68769</v>
          </cell>
          <cell r="CE227">
            <v>94090.95</v>
          </cell>
          <cell r="CF227">
            <v>119412.9</v>
          </cell>
          <cell r="CG227">
            <v>174382.2</v>
          </cell>
          <cell r="CH227">
            <v>201063.6</v>
          </cell>
          <cell r="CI227">
            <v>202432.5</v>
          </cell>
          <cell r="CJ227">
            <v>203801.4</v>
          </cell>
          <cell r="CK227">
            <v>203820.3</v>
          </cell>
          <cell r="CL227">
            <v>203839.2</v>
          </cell>
          <cell r="CM227">
            <v>54004.05</v>
          </cell>
          <cell r="CN227">
            <v>54013.5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  <cell r="DD227">
            <v>0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G227">
            <v>0</v>
          </cell>
          <cell r="EH227">
            <v>0</v>
          </cell>
          <cell r="EI227">
            <v>0</v>
          </cell>
          <cell r="EJ227">
            <v>0</v>
          </cell>
          <cell r="EK227">
            <v>0</v>
          </cell>
          <cell r="EL227">
            <v>0</v>
          </cell>
          <cell r="EM227">
            <v>0</v>
          </cell>
          <cell r="EN227">
            <v>0</v>
          </cell>
          <cell r="EO227">
            <v>0</v>
          </cell>
          <cell r="EP227">
            <v>0</v>
          </cell>
          <cell r="EQ227">
            <v>0</v>
          </cell>
          <cell r="ER227">
            <v>0</v>
          </cell>
          <cell r="ES227">
            <v>0</v>
          </cell>
          <cell r="ET227">
            <v>0</v>
          </cell>
          <cell r="EU227">
            <v>0</v>
          </cell>
          <cell r="EV227">
            <v>0</v>
          </cell>
          <cell r="EW227">
            <v>0</v>
          </cell>
          <cell r="EX227">
            <v>0</v>
          </cell>
          <cell r="EY227">
            <v>0</v>
          </cell>
          <cell r="EZ227">
            <v>0</v>
          </cell>
          <cell r="FA227">
            <v>0</v>
          </cell>
          <cell r="FB227">
            <v>0</v>
          </cell>
          <cell r="FC227">
            <v>0</v>
          </cell>
          <cell r="FD227">
            <v>0</v>
          </cell>
          <cell r="FE227">
            <v>0</v>
          </cell>
          <cell r="FF227">
            <v>0</v>
          </cell>
          <cell r="FG227">
            <v>0</v>
          </cell>
          <cell r="FH227">
            <v>0</v>
          </cell>
          <cell r="FI227">
            <v>0</v>
          </cell>
          <cell r="FJ227">
            <v>0</v>
          </cell>
          <cell r="FK227">
            <v>0</v>
          </cell>
          <cell r="FL227">
            <v>0</v>
          </cell>
          <cell r="FM227">
            <v>0</v>
          </cell>
          <cell r="FN227">
            <v>0</v>
          </cell>
          <cell r="FO227">
            <v>0</v>
          </cell>
          <cell r="FP227">
            <v>0</v>
          </cell>
          <cell r="FQ227">
            <v>0</v>
          </cell>
          <cell r="FR227">
            <v>0</v>
          </cell>
          <cell r="FS227">
            <v>0</v>
          </cell>
          <cell r="FT227">
            <v>0</v>
          </cell>
          <cell r="FU227">
            <v>0</v>
          </cell>
          <cell r="FV227">
            <v>0</v>
          </cell>
          <cell r="FW227">
            <v>0</v>
          </cell>
          <cell r="FX227">
            <v>0</v>
          </cell>
          <cell r="FY227">
            <v>0</v>
          </cell>
          <cell r="FZ227">
            <v>0</v>
          </cell>
        </row>
        <row r="228">
          <cell r="V228" t="str">
            <v>PROJECTED RTM</v>
          </cell>
          <cell r="W228">
            <v>0</v>
          </cell>
          <cell r="X228">
            <v>36092.220141999998</v>
          </cell>
          <cell r="Y228">
            <v>119</v>
          </cell>
          <cell r="Z228">
            <v>43.220141999999996</v>
          </cell>
          <cell r="AA228" t="str">
            <v/>
          </cell>
          <cell r="AB228" t="str">
            <v/>
          </cell>
          <cell r="AC228" t="str">
            <v/>
          </cell>
          <cell r="AD228" t="str">
            <v/>
          </cell>
          <cell r="AE228" t="str">
            <v/>
          </cell>
          <cell r="AF228" t="str">
            <v/>
          </cell>
          <cell r="AG228" t="str">
            <v/>
          </cell>
          <cell r="AH228" t="str">
            <v/>
          </cell>
          <cell r="AI228" t="str">
            <v/>
          </cell>
          <cell r="AJ228" t="str">
            <v/>
          </cell>
          <cell r="AK228" t="str">
            <v/>
          </cell>
          <cell r="AL228" t="str">
            <v/>
          </cell>
          <cell r="AM228" t="str">
            <v/>
          </cell>
          <cell r="AN228" t="str">
            <v/>
          </cell>
          <cell r="AO228" t="str">
            <v/>
          </cell>
          <cell r="AP228" t="str">
            <v/>
          </cell>
          <cell r="AQ228" t="str">
            <v/>
          </cell>
          <cell r="AR228" t="str">
            <v/>
          </cell>
          <cell r="AS228" t="str">
            <v/>
          </cell>
          <cell r="AT228" t="str">
            <v/>
          </cell>
          <cell r="AU228" t="str">
            <v/>
          </cell>
          <cell r="AV228" t="str">
            <v/>
          </cell>
          <cell r="AW228" t="str">
            <v/>
          </cell>
          <cell r="AX228" t="str">
            <v/>
          </cell>
          <cell r="AY228" t="str">
            <v/>
          </cell>
          <cell r="AZ228" t="str">
            <v/>
          </cell>
          <cell r="BA228" t="str">
            <v/>
          </cell>
          <cell r="BB228" t="str">
            <v/>
          </cell>
          <cell r="BC228" t="str">
            <v/>
          </cell>
          <cell r="BD228" t="str">
            <v/>
          </cell>
          <cell r="BE228" t="str">
            <v/>
          </cell>
          <cell r="BF228" t="str">
            <v/>
          </cell>
          <cell r="BG228" t="str">
            <v/>
          </cell>
          <cell r="BH228" t="str">
            <v/>
          </cell>
          <cell r="BI228" t="str">
            <v/>
          </cell>
          <cell r="BJ228" t="str">
            <v/>
          </cell>
          <cell r="BK228" t="str">
            <v/>
          </cell>
          <cell r="BL228" t="str">
            <v/>
          </cell>
          <cell r="BM228" t="str">
            <v/>
          </cell>
          <cell r="BN228" t="str">
            <v/>
          </cell>
          <cell r="BO228" t="str">
            <v/>
          </cell>
          <cell r="BP228" t="str">
            <v/>
          </cell>
          <cell r="BQ228" t="str">
            <v/>
          </cell>
          <cell r="BR228" t="str">
            <v/>
          </cell>
          <cell r="BS228" t="str">
            <v/>
          </cell>
          <cell r="BT228" t="str">
            <v/>
          </cell>
          <cell r="BU228" t="str">
            <v/>
          </cell>
          <cell r="BV228" t="str">
            <v/>
          </cell>
          <cell r="BW228" t="str">
            <v/>
          </cell>
          <cell r="BX228" t="str">
            <v/>
          </cell>
          <cell r="BY228" t="str">
            <v/>
          </cell>
          <cell r="BZ228" t="str">
            <v/>
          </cell>
          <cell r="CA228" t="str">
            <v/>
          </cell>
          <cell r="CB228" t="str">
            <v/>
          </cell>
          <cell r="CC228" t="str">
            <v/>
          </cell>
          <cell r="CD228" t="str">
            <v/>
          </cell>
          <cell r="CE228" t="str">
            <v/>
          </cell>
          <cell r="CF228" t="str">
            <v/>
          </cell>
          <cell r="CG228" t="str">
            <v/>
          </cell>
          <cell r="CH228" t="str">
            <v/>
          </cell>
          <cell r="CI228" t="str">
            <v/>
          </cell>
          <cell r="CJ228" t="str">
            <v/>
          </cell>
          <cell r="CK228" t="str">
            <v/>
          </cell>
          <cell r="CL228" t="str">
            <v/>
          </cell>
          <cell r="CM228" t="str">
            <v/>
          </cell>
          <cell r="CN228" t="str">
            <v/>
          </cell>
          <cell r="CO228" t="str">
            <v/>
          </cell>
          <cell r="CP228" t="str">
            <v/>
          </cell>
          <cell r="CQ228" t="str">
            <v/>
          </cell>
          <cell r="CR228" t="str">
            <v/>
          </cell>
          <cell r="CS228" t="str">
            <v/>
          </cell>
          <cell r="CT228" t="str">
            <v/>
          </cell>
          <cell r="CU228" t="str">
            <v/>
          </cell>
          <cell r="CV228" t="str">
            <v/>
          </cell>
          <cell r="CW228" t="str">
            <v/>
          </cell>
          <cell r="CX228" t="str">
            <v/>
          </cell>
          <cell r="CY228" t="str">
            <v/>
          </cell>
          <cell r="CZ228" t="str">
            <v/>
          </cell>
          <cell r="DA228" t="str">
            <v/>
          </cell>
          <cell r="DB228" t="str">
            <v/>
          </cell>
          <cell r="DC228" t="str">
            <v/>
          </cell>
          <cell r="DD228" t="str">
            <v/>
          </cell>
          <cell r="DE228" t="str">
            <v/>
          </cell>
          <cell r="DF228" t="str">
            <v/>
          </cell>
          <cell r="DG228" t="str">
            <v/>
          </cell>
          <cell r="DH228" t="str">
            <v/>
          </cell>
          <cell r="DI228" t="str">
            <v/>
          </cell>
          <cell r="DJ228" t="str">
            <v/>
          </cell>
          <cell r="DK228" t="str">
            <v/>
          </cell>
          <cell r="DL228" t="str">
            <v/>
          </cell>
          <cell r="DM228" t="str">
            <v/>
          </cell>
          <cell r="DN228" t="str">
            <v/>
          </cell>
          <cell r="DO228" t="str">
            <v/>
          </cell>
          <cell r="DP228" t="str">
            <v/>
          </cell>
          <cell r="DQ228" t="str">
            <v/>
          </cell>
          <cell r="DR228" t="str">
            <v/>
          </cell>
          <cell r="DS228" t="str">
            <v/>
          </cell>
          <cell r="DT228" t="str">
            <v/>
          </cell>
          <cell r="DU228" t="str">
            <v/>
          </cell>
          <cell r="DV228" t="str">
            <v/>
          </cell>
          <cell r="DW228" t="str">
            <v/>
          </cell>
          <cell r="DX228" t="str">
            <v/>
          </cell>
          <cell r="DY228" t="str">
            <v/>
          </cell>
          <cell r="DZ228" t="str">
            <v/>
          </cell>
          <cell r="EA228" t="str">
            <v/>
          </cell>
          <cell r="EB228" t="str">
            <v/>
          </cell>
          <cell r="EC228" t="str">
            <v/>
          </cell>
          <cell r="ED228" t="str">
            <v/>
          </cell>
          <cell r="EE228" t="str">
            <v/>
          </cell>
          <cell r="EF228" t="str">
            <v/>
          </cell>
          <cell r="EG228" t="str">
            <v/>
          </cell>
          <cell r="EH228" t="str">
            <v/>
          </cell>
          <cell r="EI228" t="str">
            <v/>
          </cell>
          <cell r="EJ228" t="str">
            <v/>
          </cell>
          <cell r="EK228" t="str">
            <v/>
          </cell>
          <cell r="EL228" t="str">
            <v/>
          </cell>
          <cell r="EM228" t="str">
            <v/>
          </cell>
          <cell r="EN228" t="str">
            <v/>
          </cell>
          <cell r="EO228" t="str">
            <v/>
          </cell>
          <cell r="EP228" t="str">
            <v/>
          </cell>
          <cell r="EQ228" t="str">
            <v/>
          </cell>
          <cell r="ER228" t="str">
            <v/>
          </cell>
          <cell r="ES228" t="str">
            <v/>
          </cell>
          <cell r="ET228" t="str">
            <v/>
          </cell>
          <cell r="EU228" t="str">
            <v/>
          </cell>
          <cell r="EV228" t="str">
            <v/>
          </cell>
        </row>
        <row r="229">
          <cell r="V229" t="str">
            <v>PROJECTED STREET</v>
          </cell>
          <cell r="W229">
            <v>0</v>
          </cell>
          <cell r="X229">
            <v>36122.220141999998</v>
          </cell>
          <cell r="Y229">
            <v>0</v>
          </cell>
          <cell r="Z229">
            <v>0</v>
          </cell>
          <cell r="AA229" t="str">
            <v/>
          </cell>
          <cell r="AB229" t="str">
            <v/>
          </cell>
          <cell r="AC229" t="str">
            <v/>
          </cell>
          <cell r="AD229" t="str">
            <v/>
          </cell>
          <cell r="AE229" t="str">
            <v/>
          </cell>
          <cell r="AF229" t="str">
            <v/>
          </cell>
          <cell r="AG229" t="str">
            <v/>
          </cell>
          <cell r="AH229" t="str">
            <v/>
          </cell>
          <cell r="AI229" t="str">
            <v/>
          </cell>
          <cell r="AJ229" t="str">
            <v/>
          </cell>
          <cell r="AK229" t="str">
            <v/>
          </cell>
          <cell r="AL229" t="str">
            <v/>
          </cell>
          <cell r="AM229" t="str">
            <v/>
          </cell>
          <cell r="AN229" t="str">
            <v/>
          </cell>
          <cell r="AO229" t="str">
            <v/>
          </cell>
          <cell r="AP229" t="str">
            <v/>
          </cell>
          <cell r="AQ229" t="str">
            <v/>
          </cell>
          <cell r="AR229" t="str">
            <v/>
          </cell>
          <cell r="AS229" t="str">
            <v/>
          </cell>
          <cell r="AT229" t="str">
            <v/>
          </cell>
          <cell r="AU229" t="str">
            <v/>
          </cell>
          <cell r="AV229" t="str">
            <v/>
          </cell>
          <cell r="AW229" t="str">
            <v/>
          </cell>
          <cell r="AX229" t="str">
            <v/>
          </cell>
          <cell r="AY229" t="str">
            <v/>
          </cell>
          <cell r="AZ229" t="str">
            <v/>
          </cell>
          <cell r="BA229" t="str">
            <v/>
          </cell>
          <cell r="BB229" t="str">
            <v/>
          </cell>
          <cell r="BC229" t="str">
            <v/>
          </cell>
          <cell r="BD229" t="str">
            <v/>
          </cell>
          <cell r="BE229" t="str">
            <v/>
          </cell>
          <cell r="BF229" t="str">
            <v/>
          </cell>
          <cell r="BG229" t="str">
            <v/>
          </cell>
          <cell r="BH229" t="str">
            <v/>
          </cell>
          <cell r="BI229" t="str">
            <v/>
          </cell>
          <cell r="BJ229" t="str">
            <v/>
          </cell>
          <cell r="BK229" t="str">
            <v/>
          </cell>
          <cell r="BL229" t="str">
            <v/>
          </cell>
          <cell r="BM229" t="str">
            <v/>
          </cell>
          <cell r="BN229" t="str">
            <v/>
          </cell>
          <cell r="BO229" t="str">
            <v/>
          </cell>
          <cell r="BP229" t="str">
            <v/>
          </cell>
          <cell r="BQ229" t="str">
            <v/>
          </cell>
          <cell r="BR229" t="str">
            <v/>
          </cell>
          <cell r="BS229" t="str">
            <v/>
          </cell>
          <cell r="BT229" t="str">
            <v/>
          </cell>
          <cell r="BU229" t="str">
            <v/>
          </cell>
          <cell r="BV229" t="str">
            <v/>
          </cell>
          <cell r="BW229" t="str">
            <v/>
          </cell>
          <cell r="BX229" t="str">
            <v/>
          </cell>
          <cell r="BY229" t="str">
            <v/>
          </cell>
          <cell r="BZ229" t="str">
            <v/>
          </cell>
          <cell r="CA229" t="str">
            <v/>
          </cell>
          <cell r="CB229" t="str">
            <v/>
          </cell>
          <cell r="CC229" t="str">
            <v/>
          </cell>
          <cell r="CD229" t="str">
            <v/>
          </cell>
          <cell r="CE229" t="str">
            <v/>
          </cell>
          <cell r="CF229" t="str">
            <v/>
          </cell>
          <cell r="CG229" t="str">
            <v/>
          </cell>
          <cell r="CH229" t="str">
            <v/>
          </cell>
          <cell r="CI229" t="str">
            <v/>
          </cell>
          <cell r="CJ229" t="str">
            <v/>
          </cell>
          <cell r="CK229" t="str">
            <v/>
          </cell>
          <cell r="CL229" t="str">
            <v/>
          </cell>
          <cell r="CM229" t="str">
            <v/>
          </cell>
          <cell r="CN229" t="str">
            <v/>
          </cell>
          <cell r="CO229" t="str">
            <v/>
          </cell>
          <cell r="CP229" t="str">
            <v/>
          </cell>
          <cell r="CQ229" t="str">
            <v/>
          </cell>
          <cell r="CR229" t="str">
            <v/>
          </cell>
          <cell r="CS229" t="str">
            <v/>
          </cell>
          <cell r="CT229" t="str">
            <v/>
          </cell>
          <cell r="CU229" t="str">
            <v/>
          </cell>
          <cell r="CV229" t="str">
            <v/>
          </cell>
          <cell r="CW229" t="str">
            <v/>
          </cell>
          <cell r="CX229" t="str">
            <v/>
          </cell>
          <cell r="CY229" t="str">
            <v/>
          </cell>
          <cell r="CZ229" t="str">
            <v/>
          </cell>
          <cell r="DA229" t="str">
            <v/>
          </cell>
          <cell r="DB229" t="str">
            <v/>
          </cell>
          <cell r="DC229" t="str">
            <v/>
          </cell>
          <cell r="DD229" t="str">
            <v/>
          </cell>
          <cell r="DE229" t="str">
            <v/>
          </cell>
          <cell r="DF229" t="str">
            <v/>
          </cell>
          <cell r="DG229" t="str">
            <v/>
          </cell>
          <cell r="DH229" t="str">
            <v/>
          </cell>
          <cell r="DI229" t="str">
            <v/>
          </cell>
          <cell r="DJ229" t="str">
            <v/>
          </cell>
          <cell r="DK229" t="str">
            <v/>
          </cell>
          <cell r="DL229" t="str">
            <v/>
          </cell>
          <cell r="DM229" t="str">
            <v/>
          </cell>
          <cell r="DN229" t="str">
            <v/>
          </cell>
          <cell r="DO229" t="str">
            <v/>
          </cell>
          <cell r="DP229" t="str">
            <v/>
          </cell>
          <cell r="DQ229" t="str">
            <v/>
          </cell>
          <cell r="DR229" t="str">
            <v/>
          </cell>
          <cell r="DS229" t="str">
            <v/>
          </cell>
          <cell r="DT229" t="str">
            <v/>
          </cell>
          <cell r="DU229" t="str">
            <v/>
          </cell>
          <cell r="DV229" t="str">
            <v/>
          </cell>
          <cell r="DW229" t="str">
            <v/>
          </cell>
          <cell r="DX229" t="str">
            <v/>
          </cell>
          <cell r="DY229" t="str">
            <v/>
          </cell>
          <cell r="DZ229" t="str">
            <v/>
          </cell>
          <cell r="EA229" t="str">
            <v/>
          </cell>
          <cell r="EB229" t="str">
            <v/>
          </cell>
          <cell r="EC229" t="str">
            <v/>
          </cell>
          <cell r="ED229" t="str">
            <v/>
          </cell>
          <cell r="EE229" t="str">
            <v/>
          </cell>
          <cell r="EF229" t="str">
            <v/>
          </cell>
          <cell r="EG229" t="str">
            <v/>
          </cell>
          <cell r="EH229" t="str">
            <v/>
          </cell>
          <cell r="EI229" t="str">
            <v/>
          </cell>
          <cell r="EJ229" t="str">
            <v/>
          </cell>
          <cell r="EK229" t="str">
            <v/>
          </cell>
          <cell r="EL229" t="str">
            <v/>
          </cell>
          <cell r="EM229" t="str">
            <v/>
          </cell>
          <cell r="EN229" t="str">
            <v/>
          </cell>
          <cell r="EO229" t="str">
            <v/>
          </cell>
          <cell r="EP229" t="str">
            <v/>
          </cell>
          <cell r="EQ229" t="str">
            <v/>
          </cell>
          <cell r="ER229" t="str">
            <v/>
          </cell>
          <cell r="ES229" t="str">
            <v/>
          </cell>
          <cell r="ET229" t="str">
            <v/>
          </cell>
          <cell r="EU229" t="str">
            <v/>
          </cell>
          <cell r="EV229" t="str">
            <v/>
          </cell>
        </row>
        <row r="230">
          <cell r="V230" t="str">
            <v>+ or - Scheduled Date</v>
          </cell>
          <cell r="W230">
            <v>0</v>
          </cell>
          <cell r="X230">
            <v>-22.220141999998305</v>
          </cell>
        </row>
        <row r="231">
          <cell r="N231" t="str">
            <v>ENGINEERING</v>
          </cell>
          <cell r="O231">
            <v>0</v>
          </cell>
          <cell r="P231">
            <v>0</v>
          </cell>
          <cell r="Q231">
            <v>0</v>
          </cell>
          <cell r="R231" t="str">
            <v>LEARNING QUEST II</v>
          </cell>
          <cell r="S231">
            <v>0</v>
          </cell>
          <cell r="T231">
            <v>0</v>
          </cell>
          <cell r="U231">
            <v>0</v>
          </cell>
          <cell r="V231" t="str">
            <v>START DATE</v>
          </cell>
          <cell r="W231" t="str">
            <v>END     DATE</v>
          </cell>
          <cell r="X231">
            <v>7000</v>
          </cell>
          <cell r="Y231" t="str">
            <v>WK Count</v>
          </cell>
          <cell r="Z231" t="str">
            <v>Total Days</v>
          </cell>
        </row>
        <row r="232">
          <cell r="N232" t="str">
            <v>ENGINEERING</v>
          </cell>
          <cell r="O232">
            <v>0</v>
          </cell>
          <cell r="P232">
            <v>0</v>
          </cell>
          <cell r="Q232">
            <v>0</v>
          </cell>
          <cell r="R232" t="str">
            <v>LEARNING QUEST II</v>
          </cell>
          <cell r="S232">
            <v>0</v>
          </cell>
          <cell r="T232" t="str">
            <v>ANIMATION PRODUCTION</v>
          </cell>
          <cell r="U232">
            <v>0</v>
          </cell>
          <cell r="V232" t="str">
            <v>START DATE</v>
          </cell>
          <cell r="W232" t="str">
            <v>END     DATE</v>
          </cell>
          <cell r="X232">
            <v>7000</v>
          </cell>
          <cell r="Y232" t="str">
            <v>WK Count</v>
          </cell>
          <cell r="Z232" t="str">
            <v>Total Days</v>
          </cell>
          <cell r="AA232" t="str">
            <v/>
          </cell>
          <cell r="AB232" t="str">
            <v/>
          </cell>
          <cell r="AC232" t="str">
            <v/>
          </cell>
          <cell r="AD232" t="str">
            <v/>
          </cell>
          <cell r="AE232" t="str">
            <v/>
          </cell>
          <cell r="AF232" t="str">
            <v/>
          </cell>
          <cell r="AG232" t="str">
            <v/>
          </cell>
          <cell r="AH232" t="str">
            <v/>
          </cell>
          <cell r="AI232" t="str">
            <v/>
          </cell>
          <cell r="AJ232" t="str">
            <v/>
          </cell>
          <cell r="AK232" t="str">
            <v/>
          </cell>
          <cell r="AL232" t="str">
            <v/>
          </cell>
          <cell r="AM232" t="str">
            <v/>
          </cell>
          <cell r="AN232" t="str">
            <v/>
          </cell>
          <cell r="AO232" t="str">
            <v/>
          </cell>
          <cell r="AP232" t="str">
            <v/>
          </cell>
          <cell r="AQ232" t="str">
            <v/>
          </cell>
          <cell r="AR232" t="str">
            <v/>
          </cell>
          <cell r="AS232" t="str">
            <v/>
          </cell>
          <cell r="AT232" t="str">
            <v/>
          </cell>
          <cell r="AU232" t="str">
            <v/>
          </cell>
          <cell r="AV232" t="str">
            <v/>
          </cell>
          <cell r="AW232" t="str">
            <v/>
          </cell>
          <cell r="AX232" t="str">
            <v/>
          </cell>
          <cell r="AY232" t="str">
            <v/>
          </cell>
          <cell r="AZ232" t="str">
            <v/>
          </cell>
          <cell r="BA232" t="str">
            <v/>
          </cell>
          <cell r="BB232" t="str">
            <v/>
          </cell>
          <cell r="BC232" t="str">
            <v/>
          </cell>
          <cell r="BD232" t="str">
            <v/>
          </cell>
          <cell r="BE232" t="str">
            <v/>
          </cell>
          <cell r="BF232" t="str">
            <v/>
          </cell>
          <cell r="BG232" t="str">
            <v/>
          </cell>
          <cell r="BH232" t="str">
            <v/>
          </cell>
          <cell r="BI232" t="str">
            <v/>
          </cell>
          <cell r="BJ232" t="str">
            <v/>
          </cell>
          <cell r="BK232" t="str">
            <v/>
          </cell>
          <cell r="BL232" t="str">
            <v/>
          </cell>
          <cell r="BM232" t="str">
            <v/>
          </cell>
          <cell r="BN232" t="str">
            <v/>
          </cell>
          <cell r="BO232" t="str">
            <v/>
          </cell>
          <cell r="BP232" t="str">
            <v/>
          </cell>
          <cell r="BQ232" t="str">
            <v/>
          </cell>
          <cell r="BR232" t="str">
            <v/>
          </cell>
          <cell r="BS232" t="str">
            <v/>
          </cell>
          <cell r="BT232" t="str">
            <v/>
          </cell>
          <cell r="BU232" t="str">
            <v/>
          </cell>
          <cell r="BV232" t="str">
            <v/>
          </cell>
          <cell r="BW232" t="str">
            <v/>
          </cell>
          <cell r="BX232" t="str">
            <v/>
          </cell>
          <cell r="BY232">
            <v>35905</v>
          </cell>
          <cell r="BZ232">
            <v>35912</v>
          </cell>
          <cell r="CA232">
            <v>35919</v>
          </cell>
          <cell r="CB232">
            <v>35926</v>
          </cell>
          <cell r="CC232">
            <v>35933</v>
          </cell>
          <cell r="CD232">
            <v>35940</v>
          </cell>
          <cell r="CE232">
            <v>35947</v>
          </cell>
          <cell r="CF232">
            <v>35954</v>
          </cell>
          <cell r="CG232">
            <v>35961</v>
          </cell>
          <cell r="CH232">
            <v>35968</v>
          </cell>
          <cell r="CI232">
            <v>35975</v>
          </cell>
          <cell r="CJ232">
            <v>35982</v>
          </cell>
          <cell r="CK232">
            <v>35989</v>
          </cell>
          <cell r="CL232">
            <v>35996</v>
          </cell>
          <cell r="CM232">
            <v>36003</v>
          </cell>
          <cell r="CN232">
            <v>36010</v>
          </cell>
          <cell r="CO232" t="str">
            <v/>
          </cell>
          <cell r="CP232" t="str">
            <v/>
          </cell>
          <cell r="CQ232" t="str">
            <v/>
          </cell>
          <cell r="CR232" t="str">
            <v/>
          </cell>
          <cell r="CS232" t="str">
            <v/>
          </cell>
          <cell r="CT232" t="str">
            <v/>
          </cell>
          <cell r="CU232" t="str">
            <v/>
          </cell>
          <cell r="CV232" t="str">
            <v/>
          </cell>
          <cell r="CW232" t="str">
            <v/>
          </cell>
          <cell r="CX232" t="str">
            <v/>
          </cell>
          <cell r="CY232" t="str">
            <v/>
          </cell>
          <cell r="CZ232" t="str">
            <v/>
          </cell>
          <cell r="DA232" t="str">
            <v/>
          </cell>
          <cell r="DB232" t="str">
            <v/>
          </cell>
          <cell r="DC232" t="str">
            <v/>
          </cell>
          <cell r="DD232" t="str">
            <v/>
          </cell>
          <cell r="DE232" t="str">
            <v/>
          </cell>
          <cell r="DF232" t="str">
            <v/>
          </cell>
          <cell r="DG232" t="str">
            <v/>
          </cell>
          <cell r="DH232" t="str">
            <v/>
          </cell>
          <cell r="DI232" t="str">
            <v/>
          </cell>
          <cell r="DJ232" t="str">
            <v/>
          </cell>
          <cell r="DK232" t="str">
            <v/>
          </cell>
          <cell r="DL232" t="str">
            <v/>
          </cell>
          <cell r="DM232" t="str">
            <v/>
          </cell>
          <cell r="DN232" t="str">
            <v/>
          </cell>
          <cell r="DO232" t="str">
            <v/>
          </cell>
          <cell r="DP232" t="str">
            <v/>
          </cell>
          <cell r="DQ232" t="str">
            <v/>
          </cell>
          <cell r="DR232" t="str">
            <v/>
          </cell>
          <cell r="DS232" t="str">
            <v/>
          </cell>
          <cell r="DT232" t="str">
            <v/>
          </cell>
          <cell r="DU232" t="str">
            <v/>
          </cell>
          <cell r="DV232" t="str">
            <v/>
          </cell>
          <cell r="DW232" t="str">
            <v/>
          </cell>
          <cell r="DX232" t="str">
            <v/>
          </cell>
          <cell r="DY232" t="str">
            <v/>
          </cell>
          <cell r="DZ232" t="str">
            <v/>
          </cell>
          <cell r="EA232" t="str">
            <v/>
          </cell>
          <cell r="EB232" t="str">
            <v/>
          </cell>
          <cell r="EC232" t="str">
            <v/>
          </cell>
          <cell r="ED232" t="str">
            <v/>
          </cell>
          <cell r="EE232" t="str">
            <v/>
          </cell>
          <cell r="EF232" t="str">
            <v/>
          </cell>
          <cell r="EG232" t="str">
            <v/>
          </cell>
          <cell r="EH232" t="str">
            <v/>
          </cell>
          <cell r="EI232" t="str">
            <v/>
          </cell>
          <cell r="EJ232" t="str">
            <v/>
          </cell>
          <cell r="EK232" t="str">
            <v/>
          </cell>
          <cell r="EL232" t="str">
            <v/>
          </cell>
          <cell r="EM232" t="str">
            <v/>
          </cell>
          <cell r="EN232" t="str">
            <v/>
          </cell>
          <cell r="EO232" t="str">
            <v/>
          </cell>
          <cell r="EP232" t="str">
            <v/>
          </cell>
          <cell r="EQ232" t="str">
            <v/>
          </cell>
          <cell r="ER232" t="str">
            <v/>
          </cell>
          <cell r="ES232" t="str">
            <v/>
          </cell>
          <cell r="ET232" t="str">
            <v/>
          </cell>
          <cell r="EU232" t="str">
            <v/>
          </cell>
          <cell r="EV232" t="str">
            <v/>
          </cell>
        </row>
        <row r="233">
          <cell r="A233" t="str">
            <v>PREP</v>
          </cell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 t="str">
            <v>ANIMATION</v>
          </cell>
          <cell r="G233">
            <v>0</v>
          </cell>
          <cell r="H233">
            <v>0</v>
          </cell>
          <cell r="I233" t="str">
            <v>INK &amp; PAINT</v>
          </cell>
          <cell r="J233">
            <v>0</v>
          </cell>
          <cell r="K233">
            <v>0</v>
          </cell>
          <cell r="L233" t="str">
            <v>ALPHA</v>
          </cell>
          <cell r="M233">
            <v>0</v>
          </cell>
          <cell r="N233" t="str">
            <v>BETA</v>
          </cell>
          <cell r="O233">
            <v>0</v>
          </cell>
          <cell r="P233" t="str">
            <v>RTM</v>
          </cell>
          <cell r="Q233">
            <v>0</v>
          </cell>
          <cell r="R233" t="str">
            <v>STREET</v>
          </cell>
          <cell r="S233">
            <v>0</v>
          </cell>
          <cell r="T233" t="str">
            <v>ANIMATION PRODUCTION</v>
          </cell>
          <cell r="U233">
            <v>0</v>
          </cell>
          <cell r="V233">
            <v>35905</v>
          </cell>
          <cell r="W233">
            <v>36017</v>
          </cell>
          <cell r="X233">
            <v>500</v>
          </cell>
          <cell r="Y233">
            <v>16</v>
          </cell>
          <cell r="Z233">
            <v>112</v>
          </cell>
          <cell r="AA233" t="str">
            <v/>
          </cell>
          <cell r="AB233" t="str">
            <v/>
          </cell>
          <cell r="AC233" t="str">
            <v/>
          </cell>
          <cell r="AD233" t="str">
            <v/>
          </cell>
          <cell r="AE233" t="str">
            <v/>
          </cell>
          <cell r="AF233" t="str">
            <v/>
          </cell>
          <cell r="AG233" t="str">
            <v/>
          </cell>
          <cell r="AH233" t="str">
            <v/>
          </cell>
          <cell r="AI233" t="str">
            <v/>
          </cell>
          <cell r="AJ233" t="str">
            <v/>
          </cell>
          <cell r="AK233" t="str">
            <v/>
          </cell>
          <cell r="AL233" t="str">
            <v/>
          </cell>
          <cell r="AM233" t="str">
            <v/>
          </cell>
          <cell r="AN233" t="str">
            <v/>
          </cell>
          <cell r="AO233" t="str">
            <v/>
          </cell>
          <cell r="AP233" t="str">
            <v/>
          </cell>
          <cell r="AQ233" t="str">
            <v/>
          </cell>
          <cell r="AR233" t="str">
            <v/>
          </cell>
          <cell r="AS233" t="str">
            <v/>
          </cell>
          <cell r="AT233" t="str">
            <v/>
          </cell>
          <cell r="AU233" t="str">
            <v/>
          </cell>
          <cell r="AV233" t="str">
            <v/>
          </cell>
          <cell r="AW233" t="str">
            <v/>
          </cell>
          <cell r="AX233" t="str">
            <v/>
          </cell>
          <cell r="AY233" t="str">
            <v/>
          </cell>
          <cell r="AZ233" t="str">
            <v/>
          </cell>
          <cell r="BA233" t="str">
            <v/>
          </cell>
          <cell r="BB233" t="str">
            <v/>
          </cell>
          <cell r="BC233" t="str">
            <v/>
          </cell>
          <cell r="BD233" t="str">
            <v/>
          </cell>
          <cell r="BE233" t="str">
            <v/>
          </cell>
          <cell r="BF233" t="str">
            <v/>
          </cell>
          <cell r="BG233" t="str">
            <v/>
          </cell>
          <cell r="BH233" t="str">
            <v/>
          </cell>
          <cell r="BI233" t="str">
            <v/>
          </cell>
          <cell r="BJ233" t="str">
            <v/>
          </cell>
          <cell r="BK233" t="str">
            <v/>
          </cell>
          <cell r="BL233" t="str">
            <v/>
          </cell>
          <cell r="BM233" t="str">
            <v/>
          </cell>
          <cell r="BN233" t="str">
            <v/>
          </cell>
          <cell r="BO233" t="str">
            <v/>
          </cell>
          <cell r="BP233" t="str">
            <v/>
          </cell>
          <cell r="BQ233" t="str">
            <v/>
          </cell>
          <cell r="BR233" t="str">
            <v/>
          </cell>
          <cell r="BS233" t="str">
            <v/>
          </cell>
          <cell r="BT233" t="str">
            <v/>
          </cell>
          <cell r="BU233" t="str">
            <v/>
          </cell>
          <cell r="BV233" t="str">
            <v/>
          </cell>
          <cell r="BW233" t="str">
            <v/>
          </cell>
          <cell r="BX233" t="str">
            <v/>
          </cell>
          <cell r="BY233">
            <v>35905</v>
          </cell>
          <cell r="BZ233">
            <v>35912</v>
          </cell>
          <cell r="CA233">
            <v>35919</v>
          </cell>
          <cell r="CB233">
            <v>35926</v>
          </cell>
          <cell r="CC233">
            <v>35933</v>
          </cell>
          <cell r="CD233">
            <v>35940</v>
          </cell>
          <cell r="CE233">
            <v>35947</v>
          </cell>
          <cell r="CF233">
            <v>35954</v>
          </cell>
          <cell r="CG233">
            <v>35961</v>
          </cell>
          <cell r="CH233">
            <v>35968</v>
          </cell>
          <cell r="CI233">
            <v>35975</v>
          </cell>
          <cell r="CJ233">
            <v>35982</v>
          </cell>
          <cell r="CK233">
            <v>35989</v>
          </cell>
          <cell r="CL233">
            <v>35996</v>
          </cell>
          <cell r="CM233">
            <v>36003</v>
          </cell>
          <cell r="CN233">
            <v>36010</v>
          </cell>
          <cell r="CO233" t="str">
            <v/>
          </cell>
          <cell r="CP233" t="str">
            <v/>
          </cell>
          <cell r="CQ233" t="str">
            <v/>
          </cell>
          <cell r="CR233" t="str">
            <v/>
          </cell>
          <cell r="CS233" t="str">
            <v/>
          </cell>
          <cell r="CT233" t="str">
            <v/>
          </cell>
          <cell r="CU233" t="str">
            <v/>
          </cell>
          <cell r="CV233" t="str">
            <v/>
          </cell>
          <cell r="CW233" t="str">
            <v/>
          </cell>
          <cell r="CX233" t="str">
            <v/>
          </cell>
          <cell r="CY233" t="str">
            <v/>
          </cell>
          <cell r="CZ233" t="str">
            <v/>
          </cell>
          <cell r="DA233" t="str">
            <v/>
          </cell>
          <cell r="DB233" t="str">
            <v/>
          </cell>
          <cell r="DC233" t="str">
            <v/>
          </cell>
          <cell r="DD233" t="str">
            <v/>
          </cell>
          <cell r="DE233" t="str">
            <v/>
          </cell>
          <cell r="DF233" t="str">
            <v/>
          </cell>
          <cell r="DG233" t="str">
            <v/>
          </cell>
          <cell r="DH233" t="str">
            <v/>
          </cell>
          <cell r="DI233" t="str">
            <v/>
          </cell>
          <cell r="DJ233" t="str">
            <v/>
          </cell>
          <cell r="DK233" t="str">
            <v/>
          </cell>
          <cell r="DL233" t="str">
            <v/>
          </cell>
          <cell r="DM233" t="str">
            <v/>
          </cell>
          <cell r="DN233" t="str">
            <v/>
          </cell>
          <cell r="DO233" t="str">
            <v/>
          </cell>
          <cell r="DP233" t="str">
            <v/>
          </cell>
          <cell r="DQ233" t="str">
            <v/>
          </cell>
          <cell r="DR233" t="str">
            <v/>
          </cell>
          <cell r="DS233" t="str">
            <v/>
          </cell>
          <cell r="DT233" t="str">
            <v/>
          </cell>
          <cell r="DU233" t="str">
            <v/>
          </cell>
          <cell r="DV233" t="str">
            <v/>
          </cell>
          <cell r="DW233" t="str">
            <v/>
          </cell>
          <cell r="DX233" t="str">
            <v/>
          </cell>
          <cell r="DY233" t="str">
            <v/>
          </cell>
          <cell r="DZ233" t="str">
            <v/>
          </cell>
          <cell r="EA233" t="str">
            <v/>
          </cell>
          <cell r="EB233" t="str">
            <v/>
          </cell>
          <cell r="EC233" t="str">
            <v/>
          </cell>
          <cell r="ED233" t="str">
            <v/>
          </cell>
          <cell r="EE233" t="str">
            <v/>
          </cell>
          <cell r="EF233" t="str">
            <v/>
          </cell>
          <cell r="EG233" t="str">
            <v/>
          </cell>
          <cell r="EH233" t="str">
            <v/>
          </cell>
          <cell r="EI233" t="str">
            <v/>
          </cell>
          <cell r="EJ233" t="str">
            <v/>
          </cell>
          <cell r="EK233" t="str">
            <v/>
          </cell>
          <cell r="EL233" t="str">
            <v/>
          </cell>
          <cell r="EM233" t="str">
            <v/>
          </cell>
          <cell r="EN233" t="str">
            <v/>
          </cell>
          <cell r="EO233" t="str">
            <v/>
          </cell>
          <cell r="EP233" t="str">
            <v/>
          </cell>
          <cell r="EQ233" t="str">
            <v/>
          </cell>
          <cell r="ER233" t="str">
            <v/>
          </cell>
          <cell r="ES233" t="str">
            <v/>
          </cell>
          <cell r="ET233" t="str">
            <v/>
          </cell>
          <cell r="EU233" t="str">
            <v/>
          </cell>
          <cell r="EV233" t="str">
            <v/>
          </cell>
        </row>
        <row r="234">
          <cell r="A234" t="str">
            <v>PREP</v>
          </cell>
          <cell r="B234" t="str">
            <v>Days</v>
          </cell>
          <cell r="C234">
            <v>0</v>
          </cell>
          <cell r="D234">
            <v>0</v>
          </cell>
          <cell r="E234">
            <v>0</v>
          </cell>
          <cell r="F234" t="str">
            <v>ANIMATION</v>
          </cell>
          <cell r="G234" t="str">
            <v>Days</v>
          </cell>
          <cell r="H234" t="str">
            <v>Frames</v>
          </cell>
          <cell r="I234" t="str">
            <v>INK &amp; PAINT</v>
          </cell>
          <cell r="J234" t="str">
            <v>Days</v>
          </cell>
          <cell r="K234">
            <v>0</v>
          </cell>
          <cell r="L234" t="str">
            <v>ALPHA</v>
          </cell>
          <cell r="M234">
            <v>0</v>
          </cell>
          <cell r="N234" t="str">
            <v>BETA</v>
          </cell>
          <cell r="O234">
            <v>0</v>
          </cell>
          <cell r="P234" t="str">
            <v>RTM</v>
          </cell>
          <cell r="Q234">
            <v>0</v>
          </cell>
          <cell r="R234" t="str">
            <v>STREET</v>
          </cell>
          <cell r="S234">
            <v>0</v>
          </cell>
          <cell r="T234" t="str">
            <v>Prep Projection</v>
          </cell>
          <cell r="U234">
            <v>0</v>
          </cell>
          <cell r="V234">
            <v>35905</v>
          </cell>
          <cell r="W234">
            <v>36017</v>
          </cell>
          <cell r="X234">
            <v>500</v>
          </cell>
          <cell r="Y234">
            <v>16</v>
          </cell>
          <cell r="Z234">
            <v>112</v>
          </cell>
          <cell r="AA234" t="str">
            <v/>
          </cell>
          <cell r="AB234" t="str">
            <v/>
          </cell>
          <cell r="AC234" t="str">
            <v/>
          </cell>
          <cell r="AD234" t="str">
            <v/>
          </cell>
          <cell r="AE234" t="str">
            <v/>
          </cell>
          <cell r="AF234" t="str">
            <v/>
          </cell>
          <cell r="AG234" t="str">
            <v/>
          </cell>
          <cell r="AH234" t="str">
            <v/>
          </cell>
          <cell r="AI234" t="str">
            <v/>
          </cell>
          <cell r="AJ234" t="str">
            <v/>
          </cell>
          <cell r="AK234" t="str">
            <v/>
          </cell>
          <cell r="AL234" t="str">
            <v/>
          </cell>
          <cell r="AM234" t="str">
            <v/>
          </cell>
          <cell r="AN234" t="str">
            <v/>
          </cell>
          <cell r="AO234" t="str">
            <v/>
          </cell>
          <cell r="AP234" t="str">
            <v/>
          </cell>
          <cell r="AQ234" t="str">
            <v/>
          </cell>
          <cell r="AR234" t="str">
            <v/>
          </cell>
          <cell r="AS234" t="str">
            <v/>
          </cell>
          <cell r="AT234" t="str">
            <v/>
          </cell>
          <cell r="AU234" t="str">
            <v/>
          </cell>
          <cell r="AV234" t="str">
            <v/>
          </cell>
          <cell r="AW234" t="str">
            <v/>
          </cell>
          <cell r="AX234" t="str">
            <v/>
          </cell>
          <cell r="AY234" t="str">
            <v/>
          </cell>
          <cell r="AZ234" t="str">
            <v/>
          </cell>
          <cell r="BA234" t="str">
            <v/>
          </cell>
          <cell r="BB234" t="str">
            <v/>
          </cell>
          <cell r="BC234" t="str">
            <v/>
          </cell>
          <cell r="BD234" t="str">
            <v/>
          </cell>
          <cell r="BE234" t="str">
            <v/>
          </cell>
          <cell r="BF234" t="str">
            <v/>
          </cell>
          <cell r="BG234" t="str">
            <v/>
          </cell>
          <cell r="BH234" t="str">
            <v/>
          </cell>
          <cell r="BI234" t="str">
            <v/>
          </cell>
          <cell r="BJ234" t="str">
            <v/>
          </cell>
          <cell r="BK234" t="str">
            <v/>
          </cell>
          <cell r="BL234" t="str">
            <v/>
          </cell>
          <cell r="BM234" t="str">
            <v/>
          </cell>
          <cell r="BN234" t="str">
            <v/>
          </cell>
          <cell r="BO234" t="str">
            <v/>
          </cell>
          <cell r="BP234" t="str">
            <v/>
          </cell>
          <cell r="BQ234" t="str">
            <v/>
          </cell>
          <cell r="BR234" t="str">
            <v/>
          </cell>
          <cell r="BS234" t="str">
            <v/>
          </cell>
          <cell r="BT234" t="str">
            <v/>
          </cell>
          <cell r="BU234" t="str">
            <v/>
          </cell>
          <cell r="BV234" t="str">
            <v/>
          </cell>
          <cell r="BW234" t="str">
            <v/>
          </cell>
          <cell r="BX234" t="str">
            <v/>
          </cell>
          <cell r="BY234">
            <v>125</v>
          </cell>
          <cell r="BZ234">
            <v>250</v>
          </cell>
          <cell r="CA234">
            <v>375</v>
          </cell>
          <cell r="CB234">
            <v>500</v>
          </cell>
          <cell r="CC234">
            <v>500</v>
          </cell>
          <cell r="CD234">
            <v>500</v>
          </cell>
          <cell r="CE234">
            <v>500</v>
          </cell>
          <cell r="CF234">
            <v>500</v>
          </cell>
          <cell r="CG234">
            <v>500</v>
          </cell>
          <cell r="CH234">
            <v>500</v>
          </cell>
          <cell r="CI234">
            <v>500</v>
          </cell>
          <cell r="CJ234">
            <v>500</v>
          </cell>
          <cell r="CK234">
            <v>500</v>
          </cell>
          <cell r="CL234">
            <v>500</v>
          </cell>
          <cell r="CM234">
            <v>500</v>
          </cell>
          <cell r="CN234">
            <v>500</v>
          </cell>
          <cell r="CO234" t="str">
            <v/>
          </cell>
          <cell r="CP234" t="str">
            <v/>
          </cell>
          <cell r="CQ234" t="str">
            <v/>
          </cell>
          <cell r="CR234" t="str">
            <v/>
          </cell>
          <cell r="CS234" t="str">
            <v/>
          </cell>
          <cell r="CT234" t="str">
            <v/>
          </cell>
          <cell r="CU234" t="str">
            <v/>
          </cell>
          <cell r="CV234" t="str">
            <v/>
          </cell>
          <cell r="CW234" t="str">
            <v/>
          </cell>
          <cell r="CX234" t="str">
            <v/>
          </cell>
          <cell r="CY234" t="str">
            <v/>
          </cell>
          <cell r="CZ234" t="str">
            <v/>
          </cell>
          <cell r="DA234" t="str">
            <v/>
          </cell>
          <cell r="DB234" t="str">
            <v/>
          </cell>
          <cell r="DC234" t="str">
            <v/>
          </cell>
          <cell r="DD234" t="str">
            <v/>
          </cell>
          <cell r="DE234" t="str">
            <v/>
          </cell>
          <cell r="DF234" t="str">
            <v/>
          </cell>
          <cell r="DG234" t="str">
            <v/>
          </cell>
          <cell r="DH234" t="str">
            <v/>
          </cell>
          <cell r="DI234" t="str">
            <v/>
          </cell>
          <cell r="DJ234" t="str">
            <v/>
          </cell>
          <cell r="DK234" t="str">
            <v/>
          </cell>
          <cell r="DL234" t="str">
            <v/>
          </cell>
          <cell r="DM234" t="str">
            <v/>
          </cell>
          <cell r="DN234" t="str">
            <v/>
          </cell>
          <cell r="DO234" t="str">
            <v/>
          </cell>
          <cell r="DP234" t="str">
            <v/>
          </cell>
          <cell r="DQ234" t="str">
            <v/>
          </cell>
          <cell r="DR234" t="str">
            <v/>
          </cell>
          <cell r="DS234" t="str">
            <v/>
          </cell>
          <cell r="DT234" t="str">
            <v/>
          </cell>
          <cell r="DU234" t="str">
            <v/>
          </cell>
          <cell r="DV234" t="str">
            <v/>
          </cell>
          <cell r="DW234" t="str">
            <v/>
          </cell>
          <cell r="DX234" t="str">
            <v/>
          </cell>
          <cell r="DY234" t="str">
            <v/>
          </cell>
          <cell r="DZ234" t="str">
            <v/>
          </cell>
          <cell r="EA234" t="str">
            <v/>
          </cell>
          <cell r="EB234" t="str">
            <v/>
          </cell>
          <cell r="EC234" t="str">
            <v/>
          </cell>
          <cell r="ED234" t="str">
            <v/>
          </cell>
          <cell r="EE234" t="str">
            <v/>
          </cell>
          <cell r="EF234" t="str">
            <v/>
          </cell>
          <cell r="EG234" t="str">
            <v/>
          </cell>
          <cell r="EH234" t="str">
            <v/>
          </cell>
          <cell r="EI234" t="str">
            <v/>
          </cell>
          <cell r="EJ234" t="str">
            <v/>
          </cell>
          <cell r="EK234" t="str">
            <v/>
          </cell>
          <cell r="EL234" t="str">
            <v/>
          </cell>
          <cell r="EM234" t="str">
            <v/>
          </cell>
          <cell r="EN234" t="str">
            <v/>
          </cell>
          <cell r="EO234" t="str">
            <v/>
          </cell>
          <cell r="EP234" t="str">
            <v/>
          </cell>
          <cell r="EQ234" t="str">
            <v/>
          </cell>
          <cell r="ER234" t="str">
            <v/>
          </cell>
          <cell r="ES234" t="str">
            <v/>
          </cell>
          <cell r="ET234" t="str">
            <v/>
          </cell>
          <cell r="EU234" t="str">
            <v/>
          </cell>
          <cell r="EV234" t="str">
            <v/>
          </cell>
        </row>
        <row r="235">
          <cell r="A235" t="str">
            <v>Wks</v>
          </cell>
          <cell r="B235" t="str">
            <v>Days</v>
          </cell>
          <cell r="C235">
            <v>0</v>
          </cell>
          <cell r="D235">
            <v>0</v>
          </cell>
          <cell r="E235">
            <v>0</v>
          </cell>
          <cell r="F235" t="str">
            <v>Wks</v>
          </cell>
          <cell r="G235" t="str">
            <v>Days</v>
          </cell>
          <cell r="H235" t="str">
            <v>Frames</v>
          </cell>
          <cell r="I235" t="str">
            <v>Wks</v>
          </cell>
          <cell r="J235" t="str">
            <v>Days</v>
          </cell>
          <cell r="K235">
            <v>21</v>
          </cell>
          <cell r="L235">
            <v>0</v>
          </cell>
          <cell r="M235">
            <v>29</v>
          </cell>
          <cell r="N235">
            <v>0</v>
          </cell>
          <cell r="O235">
            <v>29</v>
          </cell>
          <cell r="P235">
            <v>0</v>
          </cell>
          <cell r="Q235">
            <v>29</v>
          </cell>
          <cell r="R235">
            <v>36312</v>
          </cell>
          <cell r="S235">
            <v>0</v>
          </cell>
          <cell r="T235" t="str">
            <v>Animation Projection</v>
          </cell>
          <cell r="U235">
            <v>0</v>
          </cell>
          <cell r="V235">
            <v>35933</v>
          </cell>
          <cell r="W235">
            <v>36061</v>
          </cell>
          <cell r="X235">
            <v>500</v>
          </cell>
          <cell r="Y235">
            <v>19</v>
          </cell>
          <cell r="Z235">
            <v>128</v>
          </cell>
          <cell r="AA235" t="str">
            <v/>
          </cell>
          <cell r="AB235" t="str">
            <v/>
          </cell>
          <cell r="AC235" t="str">
            <v/>
          </cell>
          <cell r="AD235" t="str">
            <v/>
          </cell>
          <cell r="AE235" t="str">
            <v/>
          </cell>
          <cell r="AF235" t="str">
            <v/>
          </cell>
          <cell r="AG235" t="str">
            <v/>
          </cell>
          <cell r="AH235" t="str">
            <v/>
          </cell>
          <cell r="AI235" t="str">
            <v/>
          </cell>
          <cell r="AJ235" t="str">
            <v/>
          </cell>
          <cell r="AK235" t="str">
            <v/>
          </cell>
          <cell r="AL235" t="str">
            <v/>
          </cell>
          <cell r="AM235" t="str">
            <v/>
          </cell>
          <cell r="AN235" t="str">
            <v/>
          </cell>
          <cell r="AO235" t="str">
            <v/>
          </cell>
          <cell r="AP235" t="str">
            <v/>
          </cell>
          <cell r="AQ235" t="str">
            <v/>
          </cell>
          <cell r="AR235" t="str">
            <v/>
          </cell>
          <cell r="AS235" t="str">
            <v/>
          </cell>
          <cell r="AT235" t="str">
            <v/>
          </cell>
          <cell r="AU235" t="str">
            <v/>
          </cell>
          <cell r="AV235" t="str">
            <v/>
          </cell>
          <cell r="AW235" t="str">
            <v/>
          </cell>
          <cell r="AX235" t="str">
            <v/>
          </cell>
          <cell r="AY235" t="str">
            <v/>
          </cell>
          <cell r="AZ235" t="str">
            <v/>
          </cell>
          <cell r="BA235" t="str">
            <v/>
          </cell>
          <cell r="BB235" t="str">
            <v/>
          </cell>
          <cell r="BC235" t="str">
            <v/>
          </cell>
          <cell r="BD235" t="str">
            <v/>
          </cell>
          <cell r="BE235" t="str">
            <v/>
          </cell>
          <cell r="BF235" t="str">
            <v/>
          </cell>
          <cell r="BG235" t="str">
            <v/>
          </cell>
          <cell r="BH235" t="str">
            <v/>
          </cell>
          <cell r="BI235" t="str">
            <v/>
          </cell>
          <cell r="BJ235" t="str">
            <v/>
          </cell>
          <cell r="BK235" t="str">
            <v/>
          </cell>
          <cell r="BL235" t="str">
            <v/>
          </cell>
          <cell r="BM235" t="str">
            <v/>
          </cell>
          <cell r="BN235" t="str">
            <v/>
          </cell>
          <cell r="BO235" t="str">
            <v/>
          </cell>
          <cell r="BP235" t="str">
            <v/>
          </cell>
          <cell r="BQ235" t="str">
            <v/>
          </cell>
          <cell r="BR235" t="str">
            <v/>
          </cell>
          <cell r="BS235" t="str">
            <v/>
          </cell>
          <cell r="BT235" t="str">
            <v/>
          </cell>
          <cell r="BU235" t="str">
            <v/>
          </cell>
          <cell r="BV235" t="str">
            <v/>
          </cell>
          <cell r="BW235" t="str">
            <v/>
          </cell>
          <cell r="BX235" t="str">
            <v/>
          </cell>
          <cell r="BY235" t="str">
            <v/>
          </cell>
          <cell r="BZ235" t="str">
            <v/>
          </cell>
          <cell r="CA235" t="str">
            <v/>
          </cell>
          <cell r="CB235" t="str">
            <v/>
          </cell>
          <cell r="CC235">
            <v>0</v>
          </cell>
          <cell r="CD235">
            <v>0</v>
          </cell>
          <cell r="CE235">
            <v>0</v>
          </cell>
          <cell r="CF235">
            <v>125</v>
          </cell>
          <cell r="CG235">
            <v>250</v>
          </cell>
          <cell r="CH235">
            <v>375</v>
          </cell>
          <cell r="CI235">
            <v>500</v>
          </cell>
          <cell r="CJ235">
            <v>500</v>
          </cell>
          <cell r="CK235">
            <v>500</v>
          </cell>
          <cell r="CL235">
            <v>500</v>
          </cell>
          <cell r="CM235">
            <v>500</v>
          </cell>
          <cell r="CN235">
            <v>500</v>
          </cell>
          <cell r="CO235">
            <v>500</v>
          </cell>
          <cell r="CP235">
            <v>500</v>
          </cell>
          <cell r="CQ235">
            <v>500</v>
          </cell>
          <cell r="CR235">
            <v>500</v>
          </cell>
          <cell r="CS235">
            <v>500</v>
          </cell>
          <cell r="CT235">
            <v>500</v>
          </cell>
          <cell r="CU235">
            <v>500</v>
          </cell>
          <cell r="CV235" t="str">
            <v/>
          </cell>
          <cell r="CW235" t="str">
            <v/>
          </cell>
          <cell r="CX235" t="str">
            <v/>
          </cell>
          <cell r="CY235" t="str">
            <v/>
          </cell>
          <cell r="CZ235" t="str">
            <v/>
          </cell>
          <cell r="DA235" t="str">
            <v/>
          </cell>
          <cell r="DB235" t="str">
            <v/>
          </cell>
          <cell r="DC235" t="str">
            <v/>
          </cell>
          <cell r="DD235" t="str">
            <v/>
          </cell>
          <cell r="DE235" t="str">
            <v/>
          </cell>
          <cell r="DF235" t="str">
            <v/>
          </cell>
          <cell r="DG235" t="str">
            <v/>
          </cell>
          <cell r="DH235" t="str">
            <v/>
          </cell>
          <cell r="DI235" t="str">
            <v/>
          </cell>
          <cell r="DJ235" t="str">
            <v/>
          </cell>
          <cell r="DK235" t="str">
            <v/>
          </cell>
          <cell r="DL235" t="str">
            <v/>
          </cell>
          <cell r="DM235" t="str">
            <v/>
          </cell>
          <cell r="DN235" t="str">
            <v/>
          </cell>
          <cell r="DO235" t="str">
            <v/>
          </cell>
          <cell r="DP235" t="str">
            <v/>
          </cell>
          <cell r="DQ235" t="str">
            <v/>
          </cell>
          <cell r="DR235" t="str">
            <v/>
          </cell>
          <cell r="DS235" t="str">
            <v/>
          </cell>
          <cell r="DT235" t="str">
            <v/>
          </cell>
          <cell r="DU235" t="str">
            <v/>
          </cell>
          <cell r="DV235" t="str">
            <v/>
          </cell>
          <cell r="DW235" t="str">
            <v/>
          </cell>
          <cell r="DX235" t="str">
            <v/>
          </cell>
          <cell r="DY235" t="str">
            <v/>
          </cell>
          <cell r="DZ235" t="str">
            <v/>
          </cell>
          <cell r="EA235" t="str">
            <v/>
          </cell>
          <cell r="EB235" t="str">
            <v/>
          </cell>
          <cell r="EC235" t="str">
            <v/>
          </cell>
          <cell r="ED235" t="str">
            <v/>
          </cell>
          <cell r="EE235" t="str">
            <v/>
          </cell>
          <cell r="EF235" t="str">
            <v/>
          </cell>
          <cell r="EG235" t="str">
            <v/>
          </cell>
          <cell r="EH235" t="str">
            <v/>
          </cell>
          <cell r="EI235" t="str">
            <v/>
          </cell>
          <cell r="EJ235" t="str">
            <v/>
          </cell>
          <cell r="EK235" t="str">
            <v/>
          </cell>
          <cell r="EL235" t="str">
            <v/>
          </cell>
          <cell r="EM235" t="str">
            <v/>
          </cell>
          <cell r="EN235" t="str">
            <v/>
          </cell>
          <cell r="EO235" t="str">
            <v/>
          </cell>
          <cell r="EP235" t="str">
            <v/>
          </cell>
          <cell r="EQ235" t="str">
            <v/>
          </cell>
          <cell r="ER235" t="str">
            <v/>
          </cell>
          <cell r="ES235" t="str">
            <v/>
          </cell>
          <cell r="ET235" t="str">
            <v/>
          </cell>
          <cell r="EU235" t="str">
            <v/>
          </cell>
          <cell r="EV235" t="str">
            <v/>
          </cell>
        </row>
        <row r="236">
          <cell r="A236">
            <v>14</v>
          </cell>
          <cell r="B236">
            <v>112</v>
          </cell>
          <cell r="C236">
            <v>0</v>
          </cell>
          <cell r="D236">
            <v>0</v>
          </cell>
          <cell r="E236">
            <v>0</v>
          </cell>
          <cell r="F236">
            <v>14</v>
          </cell>
          <cell r="G236">
            <v>128</v>
          </cell>
          <cell r="H236">
            <v>7000</v>
          </cell>
          <cell r="I236">
            <v>14</v>
          </cell>
          <cell r="J236">
            <v>112</v>
          </cell>
          <cell r="K236">
            <v>21</v>
          </cell>
          <cell r="L236">
            <v>0</v>
          </cell>
          <cell r="M236">
            <v>29</v>
          </cell>
          <cell r="N236">
            <v>0</v>
          </cell>
          <cell r="O236">
            <v>29</v>
          </cell>
          <cell r="P236">
            <v>0</v>
          </cell>
          <cell r="Q236">
            <v>29</v>
          </cell>
          <cell r="R236">
            <v>36312</v>
          </cell>
          <cell r="S236">
            <v>0</v>
          </cell>
          <cell r="T236" t="str">
            <v>Ink &amp; Paint Projection</v>
          </cell>
          <cell r="U236">
            <v>0</v>
          </cell>
          <cell r="V236">
            <v>35963</v>
          </cell>
          <cell r="W236">
            <v>36075</v>
          </cell>
          <cell r="X236">
            <v>500</v>
          </cell>
          <cell r="Y236">
            <v>16</v>
          </cell>
          <cell r="Z236">
            <v>112</v>
          </cell>
          <cell r="AA236" t="str">
            <v/>
          </cell>
          <cell r="AB236" t="str">
            <v/>
          </cell>
          <cell r="AC236" t="str">
            <v/>
          </cell>
          <cell r="AD236" t="str">
            <v/>
          </cell>
          <cell r="AE236" t="str">
            <v/>
          </cell>
          <cell r="AF236" t="str">
            <v/>
          </cell>
          <cell r="AG236" t="str">
            <v/>
          </cell>
          <cell r="AH236" t="str">
            <v/>
          </cell>
          <cell r="AI236" t="str">
            <v/>
          </cell>
          <cell r="AJ236" t="str">
            <v/>
          </cell>
          <cell r="AK236" t="str">
            <v/>
          </cell>
          <cell r="AL236" t="str">
            <v/>
          </cell>
          <cell r="AM236" t="str">
            <v/>
          </cell>
          <cell r="AN236" t="str">
            <v/>
          </cell>
          <cell r="AO236" t="str">
            <v/>
          </cell>
          <cell r="AP236" t="str">
            <v/>
          </cell>
          <cell r="AQ236" t="str">
            <v/>
          </cell>
          <cell r="AR236" t="str">
            <v/>
          </cell>
          <cell r="AS236" t="str">
            <v/>
          </cell>
          <cell r="AT236" t="str">
            <v/>
          </cell>
          <cell r="AU236" t="str">
            <v/>
          </cell>
          <cell r="AV236" t="str">
            <v/>
          </cell>
          <cell r="AW236" t="str">
            <v/>
          </cell>
          <cell r="AX236" t="str">
            <v/>
          </cell>
          <cell r="AY236" t="str">
            <v/>
          </cell>
          <cell r="AZ236" t="str">
            <v/>
          </cell>
          <cell r="BA236" t="str">
            <v/>
          </cell>
          <cell r="BB236" t="str">
            <v/>
          </cell>
          <cell r="BC236" t="str">
            <v/>
          </cell>
          <cell r="BD236" t="str">
            <v/>
          </cell>
          <cell r="BE236" t="str">
            <v/>
          </cell>
          <cell r="BF236" t="str">
            <v/>
          </cell>
          <cell r="BG236" t="str">
            <v/>
          </cell>
          <cell r="BH236" t="str">
            <v/>
          </cell>
          <cell r="BI236" t="str">
            <v/>
          </cell>
          <cell r="BJ236" t="str">
            <v/>
          </cell>
          <cell r="BK236" t="str">
            <v/>
          </cell>
          <cell r="BL236" t="str">
            <v/>
          </cell>
          <cell r="BM236" t="str">
            <v/>
          </cell>
          <cell r="BN236" t="str">
            <v/>
          </cell>
          <cell r="BO236" t="str">
            <v/>
          </cell>
          <cell r="BP236" t="str">
            <v/>
          </cell>
          <cell r="BQ236" t="str">
            <v/>
          </cell>
          <cell r="BR236" t="str">
            <v/>
          </cell>
          <cell r="BS236" t="str">
            <v/>
          </cell>
          <cell r="BT236" t="str">
            <v/>
          </cell>
          <cell r="BU236" t="str">
            <v/>
          </cell>
          <cell r="BV236" t="str">
            <v/>
          </cell>
          <cell r="BW236" t="str">
            <v/>
          </cell>
          <cell r="BX236" t="str">
            <v/>
          </cell>
          <cell r="BY236" t="str">
            <v/>
          </cell>
          <cell r="BZ236" t="str">
            <v/>
          </cell>
          <cell r="CA236" t="str">
            <v/>
          </cell>
          <cell r="CB236" t="str">
            <v/>
          </cell>
          <cell r="CC236" t="str">
            <v/>
          </cell>
          <cell r="CD236" t="str">
            <v/>
          </cell>
          <cell r="CE236" t="str">
            <v/>
          </cell>
          <cell r="CF236" t="str">
            <v/>
          </cell>
          <cell r="CG236" t="str">
            <v/>
          </cell>
          <cell r="CH236">
            <v>125</v>
          </cell>
          <cell r="CI236">
            <v>250</v>
          </cell>
          <cell r="CJ236">
            <v>375</v>
          </cell>
          <cell r="CK236">
            <v>500</v>
          </cell>
          <cell r="CL236">
            <v>500</v>
          </cell>
          <cell r="CM236">
            <v>500</v>
          </cell>
          <cell r="CN236">
            <v>500</v>
          </cell>
          <cell r="CO236">
            <v>500</v>
          </cell>
          <cell r="CP236">
            <v>500</v>
          </cell>
          <cell r="CQ236">
            <v>500</v>
          </cell>
          <cell r="CR236">
            <v>500</v>
          </cell>
          <cell r="CS236">
            <v>500</v>
          </cell>
          <cell r="CT236">
            <v>500</v>
          </cell>
          <cell r="CU236">
            <v>500</v>
          </cell>
          <cell r="CV236">
            <v>500</v>
          </cell>
          <cell r="CW236">
            <v>500</v>
          </cell>
          <cell r="CX236" t="str">
            <v/>
          </cell>
          <cell r="CY236" t="str">
            <v/>
          </cell>
          <cell r="CZ236" t="str">
            <v/>
          </cell>
          <cell r="DA236" t="str">
            <v/>
          </cell>
          <cell r="DB236" t="str">
            <v/>
          </cell>
          <cell r="DC236" t="str">
            <v/>
          </cell>
          <cell r="DD236" t="str">
            <v/>
          </cell>
          <cell r="DE236" t="str">
            <v/>
          </cell>
          <cell r="DF236" t="str">
            <v/>
          </cell>
          <cell r="DG236" t="str">
            <v/>
          </cell>
          <cell r="DH236" t="str">
            <v/>
          </cell>
          <cell r="DI236" t="str">
            <v/>
          </cell>
          <cell r="DJ236" t="str">
            <v/>
          </cell>
          <cell r="DK236" t="str">
            <v/>
          </cell>
          <cell r="DL236" t="str">
            <v/>
          </cell>
          <cell r="DM236" t="str">
            <v/>
          </cell>
          <cell r="DN236" t="str">
            <v/>
          </cell>
          <cell r="DO236" t="str">
            <v/>
          </cell>
          <cell r="DP236" t="str">
            <v/>
          </cell>
          <cell r="DQ236" t="str">
            <v/>
          </cell>
          <cell r="DR236" t="str">
            <v/>
          </cell>
          <cell r="DS236" t="str">
            <v/>
          </cell>
          <cell r="DT236" t="str">
            <v/>
          </cell>
          <cell r="DU236" t="str">
            <v/>
          </cell>
          <cell r="DV236" t="str">
            <v/>
          </cell>
          <cell r="DW236" t="str">
            <v/>
          </cell>
          <cell r="DX236" t="str">
            <v/>
          </cell>
          <cell r="DY236" t="str">
            <v/>
          </cell>
          <cell r="DZ236" t="str">
            <v/>
          </cell>
          <cell r="EA236" t="str">
            <v/>
          </cell>
          <cell r="EB236" t="str">
            <v/>
          </cell>
          <cell r="EC236" t="str">
            <v/>
          </cell>
          <cell r="ED236" t="str">
            <v/>
          </cell>
          <cell r="EE236" t="str">
            <v/>
          </cell>
          <cell r="EF236" t="str">
            <v/>
          </cell>
          <cell r="EG236" t="str">
            <v/>
          </cell>
          <cell r="EH236" t="str">
            <v/>
          </cell>
          <cell r="EI236" t="str">
            <v/>
          </cell>
          <cell r="EJ236" t="str">
            <v/>
          </cell>
          <cell r="EK236" t="str">
            <v/>
          </cell>
          <cell r="EL236" t="str">
            <v/>
          </cell>
          <cell r="EM236" t="str">
            <v/>
          </cell>
          <cell r="EN236" t="str">
            <v/>
          </cell>
          <cell r="EO236" t="str">
            <v/>
          </cell>
          <cell r="EP236" t="str">
            <v/>
          </cell>
          <cell r="EQ236" t="str">
            <v/>
          </cell>
          <cell r="ER236" t="str">
            <v/>
          </cell>
          <cell r="ES236" t="str">
            <v/>
          </cell>
          <cell r="ET236" t="str">
            <v/>
          </cell>
          <cell r="EU236" t="str">
            <v/>
          </cell>
          <cell r="EV236" t="str">
            <v/>
          </cell>
        </row>
        <row r="237">
          <cell r="V237">
            <v>35963</v>
          </cell>
          <cell r="W237">
            <v>36075</v>
          </cell>
          <cell r="X237">
            <v>500</v>
          </cell>
          <cell r="Y237">
            <v>16</v>
          </cell>
          <cell r="Z237">
            <v>112</v>
          </cell>
          <cell r="AA237" t="str">
            <v/>
          </cell>
          <cell r="AB237" t="str">
            <v/>
          </cell>
          <cell r="AC237" t="str">
            <v/>
          </cell>
          <cell r="AD237" t="str">
            <v/>
          </cell>
          <cell r="AE237" t="str">
            <v/>
          </cell>
          <cell r="AF237" t="str">
            <v/>
          </cell>
          <cell r="AG237" t="str">
            <v/>
          </cell>
          <cell r="AH237" t="str">
            <v/>
          </cell>
          <cell r="AI237" t="str">
            <v/>
          </cell>
          <cell r="AJ237" t="str">
            <v/>
          </cell>
          <cell r="AK237" t="str">
            <v/>
          </cell>
          <cell r="AL237" t="str">
            <v/>
          </cell>
          <cell r="AM237" t="str">
            <v/>
          </cell>
          <cell r="AN237" t="str">
            <v/>
          </cell>
          <cell r="AO237" t="str">
            <v/>
          </cell>
          <cell r="AP237" t="str">
            <v/>
          </cell>
          <cell r="AQ237" t="str">
            <v/>
          </cell>
          <cell r="AR237" t="str">
            <v/>
          </cell>
          <cell r="AS237" t="str">
            <v/>
          </cell>
          <cell r="AT237" t="str">
            <v/>
          </cell>
          <cell r="AU237" t="str">
            <v/>
          </cell>
          <cell r="AV237" t="str">
            <v/>
          </cell>
          <cell r="AW237" t="str">
            <v/>
          </cell>
          <cell r="AX237" t="str">
            <v/>
          </cell>
          <cell r="AY237" t="str">
            <v/>
          </cell>
          <cell r="AZ237" t="str">
            <v/>
          </cell>
          <cell r="BA237" t="str">
            <v/>
          </cell>
          <cell r="BB237" t="str">
            <v/>
          </cell>
          <cell r="BC237" t="str">
            <v/>
          </cell>
          <cell r="BD237" t="str">
            <v/>
          </cell>
          <cell r="BE237" t="str">
            <v/>
          </cell>
          <cell r="BF237" t="str">
            <v/>
          </cell>
          <cell r="BG237" t="str">
            <v/>
          </cell>
          <cell r="BH237" t="str">
            <v/>
          </cell>
          <cell r="BI237" t="str">
            <v/>
          </cell>
          <cell r="BJ237" t="str">
            <v/>
          </cell>
          <cell r="BK237" t="str">
            <v/>
          </cell>
          <cell r="BL237" t="str">
            <v/>
          </cell>
          <cell r="BM237" t="str">
            <v/>
          </cell>
          <cell r="BN237" t="str">
            <v/>
          </cell>
          <cell r="BO237" t="str">
            <v/>
          </cell>
          <cell r="BP237" t="str">
            <v/>
          </cell>
          <cell r="BQ237" t="str">
            <v/>
          </cell>
          <cell r="BR237" t="str">
            <v/>
          </cell>
          <cell r="BS237" t="str">
            <v/>
          </cell>
          <cell r="BT237" t="str">
            <v/>
          </cell>
          <cell r="BU237" t="str">
            <v/>
          </cell>
          <cell r="BV237" t="str">
            <v/>
          </cell>
          <cell r="BW237" t="str">
            <v/>
          </cell>
          <cell r="BX237" t="str">
            <v/>
          </cell>
          <cell r="BY237" t="str">
            <v/>
          </cell>
          <cell r="BZ237" t="str">
            <v/>
          </cell>
          <cell r="CA237" t="str">
            <v/>
          </cell>
          <cell r="CB237" t="str">
            <v/>
          </cell>
          <cell r="CC237" t="str">
            <v/>
          </cell>
          <cell r="CD237" t="str">
            <v/>
          </cell>
          <cell r="CE237" t="str">
            <v/>
          </cell>
          <cell r="CF237" t="str">
            <v/>
          </cell>
          <cell r="CG237" t="str">
            <v/>
          </cell>
          <cell r="CH237">
            <v>125</v>
          </cell>
          <cell r="CI237">
            <v>250</v>
          </cell>
          <cell r="CJ237">
            <v>375</v>
          </cell>
          <cell r="CK237">
            <v>500</v>
          </cell>
          <cell r="CL237">
            <v>500</v>
          </cell>
          <cell r="CM237">
            <v>500</v>
          </cell>
          <cell r="CN237">
            <v>500</v>
          </cell>
          <cell r="CO237">
            <v>500</v>
          </cell>
          <cell r="CP237">
            <v>500</v>
          </cell>
          <cell r="CQ237">
            <v>500</v>
          </cell>
          <cell r="CR237">
            <v>500</v>
          </cell>
          <cell r="CS237">
            <v>500</v>
          </cell>
          <cell r="CT237">
            <v>500</v>
          </cell>
          <cell r="CU237">
            <v>500</v>
          </cell>
          <cell r="CV237">
            <v>500</v>
          </cell>
          <cell r="CW237">
            <v>500</v>
          </cell>
          <cell r="CX237" t="str">
            <v/>
          </cell>
          <cell r="CY237" t="str">
            <v/>
          </cell>
          <cell r="CZ237" t="str">
            <v/>
          </cell>
          <cell r="DA237" t="str">
            <v/>
          </cell>
          <cell r="DB237" t="str">
            <v/>
          </cell>
          <cell r="DC237" t="str">
            <v/>
          </cell>
          <cell r="DD237" t="str">
            <v/>
          </cell>
          <cell r="DE237" t="str">
            <v/>
          </cell>
          <cell r="DF237" t="str">
            <v/>
          </cell>
          <cell r="DG237" t="str">
            <v/>
          </cell>
          <cell r="DH237" t="str">
            <v/>
          </cell>
          <cell r="DI237" t="str">
            <v/>
          </cell>
          <cell r="DJ237" t="str">
            <v/>
          </cell>
          <cell r="DK237" t="str">
            <v/>
          </cell>
          <cell r="DL237" t="str">
            <v/>
          </cell>
          <cell r="DM237" t="str">
            <v/>
          </cell>
          <cell r="DN237" t="str">
            <v/>
          </cell>
          <cell r="DO237" t="str">
            <v/>
          </cell>
          <cell r="DP237" t="str">
            <v/>
          </cell>
          <cell r="DQ237" t="str">
            <v/>
          </cell>
          <cell r="DR237" t="str">
            <v/>
          </cell>
          <cell r="DS237" t="str">
            <v/>
          </cell>
          <cell r="DT237" t="str">
            <v/>
          </cell>
          <cell r="DU237" t="str">
            <v/>
          </cell>
          <cell r="DV237" t="str">
            <v/>
          </cell>
          <cell r="DW237" t="str">
            <v/>
          </cell>
          <cell r="DX237" t="str">
            <v/>
          </cell>
          <cell r="DY237" t="str">
            <v/>
          </cell>
          <cell r="DZ237" t="str">
            <v/>
          </cell>
          <cell r="EA237" t="str">
            <v/>
          </cell>
          <cell r="EB237" t="str">
            <v/>
          </cell>
          <cell r="EC237" t="str">
            <v/>
          </cell>
          <cell r="ED237" t="str">
            <v/>
          </cell>
          <cell r="EE237" t="str">
            <v/>
          </cell>
          <cell r="EF237" t="str">
            <v/>
          </cell>
          <cell r="EG237" t="str">
            <v/>
          </cell>
          <cell r="EH237" t="str">
            <v/>
          </cell>
          <cell r="EI237" t="str">
            <v/>
          </cell>
          <cell r="EJ237" t="str">
            <v/>
          </cell>
          <cell r="EK237" t="str">
            <v/>
          </cell>
          <cell r="EL237" t="str">
            <v/>
          </cell>
          <cell r="EM237" t="str">
            <v/>
          </cell>
          <cell r="EN237" t="str">
            <v/>
          </cell>
          <cell r="EO237" t="str">
            <v/>
          </cell>
          <cell r="EP237" t="str">
            <v/>
          </cell>
          <cell r="EQ237" t="str">
            <v/>
          </cell>
          <cell r="ER237" t="str">
            <v/>
          </cell>
          <cell r="ES237" t="str">
            <v/>
          </cell>
          <cell r="ET237" t="str">
            <v/>
          </cell>
          <cell r="EU237" t="str">
            <v/>
          </cell>
          <cell r="EV237" t="str">
            <v/>
          </cell>
        </row>
        <row r="238">
          <cell r="T238" t="str">
            <v>BUDGET FORECAST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 t="str">
            <v/>
          </cell>
          <cell r="AB238" t="str">
            <v/>
          </cell>
          <cell r="AC238" t="str">
            <v/>
          </cell>
          <cell r="AD238" t="str">
            <v/>
          </cell>
          <cell r="AE238" t="str">
            <v/>
          </cell>
          <cell r="AF238" t="str">
            <v/>
          </cell>
          <cell r="AG238" t="str">
            <v/>
          </cell>
          <cell r="AH238" t="str">
            <v/>
          </cell>
          <cell r="AI238" t="str">
            <v/>
          </cell>
          <cell r="AJ238" t="str">
            <v/>
          </cell>
          <cell r="AK238" t="str">
            <v/>
          </cell>
          <cell r="AL238" t="str">
            <v/>
          </cell>
          <cell r="AM238" t="str">
            <v/>
          </cell>
          <cell r="AN238" t="str">
            <v/>
          </cell>
          <cell r="AO238" t="str">
            <v/>
          </cell>
          <cell r="AP238" t="str">
            <v/>
          </cell>
          <cell r="AQ238" t="str">
            <v/>
          </cell>
          <cell r="AR238" t="str">
            <v/>
          </cell>
          <cell r="AS238" t="str">
            <v/>
          </cell>
          <cell r="AT238" t="str">
            <v/>
          </cell>
          <cell r="AU238" t="str">
            <v/>
          </cell>
          <cell r="AV238" t="str">
            <v/>
          </cell>
          <cell r="AW238" t="str">
            <v/>
          </cell>
          <cell r="AX238" t="str">
            <v/>
          </cell>
          <cell r="AY238" t="str">
            <v/>
          </cell>
          <cell r="AZ238" t="str">
            <v/>
          </cell>
          <cell r="BA238" t="str">
            <v/>
          </cell>
          <cell r="BB238" t="str">
            <v/>
          </cell>
          <cell r="BC238" t="str">
            <v/>
          </cell>
          <cell r="BD238" t="str">
            <v/>
          </cell>
          <cell r="BE238" t="str">
            <v/>
          </cell>
          <cell r="BF238" t="str">
            <v/>
          </cell>
          <cell r="BG238" t="str">
            <v/>
          </cell>
          <cell r="BH238" t="str">
            <v/>
          </cell>
          <cell r="BI238" t="str">
            <v/>
          </cell>
          <cell r="BJ238" t="str">
            <v/>
          </cell>
          <cell r="BK238" t="str">
            <v/>
          </cell>
          <cell r="BL238" t="str">
            <v/>
          </cell>
          <cell r="BM238" t="str">
            <v/>
          </cell>
          <cell r="BN238" t="str">
            <v/>
          </cell>
          <cell r="BO238" t="str">
            <v/>
          </cell>
          <cell r="BP238" t="str">
            <v/>
          </cell>
          <cell r="BQ238" t="str">
            <v/>
          </cell>
          <cell r="BR238" t="str">
            <v/>
          </cell>
          <cell r="BS238" t="str">
            <v/>
          </cell>
          <cell r="BT238" t="str">
            <v/>
          </cell>
          <cell r="BU238" t="str">
            <v/>
          </cell>
          <cell r="BV238" t="str">
            <v/>
          </cell>
          <cell r="BW238" t="str">
            <v/>
          </cell>
          <cell r="BX238" t="str">
            <v/>
          </cell>
          <cell r="BY238">
            <v>35905</v>
          </cell>
          <cell r="BZ238">
            <v>35912</v>
          </cell>
          <cell r="CA238">
            <v>35919</v>
          </cell>
          <cell r="CB238">
            <v>35926</v>
          </cell>
          <cell r="CC238">
            <v>35933</v>
          </cell>
          <cell r="CD238">
            <v>35940</v>
          </cell>
          <cell r="CE238">
            <v>35947</v>
          </cell>
          <cell r="CF238">
            <v>35954</v>
          </cell>
          <cell r="CG238">
            <v>35961</v>
          </cell>
          <cell r="CH238">
            <v>35968</v>
          </cell>
          <cell r="CI238">
            <v>35975</v>
          </cell>
          <cell r="CJ238">
            <v>35982</v>
          </cell>
          <cell r="CK238">
            <v>35989</v>
          </cell>
          <cell r="CL238">
            <v>35996</v>
          </cell>
          <cell r="CM238">
            <v>36003</v>
          </cell>
          <cell r="CN238">
            <v>36010</v>
          </cell>
          <cell r="CO238" t="str">
            <v/>
          </cell>
          <cell r="CP238" t="str">
            <v/>
          </cell>
          <cell r="CQ238" t="str">
            <v/>
          </cell>
          <cell r="CR238" t="str">
            <v/>
          </cell>
          <cell r="CS238" t="str">
            <v/>
          </cell>
          <cell r="CT238" t="str">
            <v/>
          </cell>
          <cell r="CU238" t="str">
            <v/>
          </cell>
          <cell r="CV238" t="str">
            <v/>
          </cell>
          <cell r="CW238" t="str">
            <v/>
          </cell>
          <cell r="CX238" t="str">
            <v/>
          </cell>
          <cell r="CY238" t="str">
            <v/>
          </cell>
          <cell r="CZ238" t="str">
            <v/>
          </cell>
          <cell r="DA238" t="str">
            <v/>
          </cell>
          <cell r="DB238" t="str">
            <v/>
          </cell>
          <cell r="DC238" t="str">
            <v/>
          </cell>
          <cell r="DD238" t="str">
            <v/>
          </cell>
          <cell r="DE238" t="str">
            <v/>
          </cell>
          <cell r="DF238" t="str">
            <v/>
          </cell>
          <cell r="DG238" t="str">
            <v/>
          </cell>
          <cell r="DH238" t="str">
            <v/>
          </cell>
          <cell r="DI238" t="str">
            <v/>
          </cell>
          <cell r="DJ238" t="str">
            <v/>
          </cell>
          <cell r="DK238" t="str">
            <v/>
          </cell>
          <cell r="DL238" t="str">
            <v/>
          </cell>
          <cell r="DM238" t="str">
            <v/>
          </cell>
          <cell r="DN238" t="str">
            <v/>
          </cell>
          <cell r="DO238" t="str">
            <v/>
          </cell>
          <cell r="DP238" t="str">
            <v/>
          </cell>
          <cell r="DQ238" t="str">
            <v/>
          </cell>
          <cell r="DR238" t="str">
            <v/>
          </cell>
          <cell r="DS238" t="str">
            <v/>
          </cell>
          <cell r="DT238" t="str">
            <v/>
          </cell>
          <cell r="DU238" t="str">
            <v/>
          </cell>
          <cell r="DV238" t="str">
            <v/>
          </cell>
          <cell r="DW238" t="str">
            <v/>
          </cell>
          <cell r="DX238" t="str">
            <v/>
          </cell>
          <cell r="DY238" t="str">
            <v/>
          </cell>
          <cell r="DZ238" t="str">
            <v/>
          </cell>
          <cell r="EA238" t="str">
            <v/>
          </cell>
          <cell r="EB238" t="str">
            <v/>
          </cell>
          <cell r="EC238" t="str">
            <v/>
          </cell>
          <cell r="ED238" t="str">
            <v/>
          </cell>
          <cell r="EE238" t="str">
            <v/>
          </cell>
          <cell r="EF238" t="str">
            <v/>
          </cell>
          <cell r="EG238" t="str">
            <v/>
          </cell>
          <cell r="EH238" t="str">
            <v/>
          </cell>
          <cell r="EI238" t="str">
            <v/>
          </cell>
          <cell r="EJ238" t="str">
            <v/>
          </cell>
          <cell r="EK238" t="str">
            <v/>
          </cell>
          <cell r="EL238" t="str">
            <v/>
          </cell>
          <cell r="EM238" t="str">
            <v/>
          </cell>
          <cell r="EN238" t="str">
            <v/>
          </cell>
          <cell r="EO238" t="str">
            <v/>
          </cell>
          <cell r="EP238" t="str">
            <v/>
          </cell>
          <cell r="EQ238" t="str">
            <v/>
          </cell>
          <cell r="ER238" t="str">
            <v/>
          </cell>
          <cell r="ES238" t="str">
            <v/>
          </cell>
          <cell r="ET238" t="str">
            <v/>
          </cell>
          <cell r="EU238" t="str">
            <v/>
          </cell>
          <cell r="EV238" t="str">
            <v/>
          </cell>
          <cell r="EW238" t="str">
            <v/>
          </cell>
          <cell r="EX238" t="str">
            <v/>
          </cell>
          <cell r="EY238" t="str">
            <v/>
          </cell>
          <cell r="EZ238" t="str">
            <v/>
          </cell>
          <cell r="FA238" t="str">
            <v/>
          </cell>
          <cell r="FB238" t="str">
            <v/>
          </cell>
          <cell r="FC238" t="str">
            <v/>
          </cell>
          <cell r="FD238" t="str">
            <v/>
          </cell>
          <cell r="FE238" t="str">
            <v/>
          </cell>
          <cell r="FF238" t="str">
            <v/>
          </cell>
          <cell r="FG238" t="str">
            <v/>
          </cell>
          <cell r="FH238" t="str">
            <v/>
          </cell>
          <cell r="FI238" t="str">
            <v/>
          </cell>
          <cell r="FJ238">
            <v>0</v>
          </cell>
          <cell r="FK238">
            <v>0</v>
          </cell>
          <cell r="FL238">
            <v>0</v>
          </cell>
          <cell r="FM238">
            <v>0</v>
          </cell>
          <cell r="FN238">
            <v>0</v>
          </cell>
          <cell r="FO238">
            <v>0</v>
          </cell>
          <cell r="FP238">
            <v>0</v>
          </cell>
          <cell r="FQ238">
            <v>0</v>
          </cell>
          <cell r="FR238">
            <v>0</v>
          </cell>
          <cell r="FS238">
            <v>0</v>
          </cell>
          <cell r="FT238">
            <v>0</v>
          </cell>
          <cell r="FU238">
            <v>0</v>
          </cell>
          <cell r="FV238">
            <v>0</v>
          </cell>
          <cell r="FW238">
            <v>0</v>
          </cell>
          <cell r="FX238">
            <v>0</v>
          </cell>
        </row>
        <row r="239">
          <cell r="T239" t="str">
            <v>BUDGET FORECAST</v>
          </cell>
          <cell r="U239">
            <v>0</v>
          </cell>
          <cell r="V239" t="str">
            <v>PRE PROD</v>
          </cell>
          <cell r="W239">
            <v>30</v>
          </cell>
          <cell r="X239">
            <v>217500</v>
          </cell>
          <cell r="Y239">
            <v>0</v>
          </cell>
          <cell r="Z239">
            <v>0</v>
          </cell>
          <cell r="AA239" t="str">
            <v/>
          </cell>
          <cell r="AB239" t="str">
            <v/>
          </cell>
          <cell r="AC239" t="str">
            <v/>
          </cell>
          <cell r="AD239" t="str">
            <v/>
          </cell>
          <cell r="AE239" t="str">
            <v/>
          </cell>
          <cell r="AF239" t="str">
            <v/>
          </cell>
          <cell r="AG239" t="str">
            <v/>
          </cell>
          <cell r="AH239" t="str">
            <v/>
          </cell>
          <cell r="AI239" t="str">
            <v/>
          </cell>
          <cell r="AJ239" t="str">
            <v/>
          </cell>
          <cell r="AK239" t="str">
            <v/>
          </cell>
          <cell r="AL239" t="str">
            <v/>
          </cell>
          <cell r="AM239" t="str">
            <v/>
          </cell>
          <cell r="AN239" t="str">
            <v/>
          </cell>
          <cell r="AO239" t="str">
            <v/>
          </cell>
          <cell r="AP239" t="str">
            <v/>
          </cell>
          <cell r="AQ239" t="str">
            <v/>
          </cell>
          <cell r="AR239" t="str">
            <v/>
          </cell>
          <cell r="AS239" t="str">
            <v/>
          </cell>
          <cell r="AT239" t="str">
            <v/>
          </cell>
          <cell r="AU239" t="str">
            <v/>
          </cell>
          <cell r="AV239" t="str">
            <v/>
          </cell>
          <cell r="AW239" t="str">
            <v/>
          </cell>
          <cell r="AX239" t="str">
            <v/>
          </cell>
          <cell r="AY239" t="str">
            <v/>
          </cell>
          <cell r="AZ239" t="str">
            <v/>
          </cell>
          <cell r="BA239" t="str">
            <v/>
          </cell>
          <cell r="BB239" t="str">
            <v/>
          </cell>
          <cell r="BC239" t="str">
            <v/>
          </cell>
          <cell r="BD239" t="str">
            <v/>
          </cell>
          <cell r="BE239" t="str">
            <v/>
          </cell>
          <cell r="BF239" t="str">
            <v/>
          </cell>
          <cell r="BG239" t="str">
            <v/>
          </cell>
          <cell r="BH239" t="str">
            <v/>
          </cell>
          <cell r="BI239" t="str">
            <v/>
          </cell>
          <cell r="BJ239" t="str">
            <v/>
          </cell>
          <cell r="BK239" t="str">
            <v/>
          </cell>
          <cell r="BL239" t="str">
            <v/>
          </cell>
          <cell r="BM239" t="str">
            <v/>
          </cell>
          <cell r="BN239" t="str">
            <v/>
          </cell>
          <cell r="BO239" t="str">
            <v/>
          </cell>
          <cell r="BP239" t="str">
            <v/>
          </cell>
          <cell r="BQ239" t="str">
            <v/>
          </cell>
          <cell r="BR239" t="str">
            <v/>
          </cell>
          <cell r="BS239" t="str">
            <v/>
          </cell>
          <cell r="BT239" t="str">
            <v/>
          </cell>
          <cell r="BU239" t="str">
            <v/>
          </cell>
          <cell r="BV239" t="str">
            <v/>
          </cell>
          <cell r="BW239" t="str">
            <v/>
          </cell>
          <cell r="BX239" t="str">
            <v/>
          </cell>
          <cell r="BY239">
            <v>35905</v>
          </cell>
          <cell r="BZ239">
            <v>35912</v>
          </cell>
          <cell r="CA239">
            <v>35919</v>
          </cell>
          <cell r="CB239">
            <v>35926</v>
          </cell>
          <cell r="CC239">
            <v>35933</v>
          </cell>
          <cell r="CD239">
            <v>35940</v>
          </cell>
          <cell r="CE239">
            <v>35947</v>
          </cell>
          <cell r="CF239">
            <v>35954</v>
          </cell>
          <cell r="CG239">
            <v>35961</v>
          </cell>
          <cell r="CH239">
            <v>35968</v>
          </cell>
          <cell r="CI239">
            <v>35975</v>
          </cell>
          <cell r="CJ239">
            <v>35982</v>
          </cell>
          <cell r="CK239">
            <v>35989</v>
          </cell>
          <cell r="CL239">
            <v>35996</v>
          </cell>
          <cell r="CM239">
            <v>36003</v>
          </cell>
          <cell r="CN239">
            <v>36010</v>
          </cell>
          <cell r="CO239" t="str">
            <v/>
          </cell>
          <cell r="CP239" t="str">
            <v/>
          </cell>
          <cell r="CQ239" t="str">
            <v/>
          </cell>
          <cell r="CR239" t="str">
            <v/>
          </cell>
          <cell r="CS239" t="str">
            <v/>
          </cell>
          <cell r="CT239" t="str">
            <v/>
          </cell>
          <cell r="CU239" t="str">
            <v/>
          </cell>
          <cell r="CV239" t="str">
            <v/>
          </cell>
          <cell r="CW239" t="str">
            <v/>
          </cell>
          <cell r="CX239" t="str">
            <v/>
          </cell>
          <cell r="CY239" t="str">
            <v/>
          </cell>
          <cell r="CZ239" t="str">
            <v/>
          </cell>
          <cell r="DA239" t="str">
            <v/>
          </cell>
          <cell r="DB239" t="str">
            <v/>
          </cell>
          <cell r="DC239" t="str">
            <v/>
          </cell>
          <cell r="DD239" t="str">
            <v/>
          </cell>
          <cell r="DE239" t="str">
            <v/>
          </cell>
          <cell r="DF239" t="str">
            <v/>
          </cell>
          <cell r="DG239" t="str">
            <v/>
          </cell>
          <cell r="DH239" t="str">
            <v/>
          </cell>
          <cell r="DI239" t="str">
            <v/>
          </cell>
          <cell r="DJ239" t="str">
            <v/>
          </cell>
          <cell r="DK239" t="str">
            <v/>
          </cell>
          <cell r="DL239" t="str">
            <v/>
          </cell>
          <cell r="DM239" t="str">
            <v/>
          </cell>
          <cell r="DN239" t="str">
            <v/>
          </cell>
          <cell r="DO239" t="str">
            <v/>
          </cell>
          <cell r="DP239" t="str">
            <v/>
          </cell>
          <cell r="DQ239" t="str">
            <v/>
          </cell>
          <cell r="DR239" t="str">
            <v/>
          </cell>
          <cell r="DS239" t="str">
            <v/>
          </cell>
          <cell r="DT239" t="str">
            <v/>
          </cell>
          <cell r="DU239" t="str">
            <v/>
          </cell>
          <cell r="DV239" t="str">
            <v/>
          </cell>
          <cell r="DW239" t="str">
            <v/>
          </cell>
          <cell r="DX239" t="str">
            <v/>
          </cell>
          <cell r="DY239" t="str">
            <v/>
          </cell>
          <cell r="DZ239" t="str">
            <v/>
          </cell>
          <cell r="EA239" t="str">
            <v/>
          </cell>
          <cell r="EB239" t="str">
            <v/>
          </cell>
          <cell r="EC239" t="str">
            <v/>
          </cell>
          <cell r="ED239" t="str">
            <v/>
          </cell>
          <cell r="EE239" t="str">
            <v/>
          </cell>
          <cell r="EF239" t="str">
            <v/>
          </cell>
          <cell r="EG239" t="str">
            <v/>
          </cell>
          <cell r="EH239" t="str">
            <v/>
          </cell>
          <cell r="EI239" t="str">
            <v/>
          </cell>
          <cell r="EJ239" t="str">
            <v/>
          </cell>
          <cell r="EK239" t="str">
            <v/>
          </cell>
          <cell r="EL239" t="str">
            <v/>
          </cell>
          <cell r="EM239" t="str">
            <v/>
          </cell>
          <cell r="EN239" t="str">
            <v/>
          </cell>
          <cell r="EO239" t="str">
            <v/>
          </cell>
          <cell r="EP239" t="str">
            <v/>
          </cell>
          <cell r="EQ239" t="str">
            <v/>
          </cell>
          <cell r="ER239" t="str">
            <v/>
          </cell>
          <cell r="ES239" t="str">
            <v/>
          </cell>
          <cell r="ET239" t="str">
            <v/>
          </cell>
          <cell r="EU239" t="str">
            <v/>
          </cell>
          <cell r="EV239" t="str">
            <v/>
          </cell>
          <cell r="EW239" t="str">
            <v/>
          </cell>
          <cell r="EX239" t="str">
            <v/>
          </cell>
          <cell r="EY239" t="str">
            <v/>
          </cell>
          <cell r="EZ239" t="str">
            <v/>
          </cell>
          <cell r="FA239" t="str">
            <v/>
          </cell>
          <cell r="FB239" t="str">
            <v/>
          </cell>
          <cell r="FC239" t="str">
            <v/>
          </cell>
          <cell r="FD239" t="str">
            <v/>
          </cell>
          <cell r="FE239" t="str">
            <v/>
          </cell>
          <cell r="FF239" t="str">
            <v/>
          </cell>
          <cell r="FG239" t="str">
            <v/>
          </cell>
          <cell r="FH239" t="str">
            <v/>
          </cell>
          <cell r="FI239" t="str">
            <v/>
          </cell>
          <cell r="FJ239">
            <v>0</v>
          </cell>
          <cell r="FK239">
            <v>0</v>
          </cell>
          <cell r="FL239">
            <v>0</v>
          </cell>
          <cell r="FM239">
            <v>0</v>
          </cell>
          <cell r="FN239">
            <v>0</v>
          </cell>
          <cell r="FO239">
            <v>0</v>
          </cell>
          <cell r="FP239">
            <v>0</v>
          </cell>
          <cell r="FQ239">
            <v>0</v>
          </cell>
          <cell r="FR239">
            <v>0</v>
          </cell>
          <cell r="FS239">
            <v>0</v>
          </cell>
          <cell r="FT239">
            <v>0</v>
          </cell>
          <cell r="FU239">
            <v>0</v>
          </cell>
          <cell r="FV239">
            <v>0</v>
          </cell>
          <cell r="FW239">
            <v>0</v>
          </cell>
          <cell r="FX239">
            <v>0</v>
          </cell>
          <cell r="FY239">
            <v>0</v>
          </cell>
          <cell r="FZ239">
            <v>0</v>
          </cell>
          <cell r="GA239">
            <v>0</v>
          </cell>
          <cell r="GB239">
            <v>0</v>
          </cell>
        </row>
        <row r="240">
          <cell r="V240" t="str">
            <v>PRE PROD</v>
          </cell>
          <cell r="W240">
            <v>30</v>
          </cell>
          <cell r="X240">
            <v>217500</v>
          </cell>
          <cell r="Y240">
            <v>0</v>
          </cell>
          <cell r="Z240">
            <v>0</v>
          </cell>
          <cell r="AA240" t="str">
            <v/>
          </cell>
          <cell r="AB240" t="str">
            <v/>
          </cell>
          <cell r="AC240" t="str">
            <v/>
          </cell>
          <cell r="AD240" t="str">
            <v/>
          </cell>
          <cell r="AE240" t="str">
            <v/>
          </cell>
          <cell r="AF240" t="str">
            <v/>
          </cell>
          <cell r="AG240" t="str">
            <v/>
          </cell>
          <cell r="AH240" t="str">
            <v/>
          </cell>
          <cell r="AI240" t="str">
            <v/>
          </cell>
          <cell r="AJ240" t="str">
            <v/>
          </cell>
          <cell r="AK240" t="str">
            <v/>
          </cell>
          <cell r="AL240" t="str">
            <v/>
          </cell>
          <cell r="AM240" t="str">
            <v/>
          </cell>
          <cell r="AN240" t="str">
            <v/>
          </cell>
          <cell r="AO240" t="str">
            <v/>
          </cell>
          <cell r="AP240" t="str">
            <v/>
          </cell>
          <cell r="AQ240" t="str">
            <v/>
          </cell>
          <cell r="AR240" t="str">
            <v/>
          </cell>
          <cell r="AS240" t="str">
            <v/>
          </cell>
          <cell r="AT240" t="str">
            <v/>
          </cell>
          <cell r="AU240" t="str">
            <v/>
          </cell>
          <cell r="AV240" t="str">
            <v/>
          </cell>
          <cell r="AW240" t="str">
            <v/>
          </cell>
          <cell r="AX240" t="str">
            <v/>
          </cell>
          <cell r="AY240" t="str">
            <v/>
          </cell>
          <cell r="AZ240" t="str">
            <v/>
          </cell>
          <cell r="BA240" t="str">
            <v/>
          </cell>
          <cell r="BB240" t="str">
            <v/>
          </cell>
          <cell r="BC240" t="str">
            <v/>
          </cell>
          <cell r="BD240" t="str">
            <v/>
          </cell>
          <cell r="BE240" t="str">
            <v/>
          </cell>
          <cell r="BF240" t="str">
            <v/>
          </cell>
          <cell r="BG240" t="str">
            <v/>
          </cell>
          <cell r="BH240" t="str">
            <v/>
          </cell>
          <cell r="BI240" t="str">
            <v/>
          </cell>
          <cell r="BJ240" t="str">
            <v/>
          </cell>
          <cell r="BK240" t="str">
            <v/>
          </cell>
          <cell r="BL240" t="str">
            <v/>
          </cell>
          <cell r="BM240" t="str">
            <v/>
          </cell>
          <cell r="BN240" t="str">
            <v/>
          </cell>
          <cell r="BO240" t="str">
            <v/>
          </cell>
          <cell r="BP240" t="str">
            <v/>
          </cell>
          <cell r="BQ240" t="str">
            <v/>
          </cell>
          <cell r="BR240" t="str">
            <v/>
          </cell>
          <cell r="BS240" t="str">
            <v/>
          </cell>
          <cell r="BT240" t="str">
            <v/>
          </cell>
          <cell r="BU240" t="str">
            <v/>
          </cell>
          <cell r="BV240" t="str">
            <v/>
          </cell>
          <cell r="BW240" t="str">
            <v/>
          </cell>
          <cell r="BX240" t="str">
            <v/>
          </cell>
          <cell r="BY240">
            <v>3750</v>
          </cell>
          <cell r="BZ240">
            <v>7500</v>
          </cell>
          <cell r="CA240">
            <v>11250</v>
          </cell>
          <cell r="CB240">
            <v>15000</v>
          </cell>
          <cell r="CC240">
            <v>15000</v>
          </cell>
          <cell r="CD240">
            <v>15000</v>
          </cell>
          <cell r="CE240">
            <v>15000</v>
          </cell>
          <cell r="CF240">
            <v>15000</v>
          </cell>
          <cell r="CG240">
            <v>15000</v>
          </cell>
          <cell r="CH240">
            <v>15000</v>
          </cell>
          <cell r="CI240">
            <v>15000</v>
          </cell>
          <cell r="CJ240">
            <v>15000</v>
          </cell>
          <cell r="CK240">
            <v>15000</v>
          </cell>
          <cell r="CL240">
            <v>15000</v>
          </cell>
          <cell r="CM240">
            <v>15000</v>
          </cell>
          <cell r="CN240">
            <v>15000</v>
          </cell>
          <cell r="CO240" t="str">
            <v/>
          </cell>
          <cell r="CP240" t="str">
            <v/>
          </cell>
          <cell r="CQ240" t="str">
            <v/>
          </cell>
          <cell r="CR240" t="str">
            <v/>
          </cell>
          <cell r="CS240" t="str">
            <v/>
          </cell>
          <cell r="CT240" t="str">
            <v/>
          </cell>
          <cell r="CU240" t="str">
            <v/>
          </cell>
          <cell r="CV240" t="str">
            <v/>
          </cell>
          <cell r="CW240" t="str">
            <v/>
          </cell>
          <cell r="CX240" t="str">
            <v/>
          </cell>
          <cell r="CY240" t="str">
            <v/>
          </cell>
          <cell r="CZ240" t="str">
            <v/>
          </cell>
          <cell r="DA240" t="str">
            <v/>
          </cell>
          <cell r="DB240" t="str">
            <v/>
          </cell>
          <cell r="DC240" t="str">
            <v/>
          </cell>
          <cell r="DD240" t="str">
            <v/>
          </cell>
          <cell r="DE240" t="str">
            <v/>
          </cell>
          <cell r="DF240" t="str">
            <v/>
          </cell>
          <cell r="DG240" t="str">
            <v/>
          </cell>
          <cell r="DH240" t="str">
            <v/>
          </cell>
          <cell r="DI240" t="str">
            <v/>
          </cell>
          <cell r="DJ240" t="str">
            <v/>
          </cell>
          <cell r="DK240" t="str">
            <v/>
          </cell>
          <cell r="DL240" t="str">
            <v/>
          </cell>
          <cell r="DM240" t="str">
            <v/>
          </cell>
          <cell r="DN240" t="str">
            <v/>
          </cell>
          <cell r="DO240" t="str">
            <v/>
          </cell>
          <cell r="DP240" t="str">
            <v/>
          </cell>
          <cell r="DQ240" t="str">
            <v/>
          </cell>
          <cell r="DR240" t="str">
            <v/>
          </cell>
          <cell r="DS240" t="str">
            <v/>
          </cell>
          <cell r="DT240" t="str">
            <v/>
          </cell>
          <cell r="DU240" t="str">
            <v/>
          </cell>
          <cell r="DV240" t="str">
            <v/>
          </cell>
          <cell r="DW240" t="str">
            <v/>
          </cell>
          <cell r="DX240" t="str">
            <v/>
          </cell>
          <cell r="DY240" t="str">
            <v/>
          </cell>
          <cell r="DZ240" t="str">
            <v/>
          </cell>
          <cell r="EA240" t="str">
            <v/>
          </cell>
          <cell r="EB240" t="str">
            <v/>
          </cell>
          <cell r="EC240" t="str">
            <v/>
          </cell>
          <cell r="ED240" t="str">
            <v/>
          </cell>
          <cell r="EE240" t="str">
            <v/>
          </cell>
          <cell r="EF240" t="str">
            <v/>
          </cell>
          <cell r="EG240" t="str">
            <v/>
          </cell>
          <cell r="EH240" t="str">
            <v/>
          </cell>
          <cell r="EI240" t="str">
            <v/>
          </cell>
          <cell r="EJ240" t="str">
            <v/>
          </cell>
          <cell r="EK240" t="str">
            <v/>
          </cell>
          <cell r="EL240" t="str">
            <v/>
          </cell>
          <cell r="EM240" t="str">
            <v/>
          </cell>
          <cell r="EN240" t="str">
            <v/>
          </cell>
          <cell r="EO240" t="str">
            <v/>
          </cell>
          <cell r="EP240" t="str">
            <v/>
          </cell>
          <cell r="EQ240" t="str">
            <v/>
          </cell>
          <cell r="ER240" t="str">
            <v/>
          </cell>
          <cell r="ES240" t="str">
            <v/>
          </cell>
          <cell r="ET240" t="str">
            <v/>
          </cell>
          <cell r="EU240" t="str">
            <v/>
          </cell>
          <cell r="EV240" t="str">
            <v/>
          </cell>
          <cell r="EW240" t="str">
            <v/>
          </cell>
          <cell r="EX240" t="str">
            <v/>
          </cell>
          <cell r="EY240" t="str">
            <v/>
          </cell>
          <cell r="EZ240" t="str">
            <v/>
          </cell>
          <cell r="FA240" t="str">
            <v/>
          </cell>
          <cell r="FB240" t="str">
            <v/>
          </cell>
          <cell r="FC240" t="str">
            <v/>
          </cell>
          <cell r="FD240" t="str">
            <v/>
          </cell>
          <cell r="FE240" t="str">
            <v/>
          </cell>
          <cell r="FF240" t="str">
            <v/>
          </cell>
          <cell r="FG240" t="str">
            <v/>
          </cell>
          <cell r="FH240" t="str">
            <v/>
          </cell>
          <cell r="FI240" t="str">
            <v/>
          </cell>
          <cell r="FJ240">
            <v>0</v>
          </cell>
          <cell r="FK240">
            <v>0</v>
          </cell>
          <cell r="FL240">
            <v>0</v>
          </cell>
          <cell r="FM240">
            <v>0</v>
          </cell>
          <cell r="FN240">
            <v>0</v>
          </cell>
          <cell r="FO240">
            <v>0</v>
          </cell>
          <cell r="FP240">
            <v>0</v>
          </cell>
          <cell r="FQ240">
            <v>0</v>
          </cell>
          <cell r="FR240">
            <v>0</v>
          </cell>
          <cell r="FS240">
            <v>0</v>
          </cell>
          <cell r="FT240">
            <v>0</v>
          </cell>
          <cell r="FU240">
            <v>0</v>
          </cell>
          <cell r="FV240">
            <v>0</v>
          </cell>
          <cell r="FW240">
            <v>0</v>
          </cell>
          <cell r="FX240">
            <v>0</v>
          </cell>
          <cell r="FY240">
            <v>0</v>
          </cell>
          <cell r="FZ240">
            <v>0</v>
          </cell>
          <cell r="GA240">
            <v>0</v>
          </cell>
          <cell r="GB240">
            <v>0</v>
          </cell>
        </row>
        <row r="241">
          <cell r="V241" t="str">
            <v>PRODUCTION</v>
          </cell>
          <cell r="W241">
            <v>150</v>
          </cell>
          <cell r="X241">
            <v>1087500</v>
          </cell>
          <cell r="Y241">
            <v>0</v>
          </cell>
          <cell r="Z241">
            <v>0</v>
          </cell>
          <cell r="AA241" t="str">
            <v/>
          </cell>
          <cell r="AB241" t="str">
            <v/>
          </cell>
          <cell r="AC241" t="str">
            <v/>
          </cell>
          <cell r="AD241" t="str">
            <v/>
          </cell>
          <cell r="AE241" t="str">
            <v/>
          </cell>
          <cell r="AF241" t="str">
            <v/>
          </cell>
          <cell r="AG241" t="str">
            <v/>
          </cell>
          <cell r="AH241" t="str">
            <v/>
          </cell>
          <cell r="AI241" t="str">
            <v/>
          </cell>
          <cell r="AJ241" t="str">
            <v/>
          </cell>
          <cell r="AK241" t="str">
            <v/>
          </cell>
          <cell r="AL241" t="str">
            <v/>
          </cell>
          <cell r="AM241" t="str">
            <v/>
          </cell>
          <cell r="AN241" t="str">
            <v/>
          </cell>
          <cell r="AO241" t="str">
            <v/>
          </cell>
          <cell r="AP241" t="str">
            <v/>
          </cell>
          <cell r="AQ241" t="str">
            <v/>
          </cell>
          <cell r="AR241" t="str">
            <v/>
          </cell>
          <cell r="AS241" t="str">
            <v/>
          </cell>
          <cell r="AT241" t="str">
            <v/>
          </cell>
          <cell r="AU241" t="str">
            <v/>
          </cell>
          <cell r="AV241" t="str">
            <v/>
          </cell>
          <cell r="AW241" t="str">
            <v/>
          </cell>
          <cell r="AX241" t="str">
            <v/>
          </cell>
          <cell r="AY241" t="str">
            <v/>
          </cell>
          <cell r="AZ241" t="str">
            <v/>
          </cell>
          <cell r="BA241" t="str">
            <v/>
          </cell>
          <cell r="BB241" t="str">
            <v/>
          </cell>
          <cell r="BC241" t="str">
            <v/>
          </cell>
          <cell r="BD241" t="str">
            <v/>
          </cell>
          <cell r="BE241" t="str">
            <v/>
          </cell>
          <cell r="BF241" t="str">
            <v/>
          </cell>
          <cell r="BG241" t="str">
            <v/>
          </cell>
          <cell r="BH241" t="str">
            <v/>
          </cell>
          <cell r="BI241" t="str">
            <v/>
          </cell>
          <cell r="BJ241" t="str">
            <v/>
          </cell>
          <cell r="BK241" t="str">
            <v/>
          </cell>
          <cell r="BL241" t="str">
            <v/>
          </cell>
          <cell r="BM241" t="str">
            <v/>
          </cell>
          <cell r="BN241" t="str">
            <v/>
          </cell>
          <cell r="BO241" t="str">
            <v/>
          </cell>
          <cell r="BP241" t="str">
            <v/>
          </cell>
          <cell r="BQ241" t="str">
            <v/>
          </cell>
          <cell r="BR241" t="str">
            <v/>
          </cell>
          <cell r="BS241" t="str">
            <v/>
          </cell>
          <cell r="BT241" t="str">
            <v/>
          </cell>
          <cell r="BU241" t="str">
            <v/>
          </cell>
          <cell r="BV241" t="str">
            <v/>
          </cell>
          <cell r="BW241" t="str">
            <v/>
          </cell>
          <cell r="BX241" t="str">
            <v/>
          </cell>
          <cell r="BY241" t="str">
            <v/>
          </cell>
          <cell r="BZ241" t="str">
            <v/>
          </cell>
          <cell r="CA241" t="str">
            <v/>
          </cell>
          <cell r="CB241" t="str">
            <v/>
          </cell>
          <cell r="CC241">
            <v>35933</v>
          </cell>
          <cell r="CD241">
            <v>35940</v>
          </cell>
          <cell r="CE241">
            <v>35947</v>
          </cell>
          <cell r="CF241">
            <v>35954</v>
          </cell>
          <cell r="CG241">
            <v>35961</v>
          </cell>
          <cell r="CH241">
            <v>35968</v>
          </cell>
          <cell r="CI241">
            <v>35975</v>
          </cell>
          <cell r="CJ241">
            <v>35982</v>
          </cell>
          <cell r="CK241">
            <v>35989</v>
          </cell>
          <cell r="CL241">
            <v>35996</v>
          </cell>
          <cell r="CM241">
            <v>36003</v>
          </cell>
          <cell r="CN241">
            <v>36010</v>
          </cell>
          <cell r="CO241">
            <v>36017</v>
          </cell>
          <cell r="CP241">
            <v>36024</v>
          </cell>
          <cell r="CQ241">
            <v>36031</v>
          </cell>
          <cell r="CR241">
            <v>36038</v>
          </cell>
          <cell r="CS241">
            <v>36045</v>
          </cell>
          <cell r="CT241">
            <v>36052</v>
          </cell>
          <cell r="CU241">
            <v>36059</v>
          </cell>
          <cell r="CV241" t="str">
            <v/>
          </cell>
          <cell r="CW241" t="str">
            <v/>
          </cell>
          <cell r="CX241" t="str">
            <v/>
          </cell>
          <cell r="CY241" t="str">
            <v/>
          </cell>
          <cell r="CZ241" t="str">
            <v/>
          </cell>
          <cell r="DA241" t="str">
            <v/>
          </cell>
          <cell r="DB241" t="str">
            <v/>
          </cell>
          <cell r="DC241" t="str">
            <v/>
          </cell>
          <cell r="DD241" t="str">
            <v/>
          </cell>
          <cell r="DE241" t="str">
            <v/>
          </cell>
          <cell r="DF241" t="str">
            <v/>
          </cell>
          <cell r="DG241" t="str">
            <v/>
          </cell>
          <cell r="DH241" t="str">
            <v/>
          </cell>
          <cell r="DI241" t="str">
            <v/>
          </cell>
          <cell r="DJ241" t="str">
            <v/>
          </cell>
          <cell r="DK241" t="str">
            <v/>
          </cell>
          <cell r="DL241" t="str">
            <v/>
          </cell>
          <cell r="DM241" t="str">
            <v/>
          </cell>
          <cell r="DN241" t="str">
            <v/>
          </cell>
          <cell r="DO241" t="str">
            <v/>
          </cell>
          <cell r="DP241" t="str">
            <v/>
          </cell>
          <cell r="DQ241" t="str">
            <v/>
          </cell>
          <cell r="DR241" t="str">
            <v/>
          </cell>
          <cell r="DS241" t="str">
            <v/>
          </cell>
          <cell r="DT241" t="str">
            <v/>
          </cell>
          <cell r="DU241" t="str">
            <v/>
          </cell>
          <cell r="DV241" t="str">
            <v/>
          </cell>
          <cell r="DW241" t="str">
            <v/>
          </cell>
          <cell r="DX241" t="str">
            <v/>
          </cell>
          <cell r="DY241" t="str">
            <v/>
          </cell>
          <cell r="DZ241" t="str">
            <v/>
          </cell>
          <cell r="EA241" t="str">
            <v/>
          </cell>
          <cell r="EB241" t="str">
            <v/>
          </cell>
          <cell r="EC241" t="str">
            <v/>
          </cell>
          <cell r="ED241" t="str">
            <v/>
          </cell>
          <cell r="EE241" t="str">
            <v/>
          </cell>
          <cell r="EF241" t="str">
            <v/>
          </cell>
          <cell r="EG241" t="str">
            <v/>
          </cell>
          <cell r="EH241" t="str">
            <v/>
          </cell>
          <cell r="EI241" t="str">
            <v/>
          </cell>
          <cell r="EJ241" t="str">
            <v/>
          </cell>
          <cell r="EK241" t="str">
            <v/>
          </cell>
          <cell r="EL241" t="str">
            <v/>
          </cell>
          <cell r="EM241" t="str">
            <v/>
          </cell>
          <cell r="EN241" t="str">
            <v/>
          </cell>
          <cell r="EO241" t="str">
            <v/>
          </cell>
          <cell r="EP241" t="str">
            <v/>
          </cell>
          <cell r="EQ241" t="str">
            <v/>
          </cell>
          <cell r="ER241" t="str">
            <v/>
          </cell>
          <cell r="ES241" t="str">
            <v/>
          </cell>
          <cell r="ET241" t="str">
            <v/>
          </cell>
          <cell r="EU241" t="str">
            <v/>
          </cell>
          <cell r="EV241" t="str">
            <v/>
          </cell>
          <cell r="EW241" t="str">
            <v/>
          </cell>
          <cell r="EX241" t="str">
            <v/>
          </cell>
          <cell r="EY241" t="str">
            <v/>
          </cell>
          <cell r="EZ241" t="str">
            <v/>
          </cell>
          <cell r="FA241" t="str">
            <v/>
          </cell>
          <cell r="FB241" t="str">
            <v/>
          </cell>
          <cell r="FC241" t="str">
            <v/>
          </cell>
          <cell r="FD241" t="str">
            <v/>
          </cell>
          <cell r="FE241" t="str">
            <v/>
          </cell>
          <cell r="FF241" t="str">
            <v/>
          </cell>
          <cell r="FG241" t="str">
            <v/>
          </cell>
          <cell r="FH241" t="str">
            <v/>
          </cell>
          <cell r="FI241" t="str">
            <v/>
          </cell>
          <cell r="FJ241">
            <v>0</v>
          </cell>
          <cell r="FK241">
            <v>0</v>
          </cell>
          <cell r="FL241">
            <v>0</v>
          </cell>
          <cell r="FM241">
            <v>0</v>
          </cell>
          <cell r="FN241">
            <v>0</v>
          </cell>
          <cell r="FO241">
            <v>0</v>
          </cell>
          <cell r="FP241">
            <v>0</v>
          </cell>
          <cell r="FQ241">
            <v>0</v>
          </cell>
          <cell r="FR241">
            <v>0</v>
          </cell>
          <cell r="FS241">
            <v>0</v>
          </cell>
          <cell r="FT241">
            <v>0</v>
          </cell>
          <cell r="FU241">
            <v>0</v>
          </cell>
          <cell r="FV241">
            <v>0</v>
          </cell>
          <cell r="FW241">
            <v>0</v>
          </cell>
          <cell r="FX241">
            <v>0</v>
          </cell>
          <cell r="FY241">
            <v>0</v>
          </cell>
          <cell r="FZ241">
            <v>0</v>
          </cell>
          <cell r="GA241">
            <v>0</v>
          </cell>
          <cell r="GB241">
            <v>0</v>
          </cell>
        </row>
        <row r="242">
          <cell r="V242" t="str">
            <v>PRODUCTION</v>
          </cell>
          <cell r="W242">
            <v>150</v>
          </cell>
          <cell r="X242">
            <v>1087500</v>
          </cell>
          <cell r="Y242">
            <v>0</v>
          </cell>
          <cell r="Z242">
            <v>0</v>
          </cell>
          <cell r="AA242" t="str">
            <v/>
          </cell>
          <cell r="AB242" t="str">
            <v/>
          </cell>
          <cell r="AC242" t="str">
            <v/>
          </cell>
          <cell r="AD242" t="str">
            <v/>
          </cell>
          <cell r="AE242" t="str">
            <v/>
          </cell>
          <cell r="AF242" t="str">
            <v/>
          </cell>
          <cell r="AG242" t="str">
            <v/>
          </cell>
          <cell r="AH242" t="str">
            <v/>
          </cell>
          <cell r="AI242" t="str">
            <v/>
          </cell>
          <cell r="AJ242" t="str">
            <v/>
          </cell>
          <cell r="AK242" t="str">
            <v/>
          </cell>
          <cell r="AL242" t="str">
            <v/>
          </cell>
          <cell r="AM242" t="str">
            <v/>
          </cell>
          <cell r="AN242" t="str">
            <v/>
          </cell>
          <cell r="AO242" t="str">
            <v/>
          </cell>
          <cell r="AP242" t="str">
            <v/>
          </cell>
          <cell r="AQ242" t="str">
            <v/>
          </cell>
          <cell r="AR242" t="str">
            <v/>
          </cell>
          <cell r="AS242" t="str">
            <v/>
          </cell>
          <cell r="AT242" t="str">
            <v/>
          </cell>
          <cell r="AU242" t="str">
            <v/>
          </cell>
          <cell r="AV242" t="str">
            <v/>
          </cell>
          <cell r="AW242" t="str">
            <v/>
          </cell>
          <cell r="AX242" t="str">
            <v/>
          </cell>
          <cell r="AY242" t="str">
            <v/>
          </cell>
          <cell r="AZ242" t="str">
            <v/>
          </cell>
          <cell r="BA242" t="str">
            <v/>
          </cell>
          <cell r="BB242" t="str">
            <v/>
          </cell>
          <cell r="BC242" t="str">
            <v/>
          </cell>
          <cell r="BD242" t="str">
            <v/>
          </cell>
          <cell r="BE242" t="str">
            <v/>
          </cell>
          <cell r="BF242" t="str">
            <v/>
          </cell>
          <cell r="BG242" t="str">
            <v/>
          </cell>
          <cell r="BH242" t="str">
            <v/>
          </cell>
          <cell r="BI242" t="str">
            <v/>
          </cell>
          <cell r="BJ242" t="str">
            <v/>
          </cell>
          <cell r="BK242" t="str">
            <v/>
          </cell>
          <cell r="BL242" t="str">
            <v/>
          </cell>
          <cell r="BM242" t="str">
            <v/>
          </cell>
          <cell r="BN242" t="str">
            <v/>
          </cell>
          <cell r="BO242" t="str">
            <v/>
          </cell>
          <cell r="BP242" t="str">
            <v/>
          </cell>
          <cell r="BQ242" t="str">
            <v/>
          </cell>
          <cell r="BR242" t="str">
            <v/>
          </cell>
          <cell r="BS242" t="str">
            <v/>
          </cell>
          <cell r="BT242" t="str">
            <v/>
          </cell>
          <cell r="BU242" t="str">
            <v/>
          </cell>
          <cell r="BV242" t="str">
            <v/>
          </cell>
          <cell r="BW242" t="str">
            <v/>
          </cell>
          <cell r="BX242" t="str">
            <v/>
          </cell>
          <cell r="BY242" t="str">
            <v/>
          </cell>
          <cell r="BZ242" t="str">
            <v/>
          </cell>
          <cell r="CA242" t="str">
            <v/>
          </cell>
          <cell r="CB242" t="str">
            <v/>
          </cell>
          <cell r="CC242">
            <v>0</v>
          </cell>
          <cell r="CD242">
            <v>0</v>
          </cell>
          <cell r="CE242">
            <v>0</v>
          </cell>
          <cell r="CF242">
            <v>18750</v>
          </cell>
          <cell r="CG242">
            <v>37500</v>
          </cell>
          <cell r="CH242">
            <v>56250</v>
          </cell>
          <cell r="CI242">
            <v>75000</v>
          </cell>
          <cell r="CJ242">
            <v>75000</v>
          </cell>
          <cell r="CK242">
            <v>75000</v>
          </cell>
          <cell r="CL242">
            <v>75000</v>
          </cell>
          <cell r="CM242">
            <v>75000</v>
          </cell>
          <cell r="CN242">
            <v>75000</v>
          </cell>
          <cell r="CO242">
            <v>75000</v>
          </cell>
          <cell r="CP242">
            <v>75000</v>
          </cell>
          <cell r="CQ242">
            <v>75000</v>
          </cell>
          <cell r="CR242">
            <v>75000</v>
          </cell>
          <cell r="CS242">
            <v>75000</v>
          </cell>
          <cell r="CT242">
            <v>75000</v>
          </cell>
          <cell r="CU242">
            <v>75000</v>
          </cell>
          <cell r="CV242" t="str">
            <v/>
          </cell>
          <cell r="CW242" t="str">
            <v/>
          </cell>
          <cell r="CX242" t="str">
            <v/>
          </cell>
          <cell r="CY242" t="str">
            <v/>
          </cell>
          <cell r="CZ242" t="str">
            <v/>
          </cell>
          <cell r="DA242" t="str">
            <v/>
          </cell>
          <cell r="DB242" t="str">
            <v/>
          </cell>
          <cell r="DC242" t="str">
            <v/>
          </cell>
          <cell r="DD242" t="str">
            <v/>
          </cell>
          <cell r="DE242" t="str">
            <v/>
          </cell>
          <cell r="DF242" t="str">
            <v/>
          </cell>
          <cell r="DG242" t="str">
            <v/>
          </cell>
          <cell r="DH242" t="str">
            <v/>
          </cell>
          <cell r="DI242" t="str">
            <v/>
          </cell>
          <cell r="DJ242" t="str">
            <v/>
          </cell>
          <cell r="DK242" t="str">
            <v/>
          </cell>
          <cell r="DL242" t="str">
            <v/>
          </cell>
          <cell r="DM242" t="str">
            <v/>
          </cell>
          <cell r="DN242" t="str">
            <v/>
          </cell>
          <cell r="DO242" t="str">
            <v/>
          </cell>
          <cell r="DP242" t="str">
            <v/>
          </cell>
          <cell r="DQ242" t="str">
            <v/>
          </cell>
          <cell r="DR242" t="str">
            <v/>
          </cell>
          <cell r="DS242" t="str">
            <v/>
          </cell>
          <cell r="DT242" t="str">
            <v/>
          </cell>
          <cell r="DU242" t="str">
            <v/>
          </cell>
          <cell r="DV242" t="str">
            <v/>
          </cell>
          <cell r="DW242" t="str">
            <v/>
          </cell>
          <cell r="DX242" t="str">
            <v/>
          </cell>
          <cell r="DY242" t="str">
            <v/>
          </cell>
          <cell r="DZ242" t="str">
            <v/>
          </cell>
          <cell r="EA242" t="str">
            <v/>
          </cell>
          <cell r="EB242" t="str">
            <v/>
          </cell>
          <cell r="EC242" t="str">
            <v/>
          </cell>
          <cell r="ED242" t="str">
            <v/>
          </cell>
          <cell r="EE242" t="str">
            <v/>
          </cell>
          <cell r="EF242" t="str">
            <v/>
          </cell>
          <cell r="EG242" t="str">
            <v/>
          </cell>
          <cell r="EH242" t="str">
            <v/>
          </cell>
          <cell r="EI242" t="str">
            <v/>
          </cell>
          <cell r="EJ242" t="str">
            <v/>
          </cell>
          <cell r="EK242" t="str">
            <v/>
          </cell>
          <cell r="EL242" t="str">
            <v/>
          </cell>
          <cell r="EM242" t="str">
            <v/>
          </cell>
          <cell r="EN242" t="str">
            <v/>
          </cell>
          <cell r="EO242" t="str">
            <v/>
          </cell>
          <cell r="EP242" t="str">
            <v/>
          </cell>
          <cell r="EQ242" t="str">
            <v/>
          </cell>
          <cell r="ER242" t="str">
            <v/>
          </cell>
          <cell r="ES242" t="str">
            <v/>
          </cell>
          <cell r="ET242" t="str">
            <v/>
          </cell>
          <cell r="EU242" t="str">
            <v/>
          </cell>
          <cell r="EV242" t="str">
            <v/>
          </cell>
          <cell r="EW242" t="str">
            <v/>
          </cell>
          <cell r="EX242" t="str">
            <v/>
          </cell>
          <cell r="EY242" t="str">
            <v/>
          </cell>
          <cell r="EZ242" t="str">
            <v/>
          </cell>
          <cell r="FA242" t="str">
            <v/>
          </cell>
          <cell r="FB242" t="str">
            <v/>
          </cell>
          <cell r="FC242" t="str">
            <v/>
          </cell>
          <cell r="FD242" t="str">
            <v/>
          </cell>
          <cell r="FE242" t="str">
            <v/>
          </cell>
          <cell r="FF242" t="str">
            <v/>
          </cell>
          <cell r="FG242" t="str">
            <v/>
          </cell>
          <cell r="FH242" t="str">
            <v/>
          </cell>
          <cell r="FI242" t="str">
            <v/>
          </cell>
          <cell r="FJ242">
            <v>0</v>
          </cell>
          <cell r="FK242">
            <v>0</v>
          </cell>
          <cell r="FL242">
            <v>0</v>
          </cell>
          <cell r="FM242">
            <v>0</v>
          </cell>
          <cell r="FN242">
            <v>0</v>
          </cell>
          <cell r="FO242">
            <v>0</v>
          </cell>
          <cell r="FP242">
            <v>0</v>
          </cell>
          <cell r="FQ242">
            <v>0</v>
          </cell>
          <cell r="FR242">
            <v>0</v>
          </cell>
          <cell r="FS242">
            <v>0</v>
          </cell>
          <cell r="FT242">
            <v>0</v>
          </cell>
          <cell r="FU242">
            <v>0</v>
          </cell>
          <cell r="FV242">
            <v>0</v>
          </cell>
          <cell r="FW242">
            <v>0</v>
          </cell>
          <cell r="FX242">
            <v>0</v>
          </cell>
          <cell r="FY242">
            <v>0</v>
          </cell>
          <cell r="FZ242">
            <v>0</v>
          </cell>
          <cell r="GA242">
            <v>0</v>
          </cell>
          <cell r="GB242">
            <v>0</v>
          </cell>
        </row>
        <row r="243">
          <cell r="V243" t="str">
            <v>INK &amp; PAINT</v>
          </cell>
          <cell r="W243">
            <v>8</v>
          </cell>
          <cell r="X243">
            <v>58000</v>
          </cell>
          <cell r="Y243">
            <v>0</v>
          </cell>
          <cell r="Z243">
            <v>0</v>
          </cell>
          <cell r="AA243" t="str">
            <v/>
          </cell>
          <cell r="AB243" t="str">
            <v/>
          </cell>
          <cell r="AC243" t="str">
            <v/>
          </cell>
          <cell r="AD243" t="str">
            <v/>
          </cell>
          <cell r="AE243" t="str">
            <v/>
          </cell>
          <cell r="AF243" t="str">
            <v/>
          </cell>
          <cell r="AG243" t="str">
            <v/>
          </cell>
          <cell r="AH243" t="str">
            <v/>
          </cell>
          <cell r="AI243" t="str">
            <v/>
          </cell>
          <cell r="AJ243" t="str">
            <v/>
          </cell>
          <cell r="AK243" t="str">
            <v/>
          </cell>
          <cell r="AL243" t="str">
            <v/>
          </cell>
          <cell r="AM243" t="str">
            <v/>
          </cell>
          <cell r="AN243" t="str">
            <v/>
          </cell>
          <cell r="AO243" t="str">
            <v/>
          </cell>
          <cell r="AP243" t="str">
            <v/>
          </cell>
          <cell r="AQ243" t="str">
            <v/>
          </cell>
          <cell r="AR243" t="str">
            <v/>
          </cell>
          <cell r="AS243" t="str">
            <v/>
          </cell>
          <cell r="AT243" t="str">
            <v/>
          </cell>
          <cell r="AU243" t="str">
            <v/>
          </cell>
          <cell r="AV243" t="str">
            <v/>
          </cell>
          <cell r="AW243" t="str">
            <v/>
          </cell>
          <cell r="AX243" t="str">
            <v/>
          </cell>
          <cell r="AY243" t="str">
            <v/>
          </cell>
          <cell r="AZ243" t="str">
            <v/>
          </cell>
          <cell r="BA243" t="str">
            <v/>
          </cell>
          <cell r="BB243" t="str">
            <v/>
          </cell>
          <cell r="BC243" t="str">
            <v/>
          </cell>
          <cell r="BD243" t="str">
            <v/>
          </cell>
          <cell r="BE243" t="str">
            <v/>
          </cell>
          <cell r="BF243" t="str">
            <v/>
          </cell>
          <cell r="BG243" t="str">
            <v/>
          </cell>
          <cell r="BH243" t="str">
            <v/>
          </cell>
          <cell r="BI243" t="str">
            <v/>
          </cell>
          <cell r="BJ243" t="str">
            <v/>
          </cell>
          <cell r="BK243" t="str">
            <v/>
          </cell>
          <cell r="BL243" t="str">
            <v/>
          </cell>
          <cell r="BM243" t="str">
            <v/>
          </cell>
          <cell r="BN243" t="str">
            <v/>
          </cell>
          <cell r="BO243" t="str">
            <v/>
          </cell>
          <cell r="BP243" t="str">
            <v/>
          </cell>
          <cell r="BQ243" t="str">
            <v/>
          </cell>
          <cell r="BR243" t="str">
            <v/>
          </cell>
          <cell r="BS243" t="str">
            <v/>
          </cell>
          <cell r="BT243" t="str">
            <v/>
          </cell>
          <cell r="BU243" t="str">
            <v/>
          </cell>
          <cell r="BV243" t="str">
            <v/>
          </cell>
          <cell r="BW243" t="str">
            <v/>
          </cell>
          <cell r="BX243" t="str">
            <v/>
          </cell>
          <cell r="BY243" t="str">
            <v/>
          </cell>
          <cell r="BZ243" t="str">
            <v/>
          </cell>
          <cell r="CA243" t="str">
            <v/>
          </cell>
          <cell r="CB243" t="str">
            <v/>
          </cell>
          <cell r="CC243" t="str">
            <v/>
          </cell>
          <cell r="CD243" t="str">
            <v/>
          </cell>
          <cell r="CE243" t="str">
            <v/>
          </cell>
          <cell r="CF243" t="str">
            <v/>
          </cell>
          <cell r="CG243" t="str">
            <v/>
          </cell>
          <cell r="CH243">
            <v>35968</v>
          </cell>
          <cell r="CI243">
            <v>35975</v>
          </cell>
          <cell r="CJ243">
            <v>35982</v>
          </cell>
          <cell r="CK243">
            <v>35989</v>
          </cell>
          <cell r="CL243">
            <v>35996</v>
          </cell>
          <cell r="CM243">
            <v>36003</v>
          </cell>
          <cell r="CN243">
            <v>36010</v>
          </cell>
          <cell r="CO243">
            <v>36017</v>
          </cell>
          <cell r="CP243">
            <v>36024</v>
          </cell>
          <cell r="CQ243">
            <v>36031</v>
          </cell>
          <cell r="CR243">
            <v>36038</v>
          </cell>
          <cell r="CS243">
            <v>36045</v>
          </cell>
          <cell r="CT243">
            <v>36052</v>
          </cell>
          <cell r="CU243">
            <v>36059</v>
          </cell>
          <cell r="CV243">
            <v>36066</v>
          </cell>
          <cell r="CW243">
            <v>36073</v>
          </cell>
          <cell r="CX243" t="str">
            <v/>
          </cell>
          <cell r="CY243" t="str">
            <v/>
          </cell>
          <cell r="CZ243" t="str">
            <v/>
          </cell>
          <cell r="DA243" t="str">
            <v/>
          </cell>
          <cell r="DB243" t="str">
            <v/>
          </cell>
          <cell r="DC243" t="str">
            <v/>
          </cell>
          <cell r="DD243" t="str">
            <v/>
          </cell>
          <cell r="DE243" t="str">
            <v/>
          </cell>
          <cell r="DF243" t="str">
            <v/>
          </cell>
          <cell r="DG243" t="str">
            <v/>
          </cell>
          <cell r="DH243" t="str">
            <v/>
          </cell>
          <cell r="DI243" t="str">
            <v/>
          </cell>
          <cell r="DJ243" t="str">
            <v/>
          </cell>
          <cell r="DK243" t="str">
            <v/>
          </cell>
          <cell r="DL243" t="str">
            <v/>
          </cell>
          <cell r="DM243" t="str">
            <v/>
          </cell>
          <cell r="DN243" t="str">
            <v/>
          </cell>
          <cell r="DO243" t="str">
            <v/>
          </cell>
          <cell r="DP243" t="str">
            <v/>
          </cell>
          <cell r="DQ243" t="str">
            <v/>
          </cell>
          <cell r="DR243" t="str">
            <v/>
          </cell>
          <cell r="DS243" t="str">
            <v/>
          </cell>
          <cell r="DT243" t="str">
            <v/>
          </cell>
          <cell r="DU243" t="str">
            <v/>
          </cell>
          <cell r="DV243" t="str">
            <v/>
          </cell>
          <cell r="DW243" t="str">
            <v/>
          </cell>
          <cell r="DX243" t="str">
            <v/>
          </cell>
          <cell r="DY243" t="str">
            <v/>
          </cell>
          <cell r="DZ243" t="str">
            <v/>
          </cell>
          <cell r="EA243" t="str">
            <v/>
          </cell>
          <cell r="EB243" t="str">
            <v/>
          </cell>
          <cell r="EC243" t="str">
            <v/>
          </cell>
          <cell r="ED243" t="str">
            <v/>
          </cell>
          <cell r="EE243" t="str">
            <v/>
          </cell>
          <cell r="EF243" t="str">
            <v/>
          </cell>
          <cell r="EG243" t="str">
            <v/>
          </cell>
          <cell r="EH243" t="str">
            <v/>
          </cell>
          <cell r="EI243" t="str">
            <v/>
          </cell>
          <cell r="EJ243" t="str">
            <v/>
          </cell>
          <cell r="EK243" t="str">
            <v/>
          </cell>
          <cell r="EL243" t="str">
            <v/>
          </cell>
          <cell r="EM243" t="str">
            <v/>
          </cell>
          <cell r="EN243" t="str">
            <v/>
          </cell>
          <cell r="EO243" t="str">
            <v/>
          </cell>
          <cell r="EP243" t="str">
            <v/>
          </cell>
          <cell r="EQ243" t="str">
            <v/>
          </cell>
          <cell r="ER243" t="str">
            <v/>
          </cell>
          <cell r="ES243" t="str">
            <v/>
          </cell>
          <cell r="ET243" t="str">
            <v/>
          </cell>
          <cell r="EU243" t="str">
            <v/>
          </cell>
          <cell r="EV243" t="str">
            <v/>
          </cell>
          <cell r="EW243" t="str">
            <v/>
          </cell>
          <cell r="EX243" t="str">
            <v/>
          </cell>
          <cell r="EY243" t="str">
            <v/>
          </cell>
          <cell r="EZ243" t="str">
            <v/>
          </cell>
          <cell r="FA243" t="str">
            <v/>
          </cell>
          <cell r="FB243" t="str">
            <v/>
          </cell>
          <cell r="FC243" t="str">
            <v/>
          </cell>
          <cell r="FD243" t="str">
            <v/>
          </cell>
          <cell r="FE243" t="str">
            <v/>
          </cell>
          <cell r="FF243" t="str">
            <v/>
          </cell>
          <cell r="FG243" t="str">
            <v/>
          </cell>
          <cell r="FH243" t="str">
            <v/>
          </cell>
          <cell r="FI243" t="str">
            <v/>
          </cell>
          <cell r="FJ243">
            <v>0</v>
          </cell>
          <cell r="FK243">
            <v>0</v>
          </cell>
          <cell r="FL243">
            <v>0</v>
          </cell>
          <cell r="FM243">
            <v>0</v>
          </cell>
          <cell r="FN243">
            <v>0</v>
          </cell>
          <cell r="FO243">
            <v>0</v>
          </cell>
          <cell r="FP243">
            <v>0</v>
          </cell>
          <cell r="FQ243">
            <v>0</v>
          </cell>
          <cell r="FR243">
            <v>0</v>
          </cell>
          <cell r="FS243">
            <v>0</v>
          </cell>
          <cell r="FT243">
            <v>0</v>
          </cell>
          <cell r="FU243">
            <v>0</v>
          </cell>
          <cell r="FV243">
            <v>0</v>
          </cell>
          <cell r="FW243">
            <v>0</v>
          </cell>
          <cell r="FX243">
            <v>0</v>
          </cell>
          <cell r="FY243">
            <v>0</v>
          </cell>
          <cell r="FZ243">
            <v>0</v>
          </cell>
          <cell r="GA243">
            <v>0</v>
          </cell>
          <cell r="GB243">
            <v>0</v>
          </cell>
        </row>
        <row r="244">
          <cell r="V244" t="str">
            <v>INK &amp; PAINT</v>
          </cell>
          <cell r="W244">
            <v>8</v>
          </cell>
          <cell r="X244">
            <v>58000</v>
          </cell>
          <cell r="Y244">
            <v>0</v>
          </cell>
          <cell r="Z244">
            <v>0</v>
          </cell>
          <cell r="AA244" t="str">
            <v/>
          </cell>
          <cell r="AB244" t="str">
            <v/>
          </cell>
          <cell r="AC244" t="str">
            <v/>
          </cell>
          <cell r="AD244" t="str">
            <v/>
          </cell>
          <cell r="AE244" t="str">
            <v/>
          </cell>
          <cell r="AF244" t="str">
            <v/>
          </cell>
          <cell r="AG244" t="str">
            <v/>
          </cell>
          <cell r="AH244" t="str">
            <v/>
          </cell>
          <cell r="AI244" t="str">
            <v/>
          </cell>
          <cell r="AJ244" t="str">
            <v/>
          </cell>
          <cell r="AK244" t="str">
            <v/>
          </cell>
          <cell r="AL244" t="str">
            <v/>
          </cell>
          <cell r="AM244" t="str">
            <v/>
          </cell>
          <cell r="AN244" t="str">
            <v/>
          </cell>
          <cell r="AO244" t="str">
            <v/>
          </cell>
          <cell r="AP244" t="str">
            <v/>
          </cell>
          <cell r="AQ244" t="str">
            <v/>
          </cell>
          <cell r="AR244" t="str">
            <v/>
          </cell>
          <cell r="AS244" t="str">
            <v/>
          </cell>
          <cell r="AT244" t="str">
            <v/>
          </cell>
          <cell r="AU244" t="str">
            <v/>
          </cell>
          <cell r="AV244" t="str">
            <v/>
          </cell>
          <cell r="AW244" t="str">
            <v/>
          </cell>
          <cell r="AX244" t="str">
            <v/>
          </cell>
          <cell r="AY244" t="str">
            <v/>
          </cell>
          <cell r="AZ244" t="str">
            <v/>
          </cell>
          <cell r="BA244" t="str">
            <v/>
          </cell>
          <cell r="BB244" t="str">
            <v/>
          </cell>
          <cell r="BC244" t="str">
            <v/>
          </cell>
          <cell r="BD244" t="str">
            <v/>
          </cell>
          <cell r="BE244" t="str">
            <v/>
          </cell>
          <cell r="BF244" t="str">
            <v/>
          </cell>
          <cell r="BG244" t="str">
            <v/>
          </cell>
          <cell r="BH244" t="str">
            <v/>
          </cell>
          <cell r="BI244" t="str">
            <v/>
          </cell>
          <cell r="BJ244" t="str">
            <v/>
          </cell>
          <cell r="BK244" t="str">
            <v/>
          </cell>
          <cell r="BL244" t="str">
            <v/>
          </cell>
          <cell r="BM244" t="str">
            <v/>
          </cell>
          <cell r="BN244" t="str">
            <v/>
          </cell>
          <cell r="BO244" t="str">
            <v/>
          </cell>
          <cell r="BP244" t="str">
            <v/>
          </cell>
          <cell r="BQ244" t="str">
            <v/>
          </cell>
          <cell r="BR244" t="str">
            <v/>
          </cell>
          <cell r="BS244" t="str">
            <v/>
          </cell>
          <cell r="BT244" t="str">
            <v/>
          </cell>
          <cell r="BU244" t="str">
            <v/>
          </cell>
          <cell r="BV244" t="str">
            <v/>
          </cell>
          <cell r="BW244" t="str">
            <v/>
          </cell>
          <cell r="BX244" t="str">
            <v/>
          </cell>
          <cell r="BY244" t="str">
            <v/>
          </cell>
          <cell r="BZ244" t="str">
            <v/>
          </cell>
          <cell r="CA244" t="str">
            <v/>
          </cell>
          <cell r="CB244" t="str">
            <v/>
          </cell>
          <cell r="CC244" t="str">
            <v/>
          </cell>
          <cell r="CD244" t="str">
            <v/>
          </cell>
          <cell r="CE244" t="str">
            <v/>
          </cell>
          <cell r="CF244" t="str">
            <v/>
          </cell>
          <cell r="CG244" t="str">
            <v/>
          </cell>
          <cell r="CH244">
            <v>1000</v>
          </cell>
          <cell r="CI244">
            <v>2000</v>
          </cell>
          <cell r="CJ244">
            <v>3000</v>
          </cell>
          <cell r="CK244">
            <v>4000</v>
          </cell>
          <cell r="CL244">
            <v>4000</v>
          </cell>
          <cell r="CM244">
            <v>4000</v>
          </cell>
          <cell r="CN244">
            <v>4000</v>
          </cell>
          <cell r="CO244">
            <v>4000</v>
          </cell>
          <cell r="CP244">
            <v>4000</v>
          </cell>
          <cell r="CQ244">
            <v>4000</v>
          </cell>
          <cell r="CR244">
            <v>4000</v>
          </cell>
          <cell r="CS244">
            <v>4000</v>
          </cell>
          <cell r="CT244">
            <v>4000</v>
          </cell>
          <cell r="CU244">
            <v>4000</v>
          </cell>
          <cell r="CV244">
            <v>4000</v>
          </cell>
          <cell r="CW244">
            <v>4000</v>
          </cell>
          <cell r="CX244" t="str">
            <v/>
          </cell>
          <cell r="CY244" t="str">
            <v/>
          </cell>
          <cell r="CZ244" t="str">
            <v/>
          </cell>
          <cell r="DA244" t="str">
            <v/>
          </cell>
          <cell r="DB244" t="str">
            <v/>
          </cell>
          <cell r="DC244" t="str">
            <v/>
          </cell>
          <cell r="DD244" t="str">
            <v/>
          </cell>
          <cell r="DE244" t="str">
            <v/>
          </cell>
          <cell r="DF244" t="str">
            <v/>
          </cell>
          <cell r="DG244" t="str">
            <v/>
          </cell>
          <cell r="DH244" t="str">
            <v/>
          </cell>
          <cell r="DI244" t="str">
            <v/>
          </cell>
          <cell r="DJ244" t="str">
            <v/>
          </cell>
          <cell r="DK244" t="str">
            <v/>
          </cell>
          <cell r="DL244" t="str">
            <v/>
          </cell>
          <cell r="DM244" t="str">
            <v/>
          </cell>
          <cell r="DN244" t="str">
            <v/>
          </cell>
          <cell r="DO244" t="str">
            <v/>
          </cell>
          <cell r="DP244" t="str">
            <v/>
          </cell>
          <cell r="DQ244" t="str">
            <v/>
          </cell>
          <cell r="DR244" t="str">
            <v/>
          </cell>
          <cell r="DS244" t="str">
            <v/>
          </cell>
          <cell r="DT244" t="str">
            <v/>
          </cell>
          <cell r="DU244" t="str">
            <v/>
          </cell>
          <cell r="DV244" t="str">
            <v/>
          </cell>
          <cell r="DW244" t="str">
            <v/>
          </cell>
          <cell r="DX244" t="str">
            <v/>
          </cell>
          <cell r="DY244" t="str">
            <v/>
          </cell>
          <cell r="DZ244" t="str">
            <v/>
          </cell>
          <cell r="EA244" t="str">
            <v/>
          </cell>
          <cell r="EB244" t="str">
            <v/>
          </cell>
          <cell r="EC244" t="str">
            <v/>
          </cell>
          <cell r="ED244" t="str">
            <v/>
          </cell>
          <cell r="EE244" t="str">
            <v/>
          </cell>
          <cell r="EF244" t="str">
            <v/>
          </cell>
          <cell r="EG244" t="str">
            <v/>
          </cell>
          <cell r="EH244" t="str">
            <v/>
          </cell>
          <cell r="EI244" t="str">
            <v/>
          </cell>
          <cell r="EJ244" t="str">
            <v/>
          </cell>
          <cell r="EK244" t="str">
            <v/>
          </cell>
          <cell r="EL244" t="str">
            <v/>
          </cell>
          <cell r="EM244" t="str">
            <v/>
          </cell>
          <cell r="EN244" t="str">
            <v/>
          </cell>
          <cell r="EO244" t="str">
            <v/>
          </cell>
          <cell r="EP244" t="str">
            <v/>
          </cell>
          <cell r="EQ244" t="str">
            <v/>
          </cell>
          <cell r="ER244" t="str">
            <v/>
          </cell>
          <cell r="ES244" t="str">
            <v/>
          </cell>
          <cell r="ET244" t="str">
            <v/>
          </cell>
          <cell r="EU244" t="str">
            <v/>
          </cell>
          <cell r="EV244" t="str">
            <v/>
          </cell>
          <cell r="EW244" t="str">
            <v/>
          </cell>
          <cell r="EX244" t="str">
            <v/>
          </cell>
          <cell r="EY244" t="str">
            <v/>
          </cell>
          <cell r="EZ244" t="str">
            <v/>
          </cell>
          <cell r="FA244" t="str">
            <v/>
          </cell>
          <cell r="FB244" t="str">
            <v/>
          </cell>
          <cell r="FC244" t="str">
            <v/>
          </cell>
          <cell r="FD244" t="str">
            <v/>
          </cell>
          <cell r="FE244" t="str">
            <v/>
          </cell>
          <cell r="FF244" t="str">
            <v/>
          </cell>
          <cell r="FG244" t="str">
            <v/>
          </cell>
          <cell r="FH244" t="str">
            <v/>
          </cell>
          <cell r="FI244" t="str">
            <v/>
          </cell>
          <cell r="FJ244">
            <v>0</v>
          </cell>
          <cell r="FK244">
            <v>0</v>
          </cell>
          <cell r="FL244">
            <v>0</v>
          </cell>
          <cell r="FM244">
            <v>0</v>
          </cell>
          <cell r="FN244">
            <v>0</v>
          </cell>
          <cell r="FO244">
            <v>0</v>
          </cell>
          <cell r="FP244">
            <v>0</v>
          </cell>
          <cell r="FQ244">
            <v>0</v>
          </cell>
          <cell r="FR244">
            <v>0</v>
          </cell>
          <cell r="FS244">
            <v>0</v>
          </cell>
          <cell r="FT244">
            <v>0</v>
          </cell>
          <cell r="FU244">
            <v>0</v>
          </cell>
          <cell r="FV244">
            <v>0</v>
          </cell>
          <cell r="FW244">
            <v>0</v>
          </cell>
          <cell r="FX244">
            <v>0</v>
          </cell>
          <cell r="FY244">
            <v>0</v>
          </cell>
          <cell r="FZ244">
            <v>0</v>
          </cell>
          <cell r="GA244">
            <v>0</v>
          </cell>
          <cell r="GB244">
            <v>0</v>
          </cell>
        </row>
        <row r="245">
          <cell r="X245" t="str">
            <v>DIRECT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3750</v>
          </cell>
          <cell r="BZ245">
            <v>7500</v>
          </cell>
          <cell r="CA245">
            <v>11250</v>
          </cell>
          <cell r="CB245">
            <v>15000</v>
          </cell>
          <cell r="CC245">
            <v>50933</v>
          </cell>
          <cell r="CD245">
            <v>50940</v>
          </cell>
          <cell r="CE245">
            <v>50947</v>
          </cell>
          <cell r="CF245">
            <v>69704</v>
          </cell>
          <cell r="CG245">
            <v>88461</v>
          </cell>
          <cell r="CH245">
            <v>144186</v>
          </cell>
          <cell r="CI245">
            <v>163950</v>
          </cell>
          <cell r="CJ245">
            <v>164964</v>
          </cell>
          <cell r="CK245">
            <v>165978</v>
          </cell>
          <cell r="CL245">
            <v>165992</v>
          </cell>
          <cell r="CM245">
            <v>166006</v>
          </cell>
          <cell r="CN245">
            <v>166020</v>
          </cell>
          <cell r="CO245">
            <v>151034</v>
          </cell>
          <cell r="CP245">
            <v>151048</v>
          </cell>
          <cell r="CQ245">
            <v>151062</v>
          </cell>
          <cell r="CR245">
            <v>151076</v>
          </cell>
          <cell r="CS245">
            <v>151090</v>
          </cell>
          <cell r="CT245">
            <v>151104</v>
          </cell>
          <cell r="CU245">
            <v>151118</v>
          </cell>
          <cell r="CV245">
            <v>40066</v>
          </cell>
          <cell r="CW245">
            <v>40073</v>
          </cell>
          <cell r="CX245">
            <v>0</v>
          </cell>
          <cell r="CY245">
            <v>0</v>
          </cell>
          <cell r="CZ245">
            <v>0</v>
          </cell>
          <cell r="DA245">
            <v>0</v>
          </cell>
          <cell r="DB245">
            <v>0</v>
          </cell>
          <cell r="DC245">
            <v>0</v>
          </cell>
          <cell r="DD245">
            <v>0</v>
          </cell>
          <cell r="DE245">
            <v>0</v>
          </cell>
          <cell r="DF245">
            <v>0</v>
          </cell>
          <cell r="DG245">
            <v>0</v>
          </cell>
          <cell r="DH245">
            <v>0</v>
          </cell>
          <cell r="DI245">
            <v>0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0</v>
          </cell>
          <cell r="DT245">
            <v>0</v>
          </cell>
          <cell r="DU245">
            <v>0</v>
          </cell>
          <cell r="DV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  <cell r="EA245">
            <v>0</v>
          </cell>
          <cell r="EB245">
            <v>0</v>
          </cell>
          <cell r="EC245">
            <v>0</v>
          </cell>
          <cell r="ED245">
            <v>0</v>
          </cell>
          <cell r="EE245">
            <v>0</v>
          </cell>
          <cell r="EF245">
            <v>0</v>
          </cell>
          <cell r="EG245">
            <v>0</v>
          </cell>
          <cell r="EH245">
            <v>0</v>
          </cell>
          <cell r="EI245">
            <v>0</v>
          </cell>
          <cell r="EJ245">
            <v>0</v>
          </cell>
          <cell r="EK245">
            <v>0</v>
          </cell>
          <cell r="EL245">
            <v>0</v>
          </cell>
          <cell r="EM245">
            <v>0</v>
          </cell>
          <cell r="EN245">
            <v>0</v>
          </cell>
          <cell r="EO245">
            <v>0</v>
          </cell>
          <cell r="EP245">
            <v>0</v>
          </cell>
          <cell r="EQ245">
            <v>0</v>
          </cell>
          <cell r="ER245">
            <v>0</v>
          </cell>
          <cell r="ES245">
            <v>0</v>
          </cell>
          <cell r="ET245">
            <v>0</v>
          </cell>
          <cell r="EU245">
            <v>0</v>
          </cell>
          <cell r="EV245">
            <v>0</v>
          </cell>
          <cell r="EW245">
            <v>0</v>
          </cell>
          <cell r="EX245">
            <v>0</v>
          </cell>
          <cell r="EY245">
            <v>0</v>
          </cell>
          <cell r="EZ245">
            <v>0</v>
          </cell>
          <cell r="FA245">
            <v>0</v>
          </cell>
          <cell r="FB245">
            <v>0</v>
          </cell>
          <cell r="FC245">
            <v>0</v>
          </cell>
          <cell r="FD245">
            <v>0</v>
          </cell>
          <cell r="FE245">
            <v>0</v>
          </cell>
          <cell r="FF245">
            <v>0</v>
          </cell>
          <cell r="FG245">
            <v>0</v>
          </cell>
          <cell r="FH245">
            <v>0</v>
          </cell>
          <cell r="FI245">
            <v>0</v>
          </cell>
          <cell r="FJ245">
            <v>0</v>
          </cell>
          <cell r="FK245">
            <v>0</v>
          </cell>
          <cell r="FL245">
            <v>0</v>
          </cell>
          <cell r="FM245">
            <v>0</v>
          </cell>
          <cell r="FN245">
            <v>0</v>
          </cell>
          <cell r="FO245">
            <v>0</v>
          </cell>
          <cell r="FP245">
            <v>0</v>
          </cell>
          <cell r="FQ245">
            <v>0</v>
          </cell>
          <cell r="FR245">
            <v>0</v>
          </cell>
          <cell r="FS245">
            <v>0</v>
          </cell>
          <cell r="FT245">
            <v>0</v>
          </cell>
          <cell r="FU245">
            <v>0</v>
          </cell>
          <cell r="FV245">
            <v>0</v>
          </cell>
          <cell r="FW245">
            <v>0</v>
          </cell>
          <cell r="FX245">
            <v>0</v>
          </cell>
          <cell r="FY245">
            <v>0</v>
          </cell>
          <cell r="FZ245">
            <v>0</v>
          </cell>
          <cell r="GA245">
            <v>0</v>
          </cell>
          <cell r="GB245">
            <v>0</v>
          </cell>
        </row>
        <row r="246">
          <cell r="X246" t="str">
            <v>DIRECT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3750</v>
          </cell>
          <cell r="BZ246">
            <v>7500</v>
          </cell>
          <cell r="CA246">
            <v>11250</v>
          </cell>
          <cell r="CB246">
            <v>15000</v>
          </cell>
          <cell r="CC246">
            <v>50933</v>
          </cell>
          <cell r="CD246">
            <v>50940</v>
          </cell>
          <cell r="CE246">
            <v>50947</v>
          </cell>
          <cell r="CF246">
            <v>69704</v>
          </cell>
          <cell r="CG246">
            <v>88461</v>
          </cell>
          <cell r="CH246">
            <v>144186</v>
          </cell>
          <cell r="CI246">
            <v>163950</v>
          </cell>
          <cell r="CJ246">
            <v>164964</v>
          </cell>
          <cell r="CK246">
            <v>165978</v>
          </cell>
          <cell r="CL246">
            <v>165992</v>
          </cell>
          <cell r="CM246">
            <v>166006</v>
          </cell>
          <cell r="CN246">
            <v>166020</v>
          </cell>
          <cell r="CO246">
            <v>151034</v>
          </cell>
          <cell r="CP246">
            <v>151048</v>
          </cell>
          <cell r="CQ246">
            <v>151062</v>
          </cell>
          <cell r="CR246">
            <v>151076</v>
          </cell>
          <cell r="CS246">
            <v>151090</v>
          </cell>
          <cell r="CT246">
            <v>151104</v>
          </cell>
          <cell r="CU246">
            <v>151118</v>
          </cell>
          <cell r="CV246">
            <v>40066</v>
          </cell>
          <cell r="CW246">
            <v>40073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K246">
            <v>0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  <cell r="DP246">
            <v>0</v>
          </cell>
          <cell r="DQ246">
            <v>0</v>
          </cell>
          <cell r="DR246">
            <v>0</v>
          </cell>
          <cell r="DS246">
            <v>0</v>
          </cell>
          <cell r="DT246">
            <v>0</v>
          </cell>
          <cell r="DU246">
            <v>0</v>
          </cell>
          <cell r="DV246">
            <v>0</v>
          </cell>
          <cell r="DW246">
            <v>0</v>
          </cell>
          <cell r="DX246">
            <v>0</v>
          </cell>
          <cell r="DY246">
            <v>0</v>
          </cell>
          <cell r="DZ246">
            <v>0</v>
          </cell>
          <cell r="EA246">
            <v>0</v>
          </cell>
          <cell r="EB246">
            <v>0</v>
          </cell>
          <cell r="EC246">
            <v>0</v>
          </cell>
          <cell r="ED246">
            <v>0</v>
          </cell>
          <cell r="EE246">
            <v>0</v>
          </cell>
          <cell r="EF246">
            <v>0</v>
          </cell>
          <cell r="EG246">
            <v>0</v>
          </cell>
          <cell r="EH246">
            <v>0</v>
          </cell>
          <cell r="EI246">
            <v>0</v>
          </cell>
          <cell r="EJ246">
            <v>0</v>
          </cell>
          <cell r="EK246">
            <v>0</v>
          </cell>
          <cell r="EL246">
            <v>0</v>
          </cell>
          <cell r="EM246">
            <v>0</v>
          </cell>
          <cell r="EN246">
            <v>0</v>
          </cell>
          <cell r="EO246">
            <v>0</v>
          </cell>
          <cell r="EP246">
            <v>0</v>
          </cell>
          <cell r="EQ246">
            <v>0</v>
          </cell>
          <cell r="ER246">
            <v>0</v>
          </cell>
          <cell r="ES246">
            <v>0</v>
          </cell>
          <cell r="ET246">
            <v>0</v>
          </cell>
          <cell r="EU246">
            <v>0</v>
          </cell>
          <cell r="EV246">
            <v>0</v>
          </cell>
          <cell r="EW246">
            <v>0</v>
          </cell>
          <cell r="EX246">
            <v>0</v>
          </cell>
          <cell r="EY246">
            <v>0</v>
          </cell>
          <cell r="EZ246">
            <v>0</v>
          </cell>
          <cell r="FA246">
            <v>0</v>
          </cell>
          <cell r="FB246">
            <v>0</v>
          </cell>
          <cell r="FC246">
            <v>0</v>
          </cell>
          <cell r="FD246">
            <v>0</v>
          </cell>
          <cell r="FE246">
            <v>0</v>
          </cell>
          <cell r="FF246">
            <v>0</v>
          </cell>
          <cell r="FG246">
            <v>0</v>
          </cell>
          <cell r="FH246">
            <v>0</v>
          </cell>
          <cell r="FI246">
            <v>0</v>
          </cell>
          <cell r="FJ246">
            <v>0</v>
          </cell>
          <cell r="FK246">
            <v>0</v>
          </cell>
          <cell r="FL246">
            <v>0</v>
          </cell>
          <cell r="FM246">
            <v>0</v>
          </cell>
          <cell r="FN246">
            <v>0</v>
          </cell>
          <cell r="FO246">
            <v>0</v>
          </cell>
          <cell r="FP246">
            <v>0</v>
          </cell>
          <cell r="FQ246">
            <v>0</v>
          </cell>
          <cell r="FR246">
            <v>0</v>
          </cell>
          <cell r="FS246">
            <v>0</v>
          </cell>
          <cell r="FT246">
            <v>0</v>
          </cell>
          <cell r="FU246">
            <v>0</v>
          </cell>
          <cell r="FV246">
            <v>0</v>
          </cell>
          <cell r="FW246">
            <v>0</v>
          </cell>
          <cell r="FX246">
            <v>0</v>
          </cell>
          <cell r="FY246">
            <v>0</v>
          </cell>
          <cell r="FZ246">
            <v>0</v>
          </cell>
          <cell r="GA246">
            <v>0</v>
          </cell>
          <cell r="GB246">
            <v>0</v>
          </cell>
        </row>
        <row r="247">
          <cell r="X247" t="str">
            <v>LOADED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5062.5</v>
          </cell>
          <cell r="BZ247">
            <v>10125</v>
          </cell>
          <cell r="CA247">
            <v>15187.5</v>
          </cell>
          <cell r="CB247">
            <v>20250</v>
          </cell>
          <cell r="CC247">
            <v>68759.55</v>
          </cell>
          <cell r="CD247">
            <v>68769</v>
          </cell>
          <cell r="CE247">
            <v>68778.45</v>
          </cell>
          <cell r="CF247">
            <v>94100.4</v>
          </cell>
          <cell r="CG247">
            <v>119422.35</v>
          </cell>
          <cell r="CH247">
            <v>194651.1</v>
          </cell>
          <cell r="CI247">
            <v>221332.5</v>
          </cell>
          <cell r="CJ247">
            <v>222701.4</v>
          </cell>
          <cell r="CK247">
            <v>224070.3</v>
          </cell>
          <cell r="CL247">
            <v>224089.2</v>
          </cell>
          <cell r="CM247">
            <v>224108.1</v>
          </cell>
          <cell r="CN247">
            <v>224127</v>
          </cell>
          <cell r="CO247">
            <v>203895.9</v>
          </cell>
          <cell r="CP247">
            <v>203914.8</v>
          </cell>
          <cell r="CQ247">
            <v>203933.7</v>
          </cell>
          <cell r="CR247">
            <v>203952.6</v>
          </cell>
          <cell r="CS247">
            <v>203971.5</v>
          </cell>
          <cell r="CT247">
            <v>203990.39999999999</v>
          </cell>
          <cell r="CU247">
            <v>204009.3</v>
          </cell>
          <cell r="CV247">
            <v>54089.1</v>
          </cell>
          <cell r="CW247">
            <v>54098.55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G247">
            <v>0</v>
          </cell>
          <cell r="EH247">
            <v>0</v>
          </cell>
          <cell r="EI247">
            <v>0</v>
          </cell>
          <cell r="EJ247">
            <v>0</v>
          </cell>
          <cell r="EK247">
            <v>0</v>
          </cell>
          <cell r="EL247">
            <v>0</v>
          </cell>
          <cell r="EM247">
            <v>0</v>
          </cell>
          <cell r="EN247">
            <v>0</v>
          </cell>
          <cell r="EO247">
            <v>0</v>
          </cell>
          <cell r="EP247">
            <v>0</v>
          </cell>
          <cell r="EQ247">
            <v>0</v>
          </cell>
          <cell r="ER247">
            <v>0</v>
          </cell>
          <cell r="ES247">
            <v>0</v>
          </cell>
          <cell r="ET247">
            <v>0</v>
          </cell>
          <cell r="EU247">
            <v>0</v>
          </cell>
          <cell r="EV247">
            <v>0</v>
          </cell>
          <cell r="EW247">
            <v>0</v>
          </cell>
          <cell r="EX247">
            <v>0</v>
          </cell>
          <cell r="EY247">
            <v>0</v>
          </cell>
          <cell r="EZ247">
            <v>0</v>
          </cell>
          <cell r="FA247">
            <v>0</v>
          </cell>
          <cell r="FB247">
            <v>0</v>
          </cell>
          <cell r="FC247">
            <v>0</v>
          </cell>
          <cell r="FD247">
            <v>0</v>
          </cell>
          <cell r="FE247">
            <v>0</v>
          </cell>
          <cell r="FF247">
            <v>0</v>
          </cell>
          <cell r="FG247">
            <v>0</v>
          </cell>
          <cell r="FH247">
            <v>0</v>
          </cell>
          <cell r="FI247">
            <v>0</v>
          </cell>
          <cell r="FJ247">
            <v>0</v>
          </cell>
          <cell r="FK247">
            <v>0</v>
          </cell>
          <cell r="FL247">
            <v>0</v>
          </cell>
          <cell r="FM247">
            <v>0</v>
          </cell>
          <cell r="FN247">
            <v>0</v>
          </cell>
          <cell r="FO247">
            <v>0</v>
          </cell>
          <cell r="FP247">
            <v>0</v>
          </cell>
          <cell r="FQ247">
            <v>0</v>
          </cell>
          <cell r="FR247">
            <v>0</v>
          </cell>
          <cell r="FS247">
            <v>0</v>
          </cell>
          <cell r="FT247">
            <v>0</v>
          </cell>
          <cell r="FU247">
            <v>0</v>
          </cell>
          <cell r="FV247">
            <v>0</v>
          </cell>
          <cell r="FW247">
            <v>0</v>
          </cell>
          <cell r="FX247">
            <v>0</v>
          </cell>
          <cell r="FY247">
            <v>0</v>
          </cell>
          <cell r="FZ247">
            <v>0</v>
          </cell>
          <cell r="GA247">
            <v>0</v>
          </cell>
          <cell r="GB247">
            <v>0</v>
          </cell>
        </row>
        <row r="248">
          <cell r="V248" t="str">
            <v>PROJECTED RTM</v>
          </cell>
          <cell r="W248">
            <v>0</v>
          </cell>
          <cell r="X248" t="str">
            <v>CUMULATIVE TO DATE</v>
          </cell>
          <cell r="Y248">
            <v>175</v>
          </cell>
          <cell r="Z248">
            <v>98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5062.5</v>
          </cell>
          <cell r="BZ248">
            <v>10125</v>
          </cell>
          <cell r="CA248">
            <v>15187.5</v>
          </cell>
          <cell r="CB248">
            <v>20250</v>
          </cell>
          <cell r="CC248">
            <v>68759.55</v>
          </cell>
          <cell r="CD248">
            <v>68769</v>
          </cell>
          <cell r="CE248">
            <v>68778.45</v>
          </cell>
          <cell r="CF248">
            <v>94100.4</v>
          </cell>
          <cell r="CG248">
            <v>119422.35</v>
          </cell>
          <cell r="CH248">
            <v>194651.1</v>
          </cell>
          <cell r="CI248">
            <v>221332.5</v>
          </cell>
          <cell r="CJ248">
            <v>222701.4</v>
          </cell>
          <cell r="CK248">
            <v>224070.3</v>
          </cell>
          <cell r="CL248">
            <v>224089.2</v>
          </cell>
          <cell r="CM248">
            <v>224108.1</v>
          </cell>
          <cell r="CN248">
            <v>224127</v>
          </cell>
          <cell r="CO248">
            <v>203895.9</v>
          </cell>
          <cell r="CP248">
            <v>203914.8</v>
          </cell>
          <cell r="CQ248">
            <v>203933.7</v>
          </cell>
          <cell r="CR248">
            <v>203952.6</v>
          </cell>
          <cell r="CS248">
            <v>203971.5</v>
          </cell>
          <cell r="CT248">
            <v>203990.39999999999</v>
          </cell>
          <cell r="CU248">
            <v>204009.3</v>
          </cell>
          <cell r="CV248">
            <v>54089.1</v>
          </cell>
          <cell r="CW248">
            <v>54098.55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0</v>
          </cell>
          <cell r="DF248">
            <v>0</v>
          </cell>
          <cell r="DG248">
            <v>0</v>
          </cell>
          <cell r="DH248">
            <v>0</v>
          </cell>
          <cell r="DI248">
            <v>0</v>
          </cell>
          <cell r="DJ248">
            <v>0</v>
          </cell>
          <cell r="DK248">
            <v>0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  <cell r="DP248">
            <v>0</v>
          </cell>
          <cell r="DQ248">
            <v>0</v>
          </cell>
          <cell r="DR248">
            <v>0</v>
          </cell>
          <cell r="DS248">
            <v>0</v>
          </cell>
          <cell r="DT248">
            <v>0</v>
          </cell>
          <cell r="DU248">
            <v>0</v>
          </cell>
          <cell r="DV248">
            <v>0</v>
          </cell>
          <cell r="DW248">
            <v>0</v>
          </cell>
          <cell r="DX248">
            <v>0</v>
          </cell>
          <cell r="DY248">
            <v>0</v>
          </cell>
          <cell r="DZ248">
            <v>0</v>
          </cell>
          <cell r="EA248">
            <v>0</v>
          </cell>
          <cell r="EB248">
            <v>0</v>
          </cell>
          <cell r="EC248">
            <v>0</v>
          </cell>
          <cell r="ED248">
            <v>0</v>
          </cell>
          <cell r="EE248">
            <v>0</v>
          </cell>
          <cell r="EF248">
            <v>0</v>
          </cell>
          <cell r="EG248">
            <v>0</v>
          </cell>
          <cell r="EH248">
            <v>0</v>
          </cell>
          <cell r="EI248">
            <v>0</v>
          </cell>
          <cell r="EJ248">
            <v>0</v>
          </cell>
          <cell r="EK248">
            <v>0</v>
          </cell>
          <cell r="EL248">
            <v>0</v>
          </cell>
          <cell r="EM248">
            <v>0</v>
          </cell>
          <cell r="EN248">
            <v>0</v>
          </cell>
          <cell r="EO248">
            <v>0</v>
          </cell>
          <cell r="EP248">
            <v>0</v>
          </cell>
          <cell r="EQ248">
            <v>0</v>
          </cell>
          <cell r="ER248">
            <v>0</v>
          </cell>
          <cell r="ES248">
            <v>0</v>
          </cell>
          <cell r="ET248">
            <v>0</v>
          </cell>
          <cell r="EU248">
            <v>0</v>
          </cell>
          <cell r="EV248">
            <v>0</v>
          </cell>
          <cell r="EW248">
            <v>0</v>
          </cell>
          <cell r="EX248">
            <v>0</v>
          </cell>
          <cell r="EY248">
            <v>0</v>
          </cell>
          <cell r="EZ248">
            <v>0</v>
          </cell>
          <cell r="FA248">
            <v>0</v>
          </cell>
          <cell r="FB248">
            <v>0</v>
          </cell>
          <cell r="FC248">
            <v>0</v>
          </cell>
          <cell r="FD248">
            <v>0</v>
          </cell>
          <cell r="FE248">
            <v>0</v>
          </cell>
          <cell r="FF248">
            <v>0</v>
          </cell>
          <cell r="FG248">
            <v>0</v>
          </cell>
          <cell r="FH248">
            <v>0</v>
          </cell>
          <cell r="FI248">
            <v>0</v>
          </cell>
          <cell r="FJ248">
            <v>0</v>
          </cell>
          <cell r="FK248">
            <v>0</v>
          </cell>
          <cell r="FL248">
            <v>0</v>
          </cell>
          <cell r="FM248">
            <v>0</v>
          </cell>
          <cell r="FN248">
            <v>0</v>
          </cell>
          <cell r="FO248">
            <v>0</v>
          </cell>
          <cell r="FP248">
            <v>0</v>
          </cell>
          <cell r="FQ248">
            <v>0</v>
          </cell>
          <cell r="FR248">
            <v>0</v>
          </cell>
          <cell r="FS248">
            <v>0</v>
          </cell>
          <cell r="FT248">
            <v>0</v>
          </cell>
          <cell r="FU248">
            <v>0</v>
          </cell>
          <cell r="FV248">
            <v>0</v>
          </cell>
          <cell r="FW248">
            <v>0</v>
          </cell>
          <cell r="FX248">
            <v>0</v>
          </cell>
          <cell r="FY248">
            <v>0</v>
          </cell>
          <cell r="FZ248">
            <v>0</v>
          </cell>
        </row>
        <row r="249">
          <cell r="V249" t="str">
            <v>PROJECTED RTM</v>
          </cell>
          <cell r="W249">
            <v>0</v>
          </cell>
          <cell r="X249">
            <v>36154</v>
          </cell>
          <cell r="Y249">
            <v>175</v>
          </cell>
          <cell r="Z249">
            <v>98</v>
          </cell>
          <cell r="AA249" t="str">
            <v/>
          </cell>
          <cell r="AB249" t="str">
            <v/>
          </cell>
          <cell r="AC249" t="str">
            <v/>
          </cell>
          <cell r="AD249" t="str">
            <v/>
          </cell>
          <cell r="AE249" t="str">
            <v/>
          </cell>
          <cell r="AF249" t="str">
            <v/>
          </cell>
          <cell r="AG249" t="str">
            <v/>
          </cell>
          <cell r="AH249" t="str">
            <v/>
          </cell>
          <cell r="AI249" t="str">
            <v/>
          </cell>
          <cell r="AJ249" t="str">
            <v/>
          </cell>
          <cell r="AK249" t="str">
            <v/>
          </cell>
          <cell r="AL249" t="str">
            <v/>
          </cell>
          <cell r="AM249" t="str">
            <v/>
          </cell>
          <cell r="AN249" t="str">
            <v/>
          </cell>
          <cell r="AO249" t="str">
            <v/>
          </cell>
          <cell r="AP249" t="str">
            <v/>
          </cell>
          <cell r="AQ249" t="str">
            <v/>
          </cell>
          <cell r="AR249" t="str">
            <v/>
          </cell>
          <cell r="AS249" t="str">
            <v/>
          </cell>
          <cell r="AT249" t="str">
            <v/>
          </cell>
          <cell r="AU249" t="str">
            <v/>
          </cell>
          <cell r="AV249" t="str">
            <v/>
          </cell>
          <cell r="AW249" t="str">
            <v/>
          </cell>
          <cell r="AX249" t="str">
            <v/>
          </cell>
          <cell r="AY249" t="str">
            <v/>
          </cell>
          <cell r="AZ249" t="str">
            <v/>
          </cell>
          <cell r="BA249" t="str">
            <v/>
          </cell>
          <cell r="BB249" t="str">
            <v/>
          </cell>
          <cell r="BC249" t="str">
            <v/>
          </cell>
          <cell r="BD249" t="str">
            <v/>
          </cell>
          <cell r="BE249" t="str">
            <v/>
          </cell>
          <cell r="BF249" t="str">
            <v/>
          </cell>
          <cell r="BG249" t="str">
            <v/>
          </cell>
          <cell r="BH249" t="str">
            <v/>
          </cell>
          <cell r="BI249" t="str">
            <v/>
          </cell>
          <cell r="BJ249" t="str">
            <v/>
          </cell>
          <cell r="BK249" t="str">
            <v/>
          </cell>
          <cell r="BL249" t="str">
            <v/>
          </cell>
          <cell r="BM249" t="str">
            <v/>
          </cell>
          <cell r="BN249" t="str">
            <v/>
          </cell>
          <cell r="BO249" t="str">
            <v/>
          </cell>
          <cell r="BP249" t="str">
            <v/>
          </cell>
          <cell r="BQ249" t="str">
            <v/>
          </cell>
          <cell r="BR249" t="str">
            <v/>
          </cell>
          <cell r="BS249" t="str">
            <v/>
          </cell>
          <cell r="BT249" t="str">
            <v/>
          </cell>
          <cell r="BU249" t="str">
            <v/>
          </cell>
          <cell r="BV249" t="str">
            <v/>
          </cell>
          <cell r="BW249" t="str">
            <v/>
          </cell>
          <cell r="BX249" t="str">
            <v/>
          </cell>
          <cell r="BY249" t="str">
            <v/>
          </cell>
          <cell r="BZ249" t="str">
            <v/>
          </cell>
          <cell r="CA249" t="str">
            <v/>
          </cell>
          <cell r="CB249" t="str">
            <v/>
          </cell>
          <cell r="CC249" t="str">
            <v/>
          </cell>
          <cell r="CD249" t="str">
            <v/>
          </cell>
          <cell r="CE249" t="str">
            <v/>
          </cell>
          <cell r="CF249" t="str">
            <v/>
          </cell>
          <cell r="CG249" t="str">
            <v/>
          </cell>
          <cell r="CH249" t="str">
            <v/>
          </cell>
          <cell r="CI249" t="str">
            <v/>
          </cell>
          <cell r="CJ249" t="str">
            <v/>
          </cell>
          <cell r="CK249" t="str">
            <v/>
          </cell>
          <cell r="CL249" t="str">
            <v/>
          </cell>
          <cell r="CM249" t="str">
            <v/>
          </cell>
          <cell r="CN249" t="str">
            <v/>
          </cell>
          <cell r="CO249" t="str">
            <v/>
          </cell>
          <cell r="CP249" t="str">
            <v/>
          </cell>
          <cell r="CQ249" t="str">
            <v/>
          </cell>
          <cell r="CR249" t="str">
            <v/>
          </cell>
          <cell r="CS249" t="str">
            <v/>
          </cell>
          <cell r="CT249" t="str">
            <v/>
          </cell>
          <cell r="CU249" t="str">
            <v/>
          </cell>
          <cell r="CV249" t="str">
            <v/>
          </cell>
          <cell r="CW249" t="str">
            <v/>
          </cell>
          <cell r="CX249" t="str">
            <v/>
          </cell>
          <cell r="CY249" t="str">
            <v/>
          </cell>
          <cell r="CZ249" t="str">
            <v/>
          </cell>
          <cell r="DA249" t="str">
            <v/>
          </cell>
          <cell r="DB249" t="str">
            <v/>
          </cell>
          <cell r="DC249" t="str">
            <v/>
          </cell>
          <cell r="DD249" t="str">
            <v/>
          </cell>
          <cell r="DE249" t="str">
            <v/>
          </cell>
          <cell r="DF249" t="str">
            <v/>
          </cell>
          <cell r="DG249" t="str">
            <v/>
          </cell>
          <cell r="DH249" t="str">
            <v/>
          </cell>
          <cell r="DI249" t="str">
            <v/>
          </cell>
          <cell r="DJ249" t="str">
            <v/>
          </cell>
          <cell r="DK249" t="str">
            <v/>
          </cell>
          <cell r="DL249" t="str">
            <v/>
          </cell>
          <cell r="DM249" t="str">
            <v/>
          </cell>
          <cell r="DN249" t="str">
            <v/>
          </cell>
          <cell r="DO249" t="str">
            <v/>
          </cell>
          <cell r="DP249" t="str">
            <v/>
          </cell>
          <cell r="DQ249" t="str">
            <v/>
          </cell>
          <cell r="DR249" t="str">
            <v/>
          </cell>
          <cell r="DS249" t="str">
            <v/>
          </cell>
          <cell r="DT249" t="str">
            <v/>
          </cell>
          <cell r="DU249" t="str">
            <v/>
          </cell>
          <cell r="DV249" t="str">
            <v/>
          </cell>
          <cell r="DW249" t="str">
            <v/>
          </cell>
          <cell r="DX249" t="str">
            <v/>
          </cell>
          <cell r="DY249" t="str">
            <v/>
          </cell>
          <cell r="DZ249" t="str">
            <v/>
          </cell>
          <cell r="EA249" t="str">
            <v/>
          </cell>
          <cell r="EB249" t="str">
            <v/>
          </cell>
          <cell r="EC249" t="str">
            <v/>
          </cell>
          <cell r="ED249" t="str">
            <v/>
          </cell>
          <cell r="EE249" t="str">
            <v/>
          </cell>
          <cell r="EF249" t="str">
            <v/>
          </cell>
          <cell r="EG249" t="str">
            <v/>
          </cell>
          <cell r="EH249" t="str">
            <v/>
          </cell>
          <cell r="EI249" t="str">
            <v/>
          </cell>
          <cell r="EJ249" t="str">
            <v/>
          </cell>
          <cell r="EK249" t="str">
            <v/>
          </cell>
          <cell r="EL249" t="str">
            <v/>
          </cell>
          <cell r="EM249" t="str">
            <v/>
          </cell>
          <cell r="EN249" t="str">
            <v/>
          </cell>
          <cell r="EO249" t="str">
            <v/>
          </cell>
          <cell r="EP249" t="str">
            <v/>
          </cell>
          <cell r="EQ249" t="str">
            <v/>
          </cell>
          <cell r="ER249" t="str">
            <v/>
          </cell>
          <cell r="ES249" t="str">
            <v/>
          </cell>
          <cell r="ET249" t="str">
            <v/>
          </cell>
          <cell r="EU249" t="str">
            <v/>
          </cell>
          <cell r="EV249" t="str">
            <v/>
          </cell>
        </row>
        <row r="250">
          <cell r="V250" t="str">
            <v>PROJECTED STREET</v>
          </cell>
          <cell r="W250">
            <v>0</v>
          </cell>
          <cell r="X250">
            <v>36184</v>
          </cell>
          <cell r="Y250">
            <v>0</v>
          </cell>
          <cell r="Z250">
            <v>0</v>
          </cell>
          <cell r="AA250" t="str">
            <v/>
          </cell>
          <cell r="AB250" t="str">
            <v/>
          </cell>
          <cell r="AC250" t="str">
            <v/>
          </cell>
          <cell r="AD250" t="str">
            <v/>
          </cell>
          <cell r="AE250" t="str">
            <v/>
          </cell>
          <cell r="AF250" t="str">
            <v/>
          </cell>
          <cell r="AG250" t="str">
            <v/>
          </cell>
          <cell r="AH250" t="str">
            <v/>
          </cell>
          <cell r="AI250" t="str">
            <v/>
          </cell>
          <cell r="AJ250" t="str">
            <v/>
          </cell>
          <cell r="AK250" t="str">
            <v/>
          </cell>
          <cell r="AL250" t="str">
            <v/>
          </cell>
          <cell r="AM250" t="str">
            <v/>
          </cell>
          <cell r="AN250" t="str">
            <v/>
          </cell>
          <cell r="AO250" t="str">
            <v/>
          </cell>
          <cell r="AP250" t="str">
            <v/>
          </cell>
          <cell r="AQ250" t="str">
            <v/>
          </cell>
          <cell r="AR250" t="str">
            <v/>
          </cell>
          <cell r="AS250" t="str">
            <v/>
          </cell>
          <cell r="AT250" t="str">
            <v/>
          </cell>
          <cell r="AU250" t="str">
            <v/>
          </cell>
          <cell r="AV250" t="str">
            <v/>
          </cell>
          <cell r="AW250" t="str">
            <v/>
          </cell>
          <cell r="AX250" t="str">
            <v/>
          </cell>
          <cell r="AY250" t="str">
            <v/>
          </cell>
          <cell r="AZ250" t="str">
            <v/>
          </cell>
          <cell r="BA250" t="str">
            <v/>
          </cell>
          <cell r="BB250" t="str">
            <v/>
          </cell>
          <cell r="BC250" t="str">
            <v/>
          </cell>
          <cell r="BD250" t="str">
            <v/>
          </cell>
          <cell r="BE250" t="str">
            <v/>
          </cell>
          <cell r="BF250" t="str">
            <v/>
          </cell>
          <cell r="BG250" t="str">
            <v/>
          </cell>
          <cell r="BH250" t="str">
            <v/>
          </cell>
          <cell r="BI250" t="str">
            <v/>
          </cell>
          <cell r="BJ250" t="str">
            <v/>
          </cell>
          <cell r="BK250" t="str">
            <v/>
          </cell>
          <cell r="BL250" t="str">
            <v/>
          </cell>
          <cell r="BM250" t="str">
            <v/>
          </cell>
          <cell r="BN250" t="str">
            <v/>
          </cell>
          <cell r="BO250" t="str">
            <v/>
          </cell>
          <cell r="BP250" t="str">
            <v/>
          </cell>
          <cell r="BQ250" t="str">
            <v/>
          </cell>
          <cell r="BR250" t="str">
            <v/>
          </cell>
          <cell r="BS250" t="str">
            <v/>
          </cell>
          <cell r="BT250" t="str">
            <v/>
          </cell>
          <cell r="BU250" t="str">
            <v/>
          </cell>
          <cell r="BV250" t="str">
            <v/>
          </cell>
          <cell r="BW250" t="str">
            <v/>
          </cell>
          <cell r="BX250" t="str">
            <v/>
          </cell>
          <cell r="BY250" t="str">
            <v/>
          </cell>
          <cell r="BZ250" t="str">
            <v/>
          </cell>
          <cell r="CA250" t="str">
            <v/>
          </cell>
          <cell r="CB250" t="str">
            <v/>
          </cell>
          <cell r="CC250" t="str">
            <v/>
          </cell>
          <cell r="CD250" t="str">
            <v/>
          </cell>
          <cell r="CE250" t="str">
            <v/>
          </cell>
          <cell r="CF250" t="str">
            <v/>
          </cell>
          <cell r="CG250" t="str">
            <v/>
          </cell>
          <cell r="CH250" t="str">
            <v/>
          </cell>
          <cell r="CI250" t="str">
            <v/>
          </cell>
          <cell r="CJ250" t="str">
            <v/>
          </cell>
          <cell r="CK250" t="str">
            <v/>
          </cell>
          <cell r="CL250" t="str">
            <v/>
          </cell>
          <cell r="CM250" t="str">
            <v/>
          </cell>
          <cell r="CN250" t="str">
            <v/>
          </cell>
          <cell r="CO250" t="str">
            <v/>
          </cell>
          <cell r="CP250" t="str">
            <v/>
          </cell>
          <cell r="CQ250" t="str">
            <v/>
          </cell>
          <cell r="CR250" t="str">
            <v/>
          </cell>
          <cell r="CS250" t="str">
            <v/>
          </cell>
          <cell r="CT250" t="str">
            <v/>
          </cell>
          <cell r="CU250" t="str">
            <v/>
          </cell>
          <cell r="CV250" t="str">
            <v/>
          </cell>
          <cell r="CW250" t="str">
            <v/>
          </cell>
          <cell r="CX250" t="str">
            <v/>
          </cell>
          <cell r="CY250" t="str">
            <v/>
          </cell>
          <cell r="CZ250" t="str">
            <v/>
          </cell>
          <cell r="DA250" t="str">
            <v/>
          </cell>
          <cell r="DB250" t="str">
            <v/>
          </cell>
          <cell r="DC250" t="str">
            <v/>
          </cell>
          <cell r="DD250" t="str">
            <v/>
          </cell>
          <cell r="DE250" t="str">
            <v/>
          </cell>
          <cell r="DF250" t="str">
            <v/>
          </cell>
          <cell r="DG250" t="str">
            <v/>
          </cell>
          <cell r="DH250" t="str">
            <v/>
          </cell>
          <cell r="DI250" t="str">
            <v/>
          </cell>
          <cell r="DJ250" t="str">
            <v/>
          </cell>
          <cell r="DK250" t="str">
            <v/>
          </cell>
          <cell r="DL250" t="str">
            <v/>
          </cell>
          <cell r="DM250" t="str">
            <v/>
          </cell>
          <cell r="DN250" t="str">
            <v/>
          </cell>
          <cell r="DO250" t="str">
            <v/>
          </cell>
          <cell r="DP250" t="str">
            <v/>
          </cell>
          <cell r="DQ250" t="str">
            <v/>
          </cell>
          <cell r="DR250" t="str">
            <v/>
          </cell>
          <cell r="DS250" t="str">
            <v/>
          </cell>
          <cell r="DT250" t="str">
            <v/>
          </cell>
          <cell r="DU250" t="str">
            <v/>
          </cell>
          <cell r="DV250" t="str">
            <v/>
          </cell>
          <cell r="DW250" t="str">
            <v/>
          </cell>
          <cell r="DX250" t="str">
            <v/>
          </cell>
          <cell r="DY250" t="str">
            <v/>
          </cell>
          <cell r="DZ250" t="str">
            <v/>
          </cell>
          <cell r="EA250" t="str">
            <v/>
          </cell>
          <cell r="EB250" t="str">
            <v/>
          </cell>
          <cell r="EC250" t="str">
            <v/>
          </cell>
          <cell r="ED250" t="str">
            <v/>
          </cell>
          <cell r="EE250" t="str">
            <v/>
          </cell>
          <cell r="EF250" t="str">
            <v/>
          </cell>
          <cell r="EG250" t="str">
            <v/>
          </cell>
          <cell r="EH250" t="str">
            <v/>
          </cell>
          <cell r="EI250" t="str">
            <v/>
          </cell>
          <cell r="EJ250" t="str">
            <v/>
          </cell>
          <cell r="EK250" t="str">
            <v/>
          </cell>
          <cell r="EL250" t="str">
            <v/>
          </cell>
          <cell r="EM250" t="str">
            <v/>
          </cell>
          <cell r="EN250" t="str">
            <v/>
          </cell>
          <cell r="EO250" t="str">
            <v/>
          </cell>
          <cell r="EP250" t="str">
            <v/>
          </cell>
          <cell r="EQ250" t="str">
            <v/>
          </cell>
          <cell r="ER250" t="str">
            <v/>
          </cell>
          <cell r="ES250" t="str">
            <v/>
          </cell>
          <cell r="ET250" t="str">
            <v/>
          </cell>
          <cell r="EU250" t="str">
            <v/>
          </cell>
          <cell r="EV250" t="str">
            <v/>
          </cell>
        </row>
        <row r="251">
          <cell r="V251" t="str">
            <v>+ or - Scheduled Date</v>
          </cell>
          <cell r="W251">
            <v>0</v>
          </cell>
          <cell r="X251">
            <v>128</v>
          </cell>
        </row>
        <row r="252">
          <cell r="N252" t="str">
            <v>ENGINEERING</v>
          </cell>
          <cell r="O252">
            <v>0</v>
          </cell>
          <cell r="P252">
            <v>0</v>
          </cell>
          <cell r="Q252">
            <v>0</v>
          </cell>
          <cell r="R252" t="str">
            <v>TARZAN STORY STUDIO</v>
          </cell>
          <cell r="S252">
            <v>0</v>
          </cell>
          <cell r="T252">
            <v>0</v>
          </cell>
          <cell r="U252">
            <v>0</v>
          </cell>
          <cell r="V252" t="str">
            <v>START DATE</v>
          </cell>
          <cell r="W252" t="str">
            <v>END     DATE</v>
          </cell>
          <cell r="X252">
            <v>4504.91</v>
          </cell>
          <cell r="Y252" t="str">
            <v>WK Count</v>
          </cell>
          <cell r="Z252" t="str">
            <v>Total Days</v>
          </cell>
        </row>
        <row r="253">
          <cell r="N253" t="str">
            <v>ENGINEERING</v>
          </cell>
          <cell r="O253">
            <v>0</v>
          </cell>
          <cell r="P253">
            <v>0</v>
          </cell>
          <cell r="Q253">
            <v>0</v>
          </cell>
          <cell r="R253" t="str">
            <v>TARZAN STORY STUDIO</v>
          </cell>
          <cell r="S253">
            <v>0</v>
          </cell>
          <cell r="T253" t="str">
            <v>ANIMATION PRODUCTION</v>
          </cell>
          <cell r="U253">
            <v>0</v>
          </cell>
          <cell r="V253" t="str">
            <v>START DATE</v>
          </cell>
          <cell r="W253" t="str">
            <v>END     DATE</v>
          </cell>
          <cell r="X253">
            <v>4504.91</v>
          </cell>
          <cell r="Y253" t="str">
            <v>WK Count</v>
          </cell>
          <cell r="Z253" t="str">
            <v>Total Days</v>
          </cell>
          <cell r="AA253" t="str">
            <v/>
          </cell>
          <cell r="AB253" t="str">
            <v/>
          </cell>
          <cell r="AC253" t="str">
            <v/>
          </cell>
          <cell r="AD253" t="str">
            <v/>
          </cell>
          <cell r="AE253" t="str">
            <v/>
          </cell>
          <cell r="AF253" t="str">
            <v/>
          </cell>
          <cell r="AG253" t="str">
            <v/>
          </cell>
          <cell r="AH253" t="str">
            <v/>
          </cell>
          <cell r="AI253" t="str">
            <v/>
          </cell>
          <cell r="AJ253" t="str">
            <v/>
          </cell>
          <cell r="AK253" t="str">
            <v/>
          </cell>
          <cell r="AL253" t="str">
            <v/>
          </cell>
          <cell r="AM253" t="str">
            <v/>
          </cell>
          <cell r="AN253" t="str">
            <v/>
          </cell>
          <cell r="AO253" t="str">
            <v/>
          </cell>
          <cell r="AP253" t="str">
            <v/>
          </cell>
          <cell r="AQ253" t="str">
            <v/>
          </cell>
          <cell r="AR253" t="str">
            <v/>
          </cell>
          <cell r="AS253" t="str">
            <v/>
          </cell>
          <cell r="AT253" t="str">
            <v/>
          </cell>
          <cell r="AU253" t="str">
            <v/>
          </cell>
          <cell r="AV253" t="str">
            <v/>
          </cell>
          <cell r="AW253" t="str">
            <v/>
          </cell>
          <cell r="AX253" t="str">
            <v/>
          </cell>
          <cell r="AY253" t="str">
            <v/>
          </cell>
          <cell r="AZ253" t="str">
            <v/>
          </cell>
          <cell r="BA253" t="str">
            <v/>
          </cell>
          <cell r="BB253" t="str">
            <v/>
          </cell>
          <cell r="BC253" t="str">
            <v/>
          </cell>
          <cell r="BD253" t="str">
            <v/>
          </cell>
          <cell r="BE253" t="str">
            <v/>
          </cell>
          <cell r="BF253" t="str">
            <v/>
          </cell>
          <cell r="BG253" t="str">
            <v/>
          </cell>
          <cell r="BH253" t="str">
            <v/>
          </cell>
          <cell r="BI253" t="str">
            <v/>
          </cell>
          <cell r="BJ253" t="str">
            <v/>
          </cell>
          <cell r="BK253" t="str">
            <v/>
          </cell>
          <cell r="BL253" t="str">
            <v/>
          </cell>
          <cell r="BM253" t="str">
            <v/>
          </cell>
          <cell r="BN253" t="str">
            <v/>
          </cell>
          <cell r="BO253" t="str">
            <v/>
          </cell>
          <cell r="BP253" t="str">
            <v/>
          </cell>
          <cell r="BQ253" t="str">
            <v/>
          </cell>
          <cell r="BR253" t="str">
            <v/>
          </cell>
          <cell r="BS253" t="str">
            <v/>
          </cell>
          <cell r="BT253" t="str">
            <v/>
          </cell>
          <cell r="BU253" t="str">
            <v/>
          </cell>
          <cell r="BV253" t="str">
            <v/>
          </cell>
          <cell r="BW253" t="str">
            <v/>
          </cell>
          <cell r="BX253" t="str">
            <v/>
          </cell>
          <cell r="BY253" t="str">
            <v/>
          </cell>
          <cell r="BZ253" t="str">
            <v/>
          </cell>
          <cell r="CA253" t="str">
            <v/>
          </cell>
          <cell r="CB253" t="str">
            <v/>
          </cell>
          <cell r="CC253" t="str">
            <v/>
          </cell>
          <cell r="CD253" t="str">
            <v/>
          </cell>
          <cell r="CE253" t="str">
            <v/>
          </cell>
          <cell r="CF253" t="str">
            <v/>
          </cell>
          <cell r="CG253" t="str">
            <v/>
          </cell>
          <cell r="CH253" t="str">
            <v/>
          </cell>
          <cell r="CI253">
            <v>35975</v>
          </cell>
          <cell r="CJ253">
            <v>35982</v>
          </cell>
          <cell r="CK253">
            <v>35989</v>
          </cell>
          <cell r="CL253">
            <v>35996</v>
          </cell>
          <cell r="CM253">
            <v>36003</v>
          </cell>
          <cell r="CN253">
            <v>36010</v>
          </cell>
          <cell r="CO253">
            <v>36017</v>
          </cell>
          <cell r="CP253">
            <v>36024</v>
          </cell>
          <cell r="CQ253">
            <v>36031</v>
          </cell>
          <cell r="CR253">
            <v>36038</v>
          </cell>
          <cell r="CS253">
            <v>36045</v>
          </cell>
          <cell r="CT253">
            <v>36052</v>
          </cell>
          <cell r="CU253" t="str">
            <v/>
          </cell>
          <cell r="CV253" t="str">
            <v/>
          </cell>
          <cell r="CW253" t="str">
            <v/>
          </cell>
          <cell r="CX253" t="str">
            <v/>
          </cell>
          <cell r="CY253" t="str">
            <v/>
          </cell>
          <cell r="CZ253" t="str">
            <v/>
          </cell>
          <cell r="DA253" t="str">
            <v/>
          </cell>
          <cell r="DB253" t="str">
            <v/>
          </cell>
          <cell r="DC253" t="str">
            <v/>
          </cell>
          <cell r="DD253" t="str">
            <v/>
          </cell>
          <cell r="DE253" t="str">
            <v/>
          </cell>
          <cell r="DF253" t="str">
            <v/>
          </cell>
          <cell r="DG253" t="str">
            <v/>
          </cell>
          <cell r="DH253" t="str">
            <v/>
          </cell>
          <cell r="DI253" t="str">
            <v/>
          </cell>
          <cell r="DJ253" t="str">
            <v/>
          </cell>
          <cell r="DK253" t="str">
            <v/>
          </cell>
          <cell r="DL253" t="str">
            <v/>
          </cell>
          <cell r="DM253" t="str">
            <v/>
          </cell>
          <cell r="DN253" t="str">
            <v/>
          </cell>
          <cell r="DO253" t="str">
            <v/>
          </cell>
          <cell r="DP253" t="str">
            <v/>
          </cell>
          <cell r="DQ253" t="str">
            <v/>
          </cell>
          <cell r="DR253" t="str">
            <v/>
          </cell>
          <cell r="DS253" t="str">
            <v/>
          </cell>
          <cell r="DT253" t="str">
            <v/>
          </cell>
          <cell r="DU253" t="str">
            <v/>
          </cell>
          <cell r="DV253" t="str">
            <v/>
          </cell>
          <cell r="DW253" t="str">
            <v/>
          </cell>
          <cell r="DX253" t="str">
            <v/>
          </cell>
          <cell r="DY253" t="str">
            <v/>
          </cell>
          <cell r="DZ253" t="str">
            <v/>
          </cell>
          <cell r="EA253" t="str">
            <v/>
          </cell>
          <cell r="EB253" t="str">
            <v/>
          </cell>
          <cell r="EC253" t="str">
            <v/>
          </cell>
          <cell r="ED253" t="str">
            <v/>
          </cell>
          <cell r="EE253" t="str">
            <v/>
          </cell>
          <cell r="EF253" t="str">
            <v/>
          </cell>
          <cell r="EG253" t="str">
            <v/>
          </cell>
          <cell r="EH253" t="str">
            <v/>
          </cell>
          <cell r="EI253" t="str">
            <v/>
          </cell>
          <cell r="EJ253" t="str">
            <v/>
          </cell>
          <cell r="EK253" t="str">
            <v/>
          </cell>
          <cell r="EL253" t="str">
            <v/>
          </cell>
          <cell r="EM253" t="str">
            <v/>
          </cell>
          <cell r="EN253" t="str">
            <v/>
          </cell>
          <cell r="EO253" t="str">
            <v/>
          </cell>
          <cell r="EP253" t="str">
            <v/>
          </cell>
          <cell r="EQ253" t="str">
            <v/>
          </cell>
          <cell r="ER253" t="str">
            <v/>
          </cell>
          <cell r="ES253" t="str">
            <v/>
          </cell>
          <cell r="ET253" t="str">
            <v/>
          </cell>
          <cell r="EU253" t="str">
            <v/>
          </cell>
          <cell r="EV253" t="str">
            <v/>
          </cell>
        </row>
        <row r="254">
          <cell r="A254" t="str">
            <v>PREP</v>
          </cell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 t="str">
            <v>ANIMATION</v>
          </cell>
          <cell r="G254">
            <v>0</v>
          </cell>
          <cell r="H254">
            <v>0</v>
          </cell>
          <cell r="I254" t="str">
            <v>INK &amp; PAINT</v>
          </cell>
          <cell r="J254">
            <v>0</v>
          </cell>
          <cell r="K254">
            <v>0</v>
          </cell>
          <cell r="L254" t="str">
            <v>ALPHA</v>
          </cell>
          <cell r="M254">
            <v>0</v>
          </cell>
          <cell r="N254" t="str">
            <v>BETA</v>
          </cell>
          <cell r="O254">
            <v>0</v>
          </cell>
          <cell r="P254" t="str">
            <v>RTM</v>
          </cell>
          <cell r="Q254">
            <v>0</v>
          </cell>
          <cell r="R254" t="str">
            <v>STREET</v>
          </cell>
          <cell r="S254">
            <v>0</v>
          </cell>
          <cell r="T254" t="str">
            <v>ANIMATION PRODUCTION</v>
          </cell>
          <cell r="U254">
            <v>0</v>
          </cell>
          <cell r="V254">
            <v>35975</v>
          </cell>
          <cell r="W254">
            <v>36052.068740000002</v>
          </cell>
          <cell r="X254">
            <v>500</v>
          </cell>
          <cell r="Y254">
            <v>12</v>
          </cell>
          <cell r="Z254">
            <v>77.068739999999991</v>
          </cell>
          <cell r="AA254" t="str">
            <v/>
          </cell>
          <cell r="AB254" t="str">
            <v/>
          </cell>
          <cell r="AC254" t="str">
            <v/>
          </cell>
          <cell r="AD254" t="str">
            <v/>
          </cell>
          <cell r="AE254" t="str">
            <v/>
          </cell>
          <cell r="AF254" t="str">
            <v/>
          </cell>
          <cell r="AG254" t="str">
            <v/>
          </cell>
          <cell r="AH254" t="str">
            <v/>
          </cell>
          <cell r="AI254" t="str">
            <v/>
          </cell>
          <cell r="AJ254" t="str">
            <v/>
          </cell>
          <cell r="AK254" t="str">
            <v/>
          </cell>
          <cell r="AL254" t="str">
            <v/>
          </cell>
          <cell r="AM254" t="str">
            <v/>
          </cell>
          <cell r="AN254" t="str">
            <v/>
          </cell>
          <cell r="AO254" t="str">
            <v/>
          </cell>
          <cell r="AP254" t="str">
            <v/>
          </cell>
          <cell r="AQ254" t="str">
            <v/>
          </cell>
          <cell r="AR254" t="str">
            <v/>
          </cell>
          <cell r="AS254" t="str">
            <v/>
          </cell>
          <cell r="AT254" t="str">
            <v/>
          </cell>
          <cell r="AU254" t="str">
            <v/>
          </cell>
          <cell r="AV254" t="str">
            <v/>
          </cell>
          <cell r="AW254" t="str">
            <v/>
          </cell>
          <cell r="AX254" t="str">
            <v/>
          </cell>
          <cell r="AY254" t="str">
            <v/>
          </cell>
          <cell r="AZ254" t="str">
            <v/>
          </cell>
          <cell r="BA254" t="str">
            <v/>
          </cell>
          <cell r="BB254" t="str">
            <v/>
          </cell>
          <cell r="BC254" t="str">
            <v/>
          </cell>
          <cell r="BD254" t="str">
            <v/>
          </cell>
          <cell r="BE254" t="str">
            <v/>
          </cell>
          <cell r="BF254" t="str">
            <v/>
          </cell>
          <cell r="BG254" t="str">
            <v/>
          </cell>
          <cell r="BH254" t="str">
            <v/>
          </cell>
          <cell r="BI254" t="str">
            <v/>
          </cell>
          <cell r="BJ254" t="str">
            <v/>
          </cell>
          <cell r="BK254" t="str">
            <v/>
          </cell>
          <cell r="BL254" t="str">
            <v/>
          </cell>
          <cell r="BM254" t="str">
            <v/>
          </cell>
          <cell r="BN254" t="str">
            <v/>
          </cell>
          <cell r="BO254" t="str">
            <v/>
          </cell>
          <cell r="BP254" t="str">
            <v/>
          </cell>
          <cell r="BQ254" t="str">
            <v/>
          </cell>
          <cell r="BR254" t="str">
            <v/>
          </cell>
          <cell r="BS254" t="str">
            <v/>
          </cell>
          <cell r="BT254" t="str">
            <v/>
          </cell>
          <cell r="BU254" t="str">
            <v/>
          </cell>
          <cell r="BV254" t="str">
            <v/>
          </cell>
          <cell r="BW254" t="str">
            <v/>
          </cell>
          <cell r="BX254" t="str">
            <v/>
          </cell>
          <cell r="BY254" t="str">
            <v/>
          </cell>
          <cell r="BZ254" t="str">
            <v/>
          </cell>
          <cell r="CA254" t="str">
            <v/>
          </cell>
          <cell r="CB254" t="str">
            <v/>
          </cell>
          <cell r="CC254" t="str">
            <v/>
          </cell>
          <cell r="CD254" t="str">
            <v/>
          </cell>
          <cell r="CE254" t="str">
            <v/>
          </cell>
          <cell r="CF254" t="str">
            <v/>
          </cell>
          <cell r="CG254" t="str">
            <v/>
          </cell>
          <cell r="CH254" t="str">
            <v/>
          </cell>
          <cell r="CI254">
            <v>35975</v>
          </cell>
          <cell r="CJ254">
            <v>35982</v>
          </cell>
          <cell r="CK254">
            <v>35989</v>
          </cell>
          <cell r="CL254">
            <v>35996</v>
          </cell>
          <cell r="CM254">
            <v>36003</v>
          </cell>
          <cell r="CN254">
            <v>36010</v>
          </cell>
          <cell r="CO254">
            <v>36017</v>
          </cell>
          <cell r="CP254">
            <v>36024</v>
          </cell>
          <cell r="CQ254">
            <v>36031</v>
          </cell>
          <cell r="CR254">
            <v>36038</v>
          </cell>
          <cell r="CS254">
            <v>36045</v>
          </cell>
          <cell r="CT254">
            <v>36052</v>
          </cell>
          <cell r="CU254" t="str">
            <v/>
          </cell>
          <cell r="CV254" t="str">
            <v/>
          </cell>
          <cell r="CW254" t="str">
            <v/>
          </cell>
          <cell r="CX254" t="str">
            <v/>
          </cell>
          <cell r="CY254" t="str">
            <v/>
          </cell>
          <cell r="CZ254" t="str">
            <v/>
          </cell>
          <cell r="DA254" t="str">
            <v/>
          </cell>
          <cell r="DB254" t="str">
            <v/>
          </cell>
          <cell r="DC254" t="str">
            <v/>
          </cell>
          <cell r="DD254" t="str">
            <v/>
          </cell>
          <cell r="DE254" t="str">
            <v/>
          </cell>
          <cell r="DF254" t="str">
            <v/>
          </cell>
          <cell r="DG254" t="str">
            <v/>
          </cell>
          <cell r="DH254" t="str">
            <v/>
          </cell>
          <cell r="DI254" t="str">
            <v/>
          </cell>
          <cell r="DJ254" t="str">
            <v/>
          </cell>
          <cell r="DK254" t="str">
            <v/>
          </cell>
          <cell r="DL254" t="str">
            <v/>
          </cell>
          <cell r="DM254" t="str">
            <v/>
          </cell>
          <cell r="DN254" t="str">
            <v/>
          </cell>
          <cell r="DO254" t="str">
            <v/>
          </cell>
          <cell r="DP254" t="str">
            <v/>
          </cell>
          <cell r="DQ254" t="str">
            <v/>
          </cell>
          <cell r="DR254" t="str">
            <v/>
          </cell>
          <cell r="DS254" t="str">
            <v/>
          </cell>
          <cell r="DT254" t="str">
            <v/>
          </cell>
          <cell r="DU254" t="str">
            <v/>
          </cell>
          <cell r="DV254" t="str">
            <v/>
          </cell>
          <cell r="DW254" t="str">
            <v/>
          </cell>
          <cell r="DX254" t="str">
            <v/>
          </cell>
          <cell r="DY254" t="str">
            <v/>
          </cell>
          <cell r="DZ254" t="str">
            <v/>
          </cell>
          <cell r="EA254" t="str">
            <v/>
          </cell>
          <cell r="EB254" t="str">
            <v/>
          </cell>
          <cell r="EC254" t="str">
            <v/>
          </cell>
          <cell r="ED254" t="str">
            <v/>
          </cell>
          <cell r="EE254" t="str">
            <v/>
          </cell>
          <cell r="EF254" t="str">
            <v/>
          </cell>
          <cell r="EG254" t="str">
            <v/>
          </cell>
          <cell r="EH254" t="str">
            <v/>
          </cell>
          <cell r="EI254" t="str">
            <v/>
          </cell>
          <cell r="EJ254" t="str">
            <v/>
          </cell>
          <cell r="EK254" t="str">
            <v/>
          </cell>
          <cell r="EL254" t="str">
            <v/>
          </cell>
          <cell r="EM254" t="str">
            <v/>
          </cell>
          <cell r="EN254" t="str">
            <v/>
          </cell>
          <cell r="EO254" t="str">
            <v/>
          </cell>
          <cell r="EP254" t="str">
            <v/>
          </cell>
          <cell r="EQ254" t="str">
            <v/>
          </cell>
          <cell r="ER254" t="str">
            <v/>
          </cell>
          <cell r="ES254" t="str">
            <v/>
          </cell>
          <cell r="ET254" t="str">
            <v/>
          </cell>
          <cell r="EU254" t="str">
            <v/>
          </cell>
          <cell r="EV254" t="str">
            <v/>
          </cell>
        </row>
        <row r="255">
          <cell r="A255" t="str">
            <v>PREP</v>
          </cell>
          <cell r="B255" t="str">
            <v>Days</v>
          </cell>
          <cell r="C255">
            <v>0</v>
          </cell>
          <cell r="D255">
            <v>0</v>
          </cell>
          <cell r="E255">
            <v>0</v>
          </cell>
          <cell r="F255" t="str">
            <v>ANIMATION</v>
          </cell>
          <cell r="G255" t="str">
            <v>Days</v>
          </cell>
          <cell r="H255" t="str">
            <v>Frames</v>
          </cell>
          <cell r="I255" t="str">
            <v>INK &amp; PAINT</v>
          </cell>
          <cell r="J255" t="str">
            <v>Days</v>
          </cell>
          <cell r="K255">
            <v>0</v>
          </cell>
          <cell r="L255" t="str">
            <v>ALPHA</v>
          </cell>
          <cell r="M255">
            <v>0</v>
          </cell>
          <cell r="N255" t="str">
            <v>BETA</v>
          </cell>
          <cell r="O255">
            <v>0</v>
          </cell>
          <cell r="P255" t="str">
            <v>RTM</v>
          </cell>
          <cell r="Q255">
            <v>0</v>
          </cell>
          <cell r="R255" t="str">
            <v>STREET</v>
          </cell>
          <cell r="S255">
            <v>0</v>
          </cell>
          <cell r="T255" t="str">
            <v>Prep Projection</v>
          </cell>
          <cell r="U255">
            <v>0</v>
          </cell>
          <cell r="V255">
            <v>35975</v>
          </cell>
          <cell r="W255">
            <v>36052.068740000002</v>
          </cell>
          <cell r="X255">
            <v>500</v>
          </cell>
          <cell r="Y255">
            <v>12</v>
          </cell>
          <cell r="Z255">
            <v>77.068739999999991</v>
          </cell>
          <cell r="AA255" t="str">
            <v/>
          </cell>
          <cell r="AB255" t="str">
            <v/>
          </cell>
          <cell r="AC255" t="str">
            <v/>
          </cell>
          <cell r="AD255" t="str">
            <v/>
          </cell>
          <cell r="AE255" t="str">
            <v/>
          </cell>
          <cell r="AF255" t="str">
            <v/>
          </cell>
          <cell r="AG255" t="str">
            <v/>
          </cell>
          <cell r="AH255" t="str">
            <v/>
          </cell>
          <cell r="AI255" t="str">
            <v/>
          </cell>
          <cell r="AJ255" t="str">
            <v/>
          </cell>
          <cell r="AK255" t="str">
            <v/>
          </cell>
          <cell r="AL255" t="str">
            <v/>
          </cell>
          <cell r="AM255" t="str">
            <v/>
          </cell>
          <cell r="AN255" t="str">
            <v/>
          </cell>
          <cell r="AO255" t="str">
            <v/>
          </cell>
          <cell r="AP255" t="str">
            <v/>
          </cell>
          <cell r="AQ255" t="str">
            <v/>
          </cell>
          <cell r="AR255" t="str">
            <v/>
          </cell>
          <cell r="AS255" t="str">
            <v/>
          </cell>
          <cell r="AT255" t="str">
            <v/>
          </cell>
          <cell r="AU255" t="str">
            <v/>
          </cell>
          <cell r="AV255" t="str">
            <v/>
          </cell>
          <cell r="AW255" t="str">
            <v/>
          </cell>
          <cell r="AX255" t="str">
            <v/>
          </cell>
          <cell r="AY255" t="str">
            <v/>
          </cell>
          <cell r="AZ255" t="str">
            <v/>
          </cell>
          <cell r="BA255" t="str">
            <v/>
          </cell>
          <cell r="BB255" t="str">
            <v/>
          </cell>
          <cell r="BC255" t="str">
            <v/>
          </cell>
          <cell r="BD255" t="str">
            <v/>
          </cell>
          <cell r="BE255" t="str">
            <v/>
          </cell>
          <cell r="BF255" t="str">
            <v/>
          </cell>
          <cell r="BG255" t="str">
            <v/>
          </cell>
          <cell r="BH255" t="str">
            <v/>
          </cell>
          <cell r="BI255" t="str">
            <v/>
          </cell>
          <cell r="BJ255" t="str">
            <v/>
          </cell>
          <cell r="BK255" t="str">
            <v/>
          </cell>
          <cell r="BL255" t="str">
            <v/>
          </cell>
          <cell r="BM255" t="str">
            <v/>
          </cell>
          <cell r="BN255" t="str">
            <v/>
          </cell>
          <cell r="BO255" t="str">
            <v/>
          </cell>
          <cell r="BP255" t="str">
            <v/>
          </cell>
          <cell r="BQ255" t="str">
            <v/>
          </cell>
          <cell r="BR255" t="str">
            <v/>
          </cell>
          <cell r="BS255" t="str">
            <v/>
          </cell>
          <cell r="BT255" t="str">
            <v/>
          </cell>
          <cell r="BU255" t="str">
            <v/>
          </cell>
          <cell r="BV255" t="str">
            <v/>
          </cell>
          <cell r="BW255" t="str">
            <v/>
          </cell>
          <cell r="BX255" t="str">
            <v/>
          </cell>
          <cell r="BY255" t="str">
            <v/>
          </cell>
          <cell r="BZ255" t="str">
            <v/>
          </cell>
          <cell r="CA255" t="str">
            <v/>
          </cell>
          <cell r="CB255" t="str">
            <v/>
          </cell>
          <cell r="CC255" t="str">
            <v/>
          </cell>
          <cell r="CD255" t="str">
            <v/>
          </cell>
          <cell r="CE255" t="str">
            <v/>
          </cell>
          <cell r="CF255" t="str">
            <v/>
          </cell>
          <cell r="CG255" t="str">
            <v/>
          </cell>
          <cell r="CH255" t="str">
            <v/>
          </cell>
          <cell r="CI255">
            <v>125</v>
          </cell>
          <cell r="CJ255">
            <v>250</v>
          </cell>
          <cell r="CK255">
            <v>375</v>
          </cell>
          <cell r="CL255">
            <v>500</v>
          </cell>
          <cell r="CM255">
            <v>500</v>
          </cell>
          <cell r="CN255">
            <v>500</v>
          </cell>
          <cell r="CO255">
            <v>500</v>
          </cell>
          <cell r="CP255">
            <v>500</v>
          </cell>
          <cell r="CQ255">
            <v>500</v>
          </cell>
          <cell r="CR255">
            <v>500</v>
          </cell>
          <cell r="CS255">
            <v>500</v>
          </cell>
          <cell r="CT255">
            <v>500</v>
          </cell>
          <cell r="CU255" t="str">
            <v/>
          </cell>
          <cell r="CV255" t="str">
            <v/>
          </cell>
          <cell r="CW255" t="str">
            <v/>
          </cell>
          <cell r="CX255" t="str">
            <v/>
          </cell>
          <cell r="CY255" t="str">
            <v/>
          </cell>
          <cell r="CZ255" t="str">
            <v/>
          </cell>
          <cell r="DA255" t="str">
            <v/>
          </cell>
          <cell r="DB255" t="str">
            <v/>
          </cell>
          <cell r="DC255" t="str">
            <v/>
          </cell>
          <cell r="DD255" t="str">
            <v/>
          </cell>
          <cell r="DE255" t="str">
            <v/>
          </cell>
          <cell r="DF255" t="str">
            <v/>
          </cell>
          <cell r="DG255" t="str">
            <v/>
          </cell>
          <cell r="DH255" t="str">
            <v/>
          </cell>
          <cell r="DI255" t="str">
            <v/>
          </cell>
          <cell r="DJ255" t="str">
            <v/>
          </cell>
          <cell r="DK255" t="str">
            <v/>
          </cell>
          <cell r="DL255" t="str">
            <v/>
          </cell>
          <cell r="DM255" t="str">
            <v/>
          </cell>
          <cell r="DN255" t="str">
            <v/>
          </cell>
          <cell r="DO255" t="str">
            <v/>
          </cell>
          <cell r="DP255" t="str">
            <v/>
          </cell>
          <cell r="DQ255" t="str">
            <v/>
          </cell>
          <cell r="DR255" t="str">
            <v/>
          </cell>
          <cell r="DS255" t="str">
            <v/>
          </cell>
          <cell r="DT255" t="str">
            <v/>
          </cell>
          <cell r="DU255" t="str">
            <v/>
          </cell>
          <cell r="DV255" t="str">
            <v/>
          </cell>
          <cell r="DW255" t="str">
            <v/>
          </cell>
          <cell r="DX255" t="str">
            <v/>
          </cell>
          <cell r="DY255" t="str">
            <v/>
          </cell>
          <cell r="DZ255" t="str">
            <v/>
          </cell>
          <cell r="EA255" t="str">
            <v/>
          </cell>
          <cell r="EB255" t="str">
            <v/>
          </cell>
          <cell r="EC255" t="str">
            <v/>
          </cell>
          <cell r="ED255" t="str">
            <v/>
          </cell>
          <cell r="EE255" t="str">
            <v/>
          </cell>
          <cell r="EF255" t="str">
            <v/>
          </cell>
          <cell r="EG255" t="str">
            <v/>
          </cell>
          <cell r="EH255" t="str">
            <v/>
          </cell>
          <cell r="EI255" t="str">
            <v/>
          </cell>
          <cell r="EJ255" t="str">
            <v/>
          </cell>
          <cell r="EK255" t="str">
            <v/>
          </cell>
          <cell r="EL255" t="str">
            <v/>
          </cell>
          <cell r="EM255" t="str">
            <v/>
          </cell>
          <cell r="EN255" t="str">
            <v/>
          </cell>
          <cell r="EO255" t="str">
            <v/>
          </cell>
          <cell r="EP255" t="str">
            <v/>
          </cell>
          <cell r="EQ255" t="str">
            <v/>
          </cell>
          <cell r="ER255" t="str">
            <v/>
          </cell>
          <cell r="ES255" t="str">
            <v/>
          </cell>
          <cell r="ET255" t="str">
            <v/>
          </cell>
          <cell r="EU255" t="str">
            <v/>
          </cell>
          <cell r="EV255" t="str">
            <v/>
          </cell>
        </row>
        <row r="256">
          <cell r="A256" t="str">
            <v>Wks</v>
          </cell>
          <cell r="B256" t="str">
            <v>Days</v>
          </cell>
          <cell r="C256">
            <v>0</v>
          </cell>
          <cell r="D256">
            <v>0</v>
          </cell>
          <cell r="E256">
            <v>0</v>
          </cell>
          <cell r="F256" t="str">
            <v>Wks</v>
          </cell>
          <cell r="G256" t="str">
            <v>Days</v>
          </cell>
          <cell r="H256" t="str">
            <v>Frames</v>
          </cell>
          <cell r="I256" t="str">
            <v>Wks</v>
          </cell>
          <cell r="J256" t="str">
            <v>Days</v>
          </cell>
          <cell r="K256">
            <v>21</v>
          </cell>
          <cell r="L256">
            <v>0</v>
          </cell>
          <cell r="M256">
            <v>29</v>
          </cell>
          <cell r="N256">
            <v>0</v>
          </cell>
          <cell r="O256">
            <v>29</v>
          </cell>
          <cell r="P256">
            <v>0</v>
          </cell>
          <cell r="Q256">
            <v>29</v>
          </cell>
          <cell r="R256">
            <v>36342</v>
          </cell>
          <cell r="S256">
            <v>0</v>
          </cell>
          <cell r="T256" t="str">
            <v>Animation Projection</v>
          </cell>
          <cell r="U256">
            <v>0</v>
          </cell>
          <cell r="V256">
            <v>36003</v>
          </cell>
          <cell r="W256">
            <v>36096.068740000002</v>
          </cell>
          <cell r="X256">
            <v>500</v>
          </cell>
          <cell r="Y256">
            <v>14</v>
          </cell>
          <cell r="Z256">
            <v>93.068739999999991</v>
          </cell>
          <cell r="AA256" t="str">
            <v/>
          </cell>
          <cell r="AB256" t="str">
            <v/>
          </cell>
          <cell r="AC256" t="str">
            <v/>
          </cell>
          <cell r="AD256" t="str">
            <v/>
          </cell>
          <cell r="AE256" t="str">
            <v/>
          </cell>
          <cell r="AF256" t="str">
            <v/>
          </cell>
          <cell r="AG256" t="str">
            <v/>
          </cell>
          <cell r="AH256" t="str">
            <v/>
          </cell>
          <cell r="AI256" t="str">
            <v/>
          </cell>
          <cell r="AJ256" t="str">
            <v/>
          </cell>
          <cell r="AK256" t="str">
            <v/>
          </cell>
          <cell r="AL256" t="str">
            <v/>
          </cell>
          <cell r="AM256" t="str">
            <v/>
          </cell>
          <cell r="AN256" t="str">
            <v/>
          </cell>
          <cell r="AO256" t="str">
            <v/>
          </cell>
          <cell r="AP256" t="str">
            <v/>
          </cell>
          <cell r="AQ256" t="str">
            <v/>
          </cell>
          <cell r="AR256" t="str">
            <v/>
          </cell>
          <cell r="AS256" t="str">
            <v/>
          </cell>
          <cell r="AT256" t="str">
            <v/>
          </cell>
          <cell r="AU256" t="str">
            <v/>
          </cell>
          <cell r="AV256" t="str">
            <v/>
          </cell>
          <cell r="AW256" t="str">
            <v/>
          </cell>
          <cell r="AX256" t="str">
            <v/>
          </cell>
          <cell r="AY256" t="str">
            <v/>
          </cell>
          <cell r="AZ256" t="str">
            <v/>
          </cell>
          <cell r="BA256" t="str">
            <v/>
          </cell>
          <cell r="BB256" t="str">
            <v/>
          </cell>
          <cell r="BC256" t="str">
            <v/>
          </cell>
          <cell r="BD256" t="str">
            <v/>
          </cell>
          <cell r="BE256" t="str">
            <v/>
          </cell>
          <cell r="BF256" t="str">
            <v/>
          </cell>
          <cell r="BG256" t="str">
            <v/>
          </cell>
          <cell r="BH256" t="str">
            <v/>
          </cell>
          <cell r="BI256" t="str">
            <v/>
          </cell>
          <cell r="BJ256" t="str">
            <v/>
          </cell>
          <cell r="BK256" t="str">
            <v/>
          </cell>
          <cell r="BL256" t="str">
            <v/>
          </cell>
          <cell r="BM256" t="str">
            <v/>
          </cell>
          <cell r="BN256" t="str">
            <v/>
          </cell>
          <cell r="BO256" t="str">
            <v/>
          </cell>
          <cell r="BP256" t="str">
            <v/>
          </cell>
          <cell r="BQ256" t="str">
            <v/>
          </cell>
          <cell r="BR256" t="str">
            <v/>
          </cell>
          <cell r="BS256" t="str">
            <v/>
          </cell>
          <cell r="BT256" t="str">
            <v/>
          </cell>
          <cell r="BU256" t="str">
            <v/>
          </cell>
          <cell r="BV256" t="str">
            <v/>
          </cell>
          <cell r="BW256" t="str">
            <v/>
          </cell>
          <cell r="BX256" t="str">
            <v/>
          </cell>
          <cell r="BY256" t="str">
            <v/>
          </cell>
          <cell r="BZ256" t="str">
            <v/>
          </cell>
          <cell r="CA256" t="str">
            <v/>
          </cell>
          <cell r="CB256" t="str">
            <v/>
          </cell>
          <cell r="CC256" t="str">
            <v/>
          </cell>
          <cell r="CD256" t="str">
            <v/>
          </cell>
          <cell r="CE256" t="str">
            <v/>
          </cell>
          <cell r="CF256" t="str">
            <v/>
          </cell>
          <cell r="CG256" t="str">
            <v/>
          </cell>
          <cell r="CH256" t="str">
            <v/>
          </cell>
          <cell r="CI256" t="str">
            <v/>
          </cell>
          <cell r="CJ256" t="str">
            <v/>
          </cell>
          <cell r="CK256" t="str">
            <v/>
          </cell>
          <cell r="CL256" t="str">
            <v/>
          </cell>
          <cell r="CM256">
            <v>0</v>
          </cell>
          <cell r="CN256">
            <v>0</v>
          </cell>
          <cell r="CO256">
            <v>0</v>
          </cell>
          <cell r="CP256">
            <v>125</v>
          </cell>
          <cell r="CQ256">
            <v>250</v>
          </cell>
          <cell r="CR256">
            <v>375</v>
          </cell>
          <cell r="CS256">
            <v>500</v>
          </cell>
          <cell r="CT256">
            <v>500</v>
          </cell>
          <cell r="CU256">
            <v>500</v>
          </cell>
          <cell r="CV256">
            <v>500</v>
          </cell>
          <cell r="CW256">
            <v>500</v>
          </cell>
          <cell r="CX256">
            <v>500</v>
          </cell>
          <cell r="CY256">
            <v>500</v>
          </cell>
          <cell r="CZ256">
            <v>500</v>
          </cell>
          <cell r="DA256" t="str">
            <v/>
          </cell>
          <cell r="DB256" t="str">
            <v/>
          </cell>
          <cell r="DC256" t="str">
            <v/>
          </cell>
          <cell r="DD256" t="str">
            <v/>
          </cell>
          <cell r="DE256" t="str">
            <v/>
          </cell>
          <cell r="DF256" t="str">
            <v/>
          </cell>
          <cell r="DG256" t="str">
            <v/>
          </cell>
          <cell r="DH256" t="str">
            <v/>
          </cell>
          <cell r="DI256" t="str">
            <v/>
          </cell>
          <cell r="DJ256" t="str">
            <v/>
          </cell>
          <cell r="DK256" t="str">
            <v/>
          </cell>
          <cell r="DL256" t="str">
            <v/>
          </cell>
          <cell r="DM256" t="str">
            <v/>
          </cell>
          <cell r="DN256" t="str">
            <v/>
          </cell>
          <cell r="DO256" t="str">
            <v/>
          </cell>
          <cell r="DP256" t="str">
            <v/>
          </cell>
          <cell r="DQ256" t="str">
            <v/>
          </cell>
          <cell r="DR256" t="str">
            <v/>
          </cell>
          <cell r="DS256" t="str">
            <v/>
          </cell>
          <cell r="DT256" t="str">
            <v/>
          </cell>
          <cell r="DU256" t="str">
            <v/>
          </cell>
          <cell r="DV256" t="str">
            <v/>
          </cell>
          <cell r="DW256" t="str">
            <v/>
          </cell>
          <cell r="DX256" t="str">
            <v/>
          </cell>
          <cell r="DY256" t="str">
            <v/>
          </cell>
          <cell r="DZ256" t="str">
            <v/>
          </cell>
          <cell r="EA256" t="str">
            <v/>
          </cell>
          <cell r="EB256" t="str">
            <v/>
          </cell>
          <cell r="EC256" t="str">
            <v/>
          </cell>
          <cell r="ED256" t="str">
            <v/>
          </cell>
          <cell r="EE256" t="str">
            <v/>
          </cell>
          <cell r="EF256" t="str">
            <v/>
          </cell>
          <cell r="EG256" t="str">
            <v/>
          </cell>
          <cell r="EH256" t="str">
            <v/>
          </cell>
          <cell r="EI256" t="str">
            <v/>
          </cell>
          <cell r="EJ256" t="str">
            <v/>
          </cell>
          <cell r="EK256" t="str">
            <v/>
          </cell>
          <cell r="EL256" t="str">
            <v/>
          </cell>
          <cell r="EM256" t="str">
            <v/>
          </cell>
          <cell r="EN256" t="str">
            <v/>
          </cell>
          <cell r="EO256" t="str">
            <v/>
          </cell>
          <cell r="EP256" t="str">
            <v/>
          </cell>
          <cell r="EQ256" t="str">
            <v/>
          </cell>
          <cell r="ER256" t="str">
            <v/>
          </cell>
          <cell r="ES256" t="str">
            <v/>
          </cell>
          <cell r="ET256" t="str">
            <v/>
          </cell>
          <cell r="EU256" t="str">
            <v/>
          </cell>
          <cell r="EV256" t="str">
            <v/>
          </cell>
        </row>
        <row r="257">
          <cell r="A257">
            <v>9.0098199999999995</v>
          </cell>
          <cell r="B257">
            <v>77.068739999999991</v>
          </cell>
          <cell r="C257">
            <v>0</v>
          </cell>
          <cell r="D257">
            <v>0</v>
          </cell>
          <cell r="E257">
            <v>0</v>
          </cell>
          <cell r="F257">
            <v>9.0098199999999995</v>
          </cell>
          <cell r="G257">
            <v>93.068739999999991</v>
          </cell>
          <cell r="H257">
            <v>4504.91</v>
          </cell>
          <cell r="I257">
            <v>9.0098199999999995</v>
          </cell>
          <cell r="J257">
            <v>77.068739999999991</v>
          </cell>
          <cell r="K257">
            <v>21</v>
          </cell>
          <cell r="L257">
            <v>0</v>
          </cell>
          <cell r="M257">
            <v>29</v>
          </cell>
          <cell r="N257">
            <v>0</v>
          </cell>
          <cell r="O257">
            <v>29</v>
          </cell>
          <cell r="P257">
            <v>0</v>
          </cell>
          <cell r="Q257">
            <v>29</v>
          </cell>
          <cell r="R257">
            <v>36342</v>
          </cell>
          <cell r="S257">
            <v>0</v>
          </cell>
          <cell r="T257" t="str">
            <v>Ink &amp; Paint Projection</v>
          </cell>
          <cell r="U257">
            <v>0</v>
          </cell>
          <cell r="V257">
            <v>36033</v>
          </cell>
          <cell r="W257">
            <v>36110.068740000002</v>
          </cell>
          <cell r="X257">
            <v>500</v>
          </cell>
          <cell r="Y257">
            <v>11</v>
          </cell>
          <cell r="Z257">
            <v>77.068739999999991</v>
          </cell>
          <cell r="AA257" t="str">
            <v/>
          </cell>
          <cell r="AB257" t="str">
            <v/>
          </cell>
          <cell r="AC257" t="str">
            <v/>
          </cell>
          <cell r="AD257" t="str">
            <v/>
          </cell>
          <cell r="AE257" t="str">
            <v/>
          </cell>
          <cell r="AF257" t="str">
            <v/>
          </cell>
          <cell r="AG257" t="str">
            <v/>
          </cell>
          <cell r="AH257" t="str">
            <v/>
          </cell>
          <cell r="AI257" t="str">
            <v/>
          </cell>
          <cell r="AJ257" t="str">
            <v/>
          </cell>
          <cell r="AK257" t="str">
            <v/>
          </cell>
          <cell r="AL257" t="str">
            <v/>
          </cell>
          <cell r="AM257" t="str">
            <v/>
          </cell>
          <cell r="AN257" t="str">
            <v/>
          </cell>
          <cell r="AO257" t="str">
            <v/>
          </cell>
          <cell r="AP257" t="str">
            <v/>
          </cell>
          <cell r="AQ257" t="str">
            <v/>
          </cell>
          <cell r="AR257" t="str">
            <v/>
          </cell>
          <cell r="AS257" t="str">
            <v/>
          </cell>
          <cell r="AT257" t="str">
            <v/>
          </cell>
          <cell r="AU257" t="str">
            <v/>
          </cell>
          <cell r="AV257" t="str">
            <v/>
          </cell>
          <cell r="AW257" t="str">
            <v/>
          </cell>
          <cell r="AX257" t="str">
            <v/>
          </cell>
          <cell r="AY257" t="str">
            <v/>
          </cell>
          <cell r="AZ257" t="str">
            <v/>
          </cell>
          <cell r="BA257" t="str">
            <v/>
          </cell>
          <cell r="BB257" t="str">
            <v/>
          </cell>
          <cell r="BC257" t="str">
            <v/>
          </cell>
          <cell r="BD257" t="str">
            <v/>
          </cell>
          <cell r="BE257" t="str">
            <v/>
          </cell>
          <cell r="BF257" t="str">
            <v/>
          </cell>
          <cell r="BG257" t="str">
            <v/>
          </cell>
          <cell r="BH257" t="str">
            <v/>
          </cell>
          <cell r="BI257" t="str">
            <v/>
          </cell>
          <cell r="BJ257" t="str">
            <v/>
          </cell>
          <cell r="BK257" t="str">
            <v/>
          </cell>
          <cell r="BL257" t="str">
            <v/>
          </cell>
          <cell r="BM257" t="str">
            <v/>
          </cell>
          <cell r="BN257" t="str">
            <v/>
          </cell>
          <cell r="BO257" t="str">
            <v/>
          </cell>
          <cell r="BP257" t="str">
            <v/>
          </cell>
          <cell r="BQ257" t="str">
            <v/>
          </cell>
          <cell r="BR257" t="str">
            <v/>
          </cell>
          <cell r="BS257" t="str">
            <v/>
          </cell>
          <cell r="BT257" t="str">
            <v/>
          </cell>
          <cell r="BU257" t="str">
            <v/>
          </cell>
          <cell r="BV257" t="str">
            <v/>
          </cell>
          <cell r="BW257" t="str">
            <v/>
          </cell>
          <cell r="BX257" t="str">
            <v/>
          </cell>
          <cell r="BY257" t="str">
            <v/>
          </cell>
          <cell r="BZ257" t="str">
            <v/>
          </cell>
          <cell r="CA257" t="str">
            <v/>
          </cell>
          <cell r="CB257" t="str">
            <v/>
          </cell>
          <cell r="CC257" t="str">
            <v/>
          </cell>
          <cell r="CD257" t="str">
            <v/>
          </cell>
          <cell r="CE257" t="str">
            <v/>
          </cell>
          <cell r="CF257" t="str">
            <v/>
          </cell>
          <cell r="CG257" t="str">
            <v/>
          </cell>
          <cell r="CH257" t="str">
            <v/>
          </cell>
          <cell r="CI257" t="str">
            <v/>
          </cell>
          <cell r="CJ257" t="str">
            <v/>
          </cell>
          <cell r="CK257" t="str">
            <v/>
          </cell>
          <cell r="CL257" t="str">
            <v/>
          </cell>
          <cell r="CM257" t="str">
            <v/>
          </cell>
          <cell r="CN257" t="str">
            <v/>
          </cell>
          <cell r="CO257" t="str">
            <v/>
          </cell>
          <cell r="CP257" t="str">
            <v/>
          </cell>
          <cell r="CQ257" t="str">
            <v/>
          </cell>
          <cell r="CR257">
            <v>125</v>
          </cell>
          <cell r="CS257">
            <v>250</v>
          </cell>
          <cell r="CT257">
            <v>375</v>
          </cell>
          <cell r="CU257">
            <v>500</v>
          </cell>
          <cell r="CV257">
            <v>500</v>
          </cell>
          <cell r="CW257">
            <v>500</v>
          </cell>
          <cell r="CX257">
            <v>500</v>
          </cell>
          <cell r="CY257">
            <v>500</v>
          </cell>
          <cell r="CZ257">
            <v>500</v>
          </cell>
          <cell r="DA257">
            <v>500</v>
          </cell>
          <cell r="DB257">
            <v>500</v>
          </cell>
          <cell r="DC257" t="str">
            <v/>
          </cell>
          <cell r="DD257" t="str">
            <v/>
          </cell>
          <cell r="DE257" t="str">
            <v/>
          </cell>
          <cell r="DF257" t="str">
            <v/>
          </cell>
          <cell r="DG257" t="str">
            <v/>
          </cell>
          <cell r="DH257" t="str">
            <v/>
          </cell>
          <cell r="DI257" t="str">
            <v/>
          </cell>
          <cell r="DJ257" t="str">
            <v/>
          </cell>
          <cell r="DK257" t="str">
            <v/>
          </cell>
          <cell r="DL257" t="str">
            <v/>
          </cell>
          <cell r="DM257" t="str">
            <v/>
          </cell>
          <cell r="DN257" t="str">
            <v/>
          </cell>
          <cell r="DO257" t="str">
            <v/>
          </cell>
          <cell r="DP257" t="str">
            <v/>
          </cell>
          <cell r="DQ257" t="str">
            <v/>
          </cell>
          <cell r="DR257" t="str">
            <v/>
          </cell>
          <cell r="DS257" t="str">
            <v/>
          </cell>
          <cell r="DT257" t="str">
            <v/>
          </cell>
          <cell r="DU257" t="str">
            <v/>
          </cell>
          <cell r="DV257" t="str">
            <v/>
          </cell>
          <cell r="DW257" t="str">
            <v/>
          </cell>
          <cell r="DX257" t="str">
            <v/>
          </cell>
          <cell r="DY257" t="str">
            <v/>
          </cell>
          <cell r="DZ257" t="str">
            <v/>
          </cell>
          <cell r="EA257" t="str">
            <v/>
          </cell>
          <cell r="EB257" t="str">
            <v/>
          </cell>
          <cell r="EC257" t="str">
            <v/>
          </cell>
          <cell r="ED257" t="str">
            <v/>
          </cell>
          <cell r="EE257" t="str">
            <v/>
          </cell>
          <cell r="EF257" t="str">
            <v/>
          </cell>
          <cell r="EG257" t="str">
            <v/>
          </cell>
          <cell r="EH257" t="str">
            <v/>
          </cell>
          <cell r="EI257" t="str">
            <v/>
          </cell>
          <cell r="EJ257" t="str">
            <v/>
          </cell>
          <cell r="EK257" t="str">
            <v/>
          </cell>
          <cell r="EL257" t="str">
            <v/>
          </cell>
          <cell r="EM257" t="str">
            <v/>
          </cell>
          <cell r="EN257" t="str">
            <v/>
          </cell>
          <cell r="EO257" t="str">
            <v/>
          </cell>
          <cell r="EP257" t="str">
            <v/>
          </cell>
          <cell r="EQ257" t="str">
            <v/>
          </cell>
          <cell r="ER257" t="str">
            <v/>
          </cell>
          <cell r="ES257" t="str">
            <v/>
          </cell>
          <cell r="ET257" t="str">
            <v/>
          </cell>
          <cell r="EU257" t="str">
            <v/>
          </cell>
          <cell r="EV257" t="str">
            <v/>
          </cell>
        </row>
        <row r="258">
          <cell r="V258">
            <v>36033</v>
          </cell>
          <cell r="W258">
            <v>36110.068740000002</v>
          </cell>
          <cell r="X258">
            <v>500</v>
          </cell>
          <cell r="Y258">
            <v>11</v>
          </cell>
          <cell r="Z258">
            <v>77.068739999999991</v>
          </cell>
          <cell r="AA258" t="str">
            <v/>
          </cell>
          <cell r="AB258" t="str">
            <v/>
          </cell>
          <cell r="AC258" t="str">
            <v/>
          </cell>
          <cell r="AD258" t="str">
            <v/>
          </cell>
          <cell r="AE258" t="str">
            <v/>
          </cell>
          <cell r="AF258" t="str">
            <v/>
          </cell>
          <cell r="AG258" t="str">
            <v/>
          </cell>
          <cell r="AH258" t="str">
            <v/>
          </cell>
          <cell r="AI258" t="str">
            <v/>
          </cell>
          <cell r="AJ258" t="str">
            <v/>
          </cell>
          <cell r="AK258" t="str">
            <v/>
          </cell>
          <cell r="AL258" t="str">
            <v/>
          </cell>
          <cell r="AM258" t="str">
            <v/>
          </cell>
          <cell r="AN258" t="str">
            <v/>
          </cell>
          <cell r="AO258" t="str">
            <v/>
          </cell>
          <cell r="AP258" t="str">
            <v/>
          </cell>
          <cell r="AQ258" t="str">
            <v/>
          </cell>
          <cell r="AR258" t="str">
            <v/>
          </cell>
          <cell r="AS258" t="str">
            <v/>
          </cell>
          <cell r="AT258" t="str">
            <v/>
          </cell>
          <cell r="AU258" t="str">
            <v/>
          </cell>
          <cell r="AV258" t="str">
            <v/>
          </cell>
          <cell r="AW258" t="str">
            <v/>
          </cell>
          <cell r="AX258" t="str">
            <v/>
          </cell>
          <cell r="AY258" t="str">
            <v/>
          </cell>
          <cell r="AZ258" t="str">
            <v/>
          </cell>
          <cell r="BA258" t="str">
            <v/>
          </cell>
          <cell r="BB258" t="str">
            <v/>
          </cell>
          <cell r="BC258" t="str">
            <v/>
          </cell>
          <cell r="BD258" t="str">
            <v/>
          </cell>
          <cell r="BE258" t="str">
            <v/>
          </cell>
          <cell r="BF258" t="str">
            <v/>
          </cell>
          <cell r="BG258" t="str">
            <v/>
          </cell>
          <cell r="BH258" t="str">
            <v/>
          </cell>
          <cell r="BI258" t="str">
            <v/>
          </cell>
          <cell r="BJ258" t="str">
            <v/>
          </cell>
          <cell r="BK258" t="str">
            <v/>
          </cell>
          <cell r="BL258" t="str">
            <v/>
          </cell>
          <cell r="BM258" t="str">
            <v/>
          </cell>
          <cell r="BN258" t="str">
            <v/>
          </cell>
          <cell r="BO258" t="str">
            <v/>
          </cell>
          <cell r="BP258" t="str">
            <v/>
          </cell>
          <cell r="BQ258" t="str">
            <v/>
          </cell>
          <cell r="BR258" t="str">
            <v/>
          </cell>
          <cell r="BS258" t="str">
            <v/>
          </cell>
          <cell r="BT258" t="str">
            <v/>
          </cell>
          <cell r="BU258" t="str">
            <v/>
          </cell>
          <cell r="BV258" t="str">
            <v/>
          </cell>
          <cell r="BW258" t="str">
            <v/>
          </cell>
          <cell r="BX258" t="str">
            <v/>
          </cell>
          <cell r="BY258" t="str">
            <v/>
          </cell>
          <cell r="BZ258" t="str">
            <v/>
          </cell>
          <cell r="CA258" t="str">
            <v/>
          </cell>
          <cell r="CB258" t="str">
            <v/>
          </cell>
          <cell r="CC258" t="str">
            <v/>
          </cell>
          <cell r="CD258" t="str">
            <v/>
          </cell>
          <cell r="CE258" t="str">
            <v/>
          </cell>
          <cell r="CF258" t="str">
            <v/>
          </cell>
          <cell r="CG258" t="str">
            <v/>
          </cell>
          <cell r="CH258" t="str">
            <v/>
          </cell>
          <cell r="CI258" t="str">
            <v/>
          </cell>
          <cell r="CJ258" t="str">
            <v/>
          </cell>
          <cell r="CK258" t="str">
            <v/>
          </cell>
          <cell r="CL258" t="str">
            <v/>
          </cell>
          <cell r="CM258" t="str">
            <v/>
          </cell>
          <cell r="CN258" t="str">
            <v/>
          </cell>
          <cell r="CO258" t="str">
            <v/>
          </cell>
          <cell r="CP258" t="str">
            <v/>
          </cell>
          <cell r="CQ258" t="str">
            <v/>
          </cell>
          <cell r="CR258">
            <v>125</v>
          </cell>
          <cell r="CS258">
            <v>250</v>
          </cell>
          <cell r="CT258">
            <v>375</v>
          </cell>
          <cell r="CU258">
            <v>500</v>
          </cell>
          <cell r="CV258">
            <v>500</v>
          </cell>
          <cell r="CW258">
            <v>500</v>
          </cell>
          <cell r="CX258">
            <v>500</v>
          </cell>
          <cell r="CY258">
            <v>500</v>
          </cell>
          <cell r="CZ258">
            <v>500</v>
          </cell>
          <cell r="DA258">
            <v>500</v>
          </cell>
          <cell r="DB258">
            <v>500</v>
          </cell>
          <cell r="DC258" t="str">
            <v/>
          </cell>
          <cell r="DD258" t="str">
            <v/>
          </cell>
          <cell r="DE258" t="str">
            <v/>
          </cell>
          <cell r="DF258" t="str">
            <v/>
          </cell>
          <cell r="DG258" t="str">
            <v/>
          </cell>
          <cell r="DH258" t="str">
            <v/>
          </cell>
          <cell r="DI258" t="str">
            <v/>
          </cell>
          <cell r="DJ258" t="str">
            <v/>
          </cell>
          <cell r="DK258" t="str">
            <v/>
          </cell>
          <cell r="DL258" t="str">
            <v/>
          </cell>
          <cell r="DM258" t="str">
            <v/>
          </cell>
          <cell r="DN258" t="str">
            <v/>
          </cell>
          <cell r="DO258" t="str">
            <v/>
          </cell>
          <cell r="DP258" t="str">
            <v/>
          </cell>
          <cell r="DQ258" t="str">
            <v/>
          </cell>
          <cell r="DR258" t="str">
            <v/>
          </cell>
          <cell r="DS258" t="str">
            <v/>
          </cell>
          <cell r="DT258" t="str">
            <v/>
          </cell>
          <cell r="DU258" t="str">
            <v/>
          </cell>
          <cell r="DV258" t="str">
            <v/>
          </cell>
          <cell r="DW258" t="str">
            <v/>
          </cell>
          <cell r="DX258" t="str">
            <v/>
          </cell>
          <cell r="DY258" t="str">
            <v/>
          </cell>
          <cell r="DZ258" t="str">
            <v/>
          </cell>
          <cell r="EA258" t="str">
            <v/>
          </cell>
          <cell r="EB258" t="str">
            <v/>
          </cell>
          <cell r="EC258" t="str">
            <v/>
          </cell>
          <cell r="ED258" t="str">
            <v/>
          </cell>
          <cell r="EE258" t="str">
            <v/>
          </cell>
          <cell r="EF258" t="str">
            <v/>
          </cell>
          <cell r="EG258" t="str">
            <v/>
          </cell>
          <cell r="EH258" t="str">
            <v/>
          </cell>
          <cell r="EI258" t="str">
            <v/>
          </cell>
          <cell r="EJ258" t="str">
            <v/>
          </cell>
          <cell r="EK258" t="str">
            <v/>
          </cell>
          <cell r="EL258" t="str">
            <v/>
          </cell>
          <cell r="EM258" t="str">
            <v/>
          </cell>
          <cell r="EN258" t="str">
            <v/>
          </cell>
          <cell r="EO258" t="str">
            <v/>
          </cell>
          <cell r="EP258" t="str">
            <v/>
          </cell>
          <cell r="EQ258" t="str">
            <v/>
          </cell>
          <cell r="ER258" t="str">
            <v/>
          </cell>
          <cell r="ES258" t="str">
            <v/>
          </cell>
          <cell r="ET258" t="str">
            <v/>
          </cell>
          <cell r="EU258" t="str">
            <v/>
          </cell>
          <cell r="EV258" t="str">
            <v/>
          </cell>
        </row>
        <row r="259">
          <cell r="T259" t="str">
            <v>BUDGET FORECAST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 t="str">
            <v/>
          </cell>
          <cell r="AB259" t="str">
            <v/>
          </cell>
          <cell r="AC259" t="str">
            <v/>
          </cell>
          <cell r="AD259" t="str">
            <v/>
          </cell>
          <cell r="AE259" t="str">
            <v/>
          </cell>
          <cell r="AF259" t="str">
            <v/>
          </cell>
          <cell r="AG259" t="str">
            <v/>
          </cell>
          <cell r="AH259" t="str">
            <v/>
          </cell>
          <cell r="AI259" t="str">
            <v/>
          </cell>
          <cell r="AJ259" t="str">
            <v/>
          </cell>
          <cell r="AK259" t="str">
            <v/>
          </cell>
          <cell r="AL259" t="str">
            <v/>
          </cell>
          <cell r="AM259" t="str">
            <v/>
          </cell>
          <cell r="AN259" t="str">
            <v/>
          </cell>
          <cell r="AO259" t="str">
            <v/>
          </cell>
          <cell r="AP259" t="str">
            <v/>
          </cell>
          <cell r="AQ259" t="str">
            <v/>
          </cell>
          <cell r="AR259" t="str">
            <v/>
          </cell>
          <cell r="AS259" t="str">
            <v/>
          </cell>
          <cell r="AT259" t="str">
            <v/>
          </cell>
          <cell r="AU259" t="str">
            <v/>
          </cell>
          <cell r="AV259" t="str">
            <v/>
          </cell>
          <cell r="AW259" t="str">
            <v/>
          </cell>
          <cell r="AX259" t="str">
            <v/>
          </cell>
          <cell r="AY259" t="str">
            <v/>
          </cell>
          <cell r="AZ259" t="str">
            <v/>
          </cell>
          <cell r="BA259" t="str">
            <v/>
          </cell>
          <cell r="BB259" t="str">
            <v/>
          </cell>
          <cell r="BC259" t="str">
            <v/>
          </cell>
          <cell r="BD259" t="str">
            <v/>
          </cell>
          <cell r="BE259" t="str">
            <v/>
          </cell>
          <cell r="BF259" t="str">
            <v/>
          </cell>
          <cell r="BG259" t="str">
            <v/>
          </cell>
          <cell r="BH259" t="str">
            <v/>
          </cell>
          <cell r="BI259" t="str">
            <v/>
          </cell>
          <cell r="BJ259" t="str">
            <v/>
          </cell>
          <cell r="BK259" t="str">
            <v/>
          </cell>
          <cell r="BL259" t="str">
            <v/>
          </cell>
          <cell r="BM259" t="str">
            <v/>
          </cell>
          <cell r="BN259" t="str">
            <v/>
          </cell>
          <cell r="BO259" t="str">
            <v/>
          </cell>
          <cell r="BP259" t="str">
            <v/>
          </cell>
          <cell r="BQ259" t="str">
            <v/>
          </cell>
          <cell r="BR259" t="str">
            <v/>
          </cell>
          <cell r="BS259" t="str">
            <v/>
          </cell>
          <cell r="BT259" t="str">
            <v/>
          </cell>
          <cell r="BU259" t="str">
            <v/>
          </cell>
          <cell r="BV259" t="str">
            <v/>
          </cell>
          <cell r="BW259" t="str">
            <v/>
          </cell>
          <cell r="BX259" t="str">
            <v/>
          </cell>
          <cell r="BY259" t="str">
            <v/>
          </cell>
          <cell r="BZ259" t="str">
            <v/>
          </cell>
          <cell r="CA259" t="str">
            <v/>
          </cell>
          <cell r="CB259" t="str">
            <v/>
          </cell>
          <cell r="CC259" t="str">
            <v/>
          </cell>
          <cell r="CD259" t="str">
            <v/>
          </cell>
          <cell r="CE259" t="str">
            <v/>
          </cell>
          <cell r="CF259" t="str">
            <v/>
          </cell>
          <cell r="CG259" t="str">
            <v/>
          </cell>
          <cell r="CH259" t="str">
            <v/>
          </cell>
          <cell r="CI259">
            <v>35975</v>
          </cell>
          <cell r="CJ259">
            <v>35982</v>
          </cell>
          <cell r="CK259">
            <v>35989</v>
          </cell>
          <cell r="CL259">
            <v>35996</v>
          </cell>
          <cell r="CM259">
            <v>36003</v>
          </cell>
          <cell r="CN259">
            <v>36010</v>
          </cell>
          <cell r="CO259">
            <v>36017</v>
          </cell>
          <cell r="CP259">
            <v>36024</v>
          </cell>
          <cell r="CQ259">
            <v>36031</v>
          </cell>
          <cell r="CR259">
            <v>36038</v>
          </cell>
          <cell r="CS259">
            <v>36045</v>
          </cell>
          <cell r="CT259">
            <v>36052</v>
          </cell>
          <cell r="CU259" t="str">
            <v/>
          </cell>
          <cell r="CV259" t="str">
            <v/>
          </cell>
          <cell r="CW259" t="str">
            <v/>
          </cell>
          <cell r="CX259" t="str">
            <v/>
          </cell>
          <cell r="CY259" t="str">
            <v/>
          </cell>
          <cell r="CZ259" t="str">
            <v/>
          </cell>
          <cell r="DA259" t="str">
            <v/>
          </cell>
          <cell r="DB259" t="str">
            <v/>
          </cell>
          <cell r="DC259" t="str">
            <v/>
          </cell>
          <cell r="DD259" t="str">
            <v/>
          </cell>
          <cell r="DE259" t="str">
            <v/>
          </cell>
          <cell r="DF259" t="str">
            <v/>
          </cell>
          <cell r="DG259" t="str">
            <v/>
          </cell>
          <cell r="DH259" t="str">
            <v/>
          </cell>
          <cell r="DI259" t="str">
            <v/>
          </cell>
          <cell r="DJ259" t="str">
            <v/>
          </cell>
          <cell r="DK259" t="str">
            <v/>
          </cell>
          <cell r="DL259" t="str">
            <v/>
          </cell>
          <cell r="DM259" t="str">
            <v/>
          </cell>
          <cell r="DN259" t="str">
            <v/>
          </cell>
          <cell r="DO259" t="str">
            <v/>
          </cell>
          <cell r="DP259" t="str">
            <v/>
          </cell>
          <cell r="DQ259" t="str">
            <v/>
          </cell>
          <cell r="DR259" t="str">
            <v/>
          </cell>
          <cell r="DS259" t="str">
            <v/>
          </cell>
          <cell r="DT259" t="str">
            <v/>
          </cell>
          <cell r="DU259" t="str">
            <v/>
          </cell>
          <cell r="DV259" t="str">
            <v/>
          </cell>
          <cell r="DW259" t="str">
            <v/>
          </cell>
          <cell r="DX259" t="str">
            <v/>
          </cell>
          <cell r="DY259" t="str">
            <v/>
          </cell>
          <cell r="DZ259" t="str">
            <v/>
          </cell>
          <cell r="EA259" t="str">
            <v/>
          </cell>
          <cell r="EB259" t="str">
            <v/>
          </cell>
          <cell r="EC259" t="str">
            <v/>
          </cell>
          <cell r="ED259" t="str">
            <v/>
          </cell>
          <cell r="EE259" t="str">
            <v/>
          </cell>
          <cell r="EF259" t="str">
            <v/>
          </cell>
          <cell r="EG259" t="str">
            <v/>
          </cell>
          <cell r="EH259" t="str">
            <v/>
          </cell>
          <cell r="EI259" t="str">
            <v/>
          </cell>
          <cell r="EJ259" t="str">
            <v/>
          </cell>
          <cell r="EK259" t="str">
            <v/>
          </cell>
          <cell r="EL259" t="str">
            <v/>
          </cell>
          <cell r="EM259" t="str">
            <v/>
          </cell>
          <cell r="EN259" t="str">
            <v/>
          </cell>
          <cell r="EO259" t="str">
            <v/>
          </cell>
          <cell r="EP259" t="str">
            <v/>
          </cell>
          <cell r="EQ259" t="str">
            <v/>
          </cell>
          <cell r="ER259" t="str">
            <v/>
          </cell>
          <cell r="ES259" t="str">
            <v/>
          </cell>
          <cell r="ET259" t="str">
            <v/>
          </cell>
          <cell r="EU259" t="str">
            <v/>
          </cell>
          <cell r="EV259" t="str">
            <v/>
          </cell>
          <cell r="EW259" t="str">
            <v/>
          </cell>
          <cell r="EX259" t="str">
            <v/>
          </cell>
          <cell r="EY259" t="str">
            <v/>
          </cell>
          <cell r="EZ259" t="str">
            <v/>
          </cell>
          <cell r="FA259" t="str">
            <v/>
          </cell>
          <cell r="FB259" t="str">
            <v/>
          </cell>
          <cell r="FC259" t="str">
            <v/>
          </cell>
          <cell r="FD259" t="str">
            <v/>
          </cell>
          <cell r="FE259" t="str">
            <v/>
          </cell>
          <cell r="FF259" t="str">
            <v/>
          </cell>
          <cell r="FG259" t="str">
            <v/>
          </cell>
          <cell r="FH259" t="str">
            <v/>
          </cell>
          <cell r="FI259" t="str">
            <v/>
          </cell>
          <cell r="FJ259">
            <v>0</v>
          </cell>
          <cell r="FK259">
            <v>0</v>
          </cell>
          <cell r="FL259">
            <v>0</v>
          </cell>
          <cell r="FM259">
            <v>0</v>
          </cell>
          <cell r="FN259">
            <v>0</v>
          </cell>
          <cell r="FO259">
            <v>0</v>
          </cell>
          <cell r="FP259">
            <v>0</v>
          </cell>
          <cell r="FQ259">
            <v>0</v>
          </cell>
          <cell r="FR259">
            <v>0</v>
          </cell>
          <cell r="FS259">
            <v>0</v>
          </cell>
          <cell r="FT259">
            <v>0</v>
          </cell>
          <cell r="FU259">
            <v>0</v>
          </cell>
          <cell r="FV259">
            <v>0</v>
          </cell>
          <cell r="FW259">
            <v>0</v>
          </cell>
          <cell r="FX259">
            <v>0</v>
          </cell>
        </row>
        <row r="260">
          <cell r="T260" t="str">
            <v>BUDGET FORECAST</v>
          </cell>
          <cell r="U260">
            <v>0</v>
          </cell>
          <cell r="V260" t="str">
            <v>PRE PROD</v>
          </cell>
          <cell r="W260">
            <v>30</v>
          </cell>
          <cell r="X260">
            <v>157500</v>
          </cell>
          <cell r="Y260">
            <v>0</v>
          </cell>
          <cell r="Z260">
            <v>0</v>
          </cell>
          <cell r="AA260" t="str">
            <v/>
          </cell>
          <cell r="AB260" t="str">
            <v/>
          </cell>
          <cell r="AC260" t="str">
            <v/>
          </cell>
          <cell r="AD260" t="str">
            <v/>
          </cell>
          <cell r="AE260" t="str">
            <v/>
          </cell>
          <cell r="AF260" t="str">
            <v/>
          </cell>
          <cell r="AG260" t="str">
            <v/>
          </cell>
          <cell r="AH260" t="str">
            <v/>
          </cell>
          <cell r="AI260" t="str">
            <v/>
          </cell>
          <cell r="AJ260" t="str">
            <v/>
          </cell>
          <cell r="AK260" t="str">
            <v/>
          </cell>
          <cell r="AL260" t="str">
            <v/>
          </cell>
          <cell r="AM260" t="str">
            <v/>
          </cell>
          <cell r="AN260" t="str">
            <v/>
          </cell>
          <cell r="AO260" t="str">
            <v/>
          </cell>
          <cell r="AP260" t="str">
            <v/>
          </cell>
          <cell r="AQ260" t="str">
            <v/>
          </cell>
          <cell r="AR260" t="str">
            <v/>
          </cell>
          <cell r="AS260" t="str">
            <v/>
          </cell>
          <cell r="AT260" t="str">
            <v/>
          </cell>
          <cell r="AU260" t="str">
            <v/>
          </cell>
          <cell r="AV260" t="str">
            <v/>
          </cell>
          <cell r="AW260" t="str">
            <v/>
          </cell>
          <cell r="AX260" t="str">
            <v/>
          </cell>
          <cell r="AY260" t="str">
            <v/>
          </cell>
          <cell r="AZ260" t="str">
            <v/>
          </cell>
          <cell r="BA260" t="str">
            <v/>
          </cell>
          <cell r="BB260" t="str">
            <v/>
          </cell>
          <cell r="BC260" t="str">
            <v/>
          </cell>
          <cell r="BD260" t="str">
            <v/>
          </cell>
          <cell r="BE260" t="str">
            <v/>
          </cell>
          <cell r="BF260" t="str">
            <v/>
          </cell>
          <cell r="BG260" t="str">
            <v/>
          </cell>
          <cell r="BH260" t="str">
            <v/>
          </cell>
          <cell r="BI260" t="str">
            <v/>
          </cell>
          <cell r="BJ260" t="str">
            <v/>
          </cell>
          <cell r="BK260" t="str">
            <v/>
          </cell>
          <cell r="BL260" t="str">
            <v/>
          </cell>
          <cell r="BM260" t="str">
            <v/>
          </cell>
          <cell r="BN260" t="str">
            <v/>
          </cell>
          <cell r="BO260" t="str">
            <v/>
          </cell>
          <cell r="BP260" t="str">
            <v/>
          </cell>
          <cell r="BQ260" t="str">
            <v/>
          </cell>
          <cell r="BR260" t="str">
            <v/>
          </cell>
          <cell r="BS260" t="str">
            <v/>
          </cell>
          <cell r="BT260" t="str">
            <v/>
          </cell>
          <cell r="BU260" t="str">
            <v/>
          </cell>
          <cell r="BV260" t="str">
            <v/>
          </cell>
          <cell r="BW260" t="str">
            <v/>
          </cell>
          <cell r="BX260" t="str">
            <v/>
          </cell>
          <cell r="BY260" t="str">
            <v/>
          </cell>
          <cell r="BZ260" t="str">
            <v/>
          </cell>
          <cell r="CA260" t="str">
            <v/>
          </cell>
          <cell r="CB260" t="str">
            <v/>
          </cell>
          <cell r="CC260" t="str">
            <v/>
          </cell>
          <cell r="CD260" t="str">
            <v/>
          </cell>
          <cell r="CE260" t="str">
            <v/>
          </cell>
          <cell r="CF260" t="str">
            <v/>
          </cell>
          <cell r="CG260" t="str">
            <v/>
          </cell>
          <cell r="CH260" t="str">
            <v/>
          </cell>
          <cell r="CI260">
            <v>35975</v>
          </cell>
          <cell r="CJ260">
            <v>35982</v>
          </cell>
          <cell r="CK260">
            <v>35989</v>
          </cell>
          <cell r="CL260">
            <v>35996</v>
          </cell>
          <cell r="CM260">
            <v>36003</v>
          </cell>
          <cell r="CN260">
            <v>36010</v>
          </cell>
          <cell r="CO260">
            <v>36017</v>
          </cell>
          <cell r="CP260">
            <v>36024</v>
          </cell>
          <cell r="CQ260">
            <v>36031</v>
          </cell>
          <cell r="CR260">
            <v>36038</v>
          </cell>
          <cell r="CS260">
            <v>36045</v>
          </cell>
          <cell r="CT260">
            <v>36052</v>
          </cell>
          <cell r="CU260" t="str">
            <v/>
          </cell>
          <cell r="CV260" t="str">
            <v/>
          </cell>
          <cell r="CW260" t="str">
            <v/>
          </cell>
          <cell r="CX260" t="str">
            <v/>
          </cell>
          <cell r="CY260" t="str">
            <v/>
          </cell>
          <cell r="CZ260" t="str">
            <v/>
          </cell>
          <cell r="DA260" t="str">
            <v/>
          </cell>
          <cell r="DB260" t="str">
            <v/>
          </cell>
          <cell r="DC260" t="str">
            <v/>
          </cell>
          <cell r="DD260" t="str">
            <v/>
          </cell>
          <cell r="DE260" t="str">
            <v/>
          </cell>
          <cell r="DF260" t="str">
            <v/>
          </cell>
          <cell r="DG260" t="str">
            <v/>
          </cell>
          <cell r="DH260" t="str">
            <v/>
          </cell>
          <cell r="DI260" t="str">
            <v/>
          </cell>
          <cell r="DJ260" t="str">
            <v/>
          </cell>
          <cell r="DK260" t="str">
            <v/>
          </cell>
          <cell r="DL260" t="str">
            <v/>
          </cell>
          <cell r="DM260" t="str">
            <v/>
          </cell>
          <cell r="DN260" t="str">
            <v/>
          </cell>
          <cell r="DO260" t="str">
            <v/>
          </cell>
          <cell r="DP260" t="str">
            <v/>
          </cell>
          <cell r="DQ260" t="str">
            <v/>
          </cell>
          <cell r="DR260" t="str">
            <v/>
          </cell>
          <cell r="DS260" t="str">
            <v/>
          </cell>
          <cell r="DT260" t="str">
            <v/>
          </cell>
          <cell r="DU260" t="str">
            <v/>
          </cell>
          <cell r="DV260" t="str">
            <v/>
          </cell>
          <cell r="DW260" t="str">
            <v/>
          </cell>
          <cell r="DX260" t="str">
            <v/>
          </cell>
          <cell r="DY260" t="str">
            <v/>
          </cell>
          <cell r="DZ260" t="str">
            <v/>
          </cell>
          <cell r="EA260" t="str">
            <v/>
          </cell>
          <cell r="EB260" t="str">
            <v/>
          </cell>
          <cell r="EC260" t="str">
            <v/>
          </cell>
          <cell r="ED260" t="str">
            <v/>
          </cell>
          <cell r="EE260" t="str">
            <v/>
          </cell>
          <cell r="EF260" t="str">
            <v/>
          </cell>
          <cell r="EG260" t="str">
            <v/>
          </cell>
          <cell r="EH260" t="str">
            <v/>
          </cell>
          <cell r="EI260" t="str">
            <v/>
          </cell>
          <cell r="EJ260" t="str">
            <v/>
          </cell>
          <cell r="EK260" t="str">
            <v/>
          </cell>
          <cell r="EL260" t="str">
            <v/>
          </cell>
          <cell r="EM260" t="str">
            <v/>
          </cell>
          <cell r="EN260" t="str">
            <v/>
          </cell>
          <cell r="EO260" t="str">
            <v/>
          </cell>
          <cell r="EP260" t="str">
            <v/>
          </cell>
          <cell r="EQ260" t="str">
            <v/>
          </cell>
          <cell r="ER260" t="str">
            <v/>
          </cell>
          <cell r="ES260" t="str">
            <v/>
          </cell>
          <cell r="ET260" t="str">
            <v/>
          </cell>
          <cell r="EU260" t="str">
            <v/>
          </cell>
          <cell r="EV260" t="str">
            <v/>
          </cell>
          <cell r="EW260" t="str">
            <v/>
          </cell>
          <cell r="EX260" t="str">
            <v/>
          </cell>
          <cell r="EY260" t="str">
            <v/>
          </cell>
          <cell r="EZ260" t="str">
            <v/>
          </cell>
          <cell r="FA260" t="str">
            <v/>
          </cell>
          <cell r="FB260" t="str">
            <v/>
          </cell>
          <cell r="FC260" t="str">
            <v/>
          </cell>
          <cell r="FD260" t="str">
            <v/>
          </cell>
          <cell r="FE260" t="str">
            <v/>
          </cell>
          <cell r="FF260" t="str">
            <v/>
          </cell>
          <cell r="FG260" t="str">
            <v/>
          </cell>
          <cell r="FH260" t="str">
            <v/>
          </cell>
          <cell r="FI260" t="str">
            <v/>
          </cell>
          <cell r="FJ260">
            <v>0</v>
          </cell>
          <cell r="FK260">
            <v>0</v>
          </cell>
          <cell r="FL260">
            <v>0</v>
          </cell>
          <cell r="FM260">
            <v>0</v>
          </cell>
          <cell r="FN260">
            <v>0</v>
          </cell>
          <cell r="FO260">
            <v>0</v>
          </cell>
          <cell r="FP260">
            <v>0</v>
          </cell>
          <cell r="FQ260">
            <v>0</v>
          </cell>
          <cell r="FR260">
            <v>0</v>
          </cell>
          <cell r="FS260">
            <v>0</v>
          </cell>
          <cell r="FT260">
            <v>0</v>
          </cell>
          <cell r="FU260">
            <v>0</v>
          </cell>
          <cell r="FV260">
            <v>0</v>
          </cell>
          <cell r="FW260">
            <v>0</v>
          </cell>
          <cell r="FX260">
            <v>0</v>
          </cell>
          <cell r="FY260">
            <v>0</v>
          </cell>
          <cell r="FZ260">
            <v>0</v>
          </cell>
          <cell r="GA260">
            <v>0</v>
          </cell>
          <cell r="GB260">
            <v>0</v>
          </cell>
        </row>
        <row r="261">
          <cell r="V261" t="str">
            <v>PRE PROD</v>
          </cell>
          <cell r="W261">
            <v>30</v>
          </cell>
          <cell r="X261">
            <v>157500</v>
          </cell>
          <cell r="Y261">
            <v>0</v>
          </cell>
          <cell r="Z261">
            <v>0</v>
          </cell>
          <cell r="AA261" t="str">
            <v/>
          </cell>
          <cell r="AB261" t="str">
            <v/>
          </cell>
          <cell r="AC261" t="str">
            <v/>
          </cell>
          <cell r="AD261" t="str">
            <v/>
          </cell>
          <cell r="AE261" t="str">
            <v/>
          </cell>
          <cell r="AF261" t="str">
            <v/>
          </cell>
          <cell r="AG261" t="str">
            <v/>
          </cell>
          <cell r="AH261" t="str">
            <v/>
          </cell>
          <cell r="AI261" t="str">
            <v/>
          </cell>
          <cell r="AJ261" t="str">
            <v/>
          </cell>
          <cell r="AK261" t="str">
            <v/>
          </cell>
          <cell r="AL261" t="str">
            <v/>
          </cell>
          <cell r="AM261" t="str">
            <v/>
          </cell>
          <cell r="AN261" t="str">
            <v/>
          </cell>
          <cell r="AO261" t="str">
            <v/>
          </cell>
          <cell r="AP261" t="str">
            <v/>
          </cell>
          <cell r="AQ261" t="str">
            <v/>
          </cell>
          <cell r="AR261" t="str">
            <v/>
          </cell>
          <cell r="AS261" t="str">
            <v/>
          </cell>
          <cell r="AT261" t="str">
            <v/>
          </cell>
          <cell r="AU261" t="str">
            <v/>
          </cell>
          <cell r="AV261" t="str">
            <v/>
          </cell>
          <cell r="AW261" t="str">
            <v/>
          </cell>
          <cell r="AX261" t="str">
            <v/>
          </cell>
          <cell r="AY261" t="str">
            <v/>
          </cell>
          <cell r="AZ261" t="str">
            <v/>
          </cell>
          <cell r="BA261" t="str">
            <v/>
          </cell>
          <cell r="BB261" t="str">
            <v/>
          </cell>
          <cell r="BC261" t="str">
            <v/>
          </cell>
          <cell r="BD261" t="str">
            <v/>
          </cell>
          <cell r="BE261" t="str">
            <v/>
          </cell>
          <cell r="BF261" t="str">
            <v/>
          </cell>
          <cell r="BG261" t="str">
            <v/>
          </cell>
          <cell r="BH261" t="str">
            <v/>
          </cell>
          <cell r="BI261" t="str">
            <v/>
          </cell>
          <cell r="BJ261" t="str">
            <v/>
          </cell>
          <cell r="BK261" t="str">
            <v/>
          </cell>
          <cell r="BL261" t="str">
            <v/>
          </cell>
          <cell r="BM261" t="str">
            <v/>
          </cell>
          <cell r="BN261" t="str">
            <v/>
          </cell>
          <cell r="BO261" t="str">
            <v/>
          </cell>
          <cell r="BP261" t="str">
            <v/>
          </cell>
          <cell r="BQ261" t="str">
            <v/>
          </cell>
          <cell r="BR261" t="str">
            <v/>
          </cell>
          <cell r="BS261" t="str">
            <v/>
          </cell>
          <cell r="BT261" t="str">
            <v/>
          </cell>
          <cell r="BU261" t="str">
            <v/>
          </cell>
          <cell r="BV261" t="str">
            <v/>
          </cell>
          <cell r="BW261" t="str">
            <v/>
          </cell>
          <cell r="BX261" t="str">
            <v/>
          </cell>
          <cell r="BY261" t="str">
            <v/>
          </cell>
          <cell r="BZ261" t="str">
            <v/>
          </cell>
          <cell r="CA261" t="str">
            <v/>
          </cell>
          <cell r="CB261" t="str">
            <v/>
          </cell>
          <cell r="CC261" t="str">
            <v/>
          </cell>
          <cell r="CD261" t="str">
            <v/>
          </cell>
          <cell r="CE261" t="str">
            <v/>
          </cell>
          <cell r="CF261" t="str">
            <v/>
          </cell>
          <cell r="CG261" t="str">
            <v/>
          </cell>
          <cell r="CH261" t="str">
            <v/>
          </cell>
          <cell r="CI261">
            <v>3750</v>
          </cell>
          <cell r="CJ261">
            <v>7500</v>
          </cell>
          <cell r="CK261">
            <v>11250</v>
          </cell>
          <cell r="CL261">
            <v>15000</v>
          </cell>
          <cell r="CM261">
            <v>15000</v>
          </cell>
          <cell r="CN261">
            <v>15000</v>
          </cell>
          <cell r="CO261">
            <v>15000</v>
          </cell>
          <cell r="CP261">
            <v>15000</v>
          </cell>
          <cell r="CQ261">
            <v>15000</v>
          </cell>
          <cell r="CR261">
            <v>15000</v>
          </cell>
          <cell r="CS261">
            <v>15000</v>
          </cell>
          <cell r="CT261">
            <v>15000</v>
          </cell>
          <cell r="CU261" t="str">
            <v/>
          </cell>
          <cell r="CV261" t="str">
            <v/>
          </cell>
          <cell r="CW261" t="str">
            <v/>
          </cell>
          <cell r="CX261" t="str">
            <v/>
          </cell>
          <cell r="CY261" t="str">
            <v/>
          </cell>
          <cell r="CZ261" t="str">
            <v/>
          </cell>
          <cell r="DA261" t="str">
            <v/>
          </cell>
          <cell r="DB261" t="str">
            <v/>
          </cell>
          <cell r="DC261" t="str">
            <v/>
          </cell>
          <cell r="DD261" t="str">
            <v/>
          </cell>
          <cell r="DE261" t="str">
            <v/>
          </cell>
          <cell r="DF261" t="str">
            <v/>
          </cell>
          <cell r="DG261" t="str">
            <v/>
          </cell>
          <cell r="DH261" t="str">
            <v/>
          </cell>
          <cell r="DI261" t="str">
            <v/>
          </cell>
          <cell r="DJ261" t="str">
            <v/>
          </cell>
          <cell r="DK261" t="str">
            <v/>
          </cell>
          <cell r="DL261" t="str">
            <v/>
          </cell>
          <cell r="DM261" t="str">
            <v/>
          </cell>
          <cell r="DN261" t="str">
            <v/>
          </cell>
          <cell r="DO261" t="str">
            <v/>
          </cell>
          <cell r="DP261" t="str">
            <v/>
          </cell>
          <cell r="DQ261" t="str">
            <v/>
          </cell>
          <cell r="DR261" t="str">
            <v/>
          </cell>
          <cell r="DS261" t="str">
            <v/>
          </cell>
          <cell r="DT261" t="str">
            <v/>
          </cell>
          <cell r="DU261" t="str">
            <v/>
          </cell>
          <cell r="DV261" t="str">
            <v/>
          </cell>
          <cell r="DW261" t="str">
            <v/>
          </cell>
          <cell r="DX261" t="str">
            <v/>
          </cell>
          <cell r="DY261" t="str">
            <v/>
          </cell>
          <cell r="DZ261" t="str">
            <v/>
          </cell>
          <cell r="EA261" t="str">
            <v/>
          </cell>
          <cell r="EB261" t="str">
            <v/>
          </cell>
          <cell r="EC261" t="str">
            <v/>
          </cell>
          <cell r="ED261" t="str">
            <v/>
          </cell>
          <cell r="EE261" t="str">
            <v/>
          </cell>
          <cell r="EF261" t="str">
            <v/>
          </cell>
          <cell r="EG261" t="str">
            <v/>
          </cell>
          <cell r="EH261" t="str">
            <v/>
          </cell>
          <cell r="EI261" t="str">
            <v/>
          </cell>
          <cell r="EJ261" t="str">
            <v/>
          </cell>
          <cell r="EK261" t="str">
            <v/>
          </cell>
          <cell r="EL261" t="str">
            <v/>
          </cell>
          <cell r="EM261" t="str">
            <v/>
          </cell>
          <cell r="EN261" t="str">
            <v/>
          </cell>
          <cell r="EO261" t="str">
            <v/>
          </cell>
          <cell r="EP261" t="str">
            <v/>
          </cell>
          <cell r="EQ261" t="str">
            <v/>
          </cell>
          <cell r="ER261" t="str">
            <v/>
          </cell>
          <cell r="ES261" t="str">
            <v/>
          </cell>
          <cell r="ET261" t="str">
            <v/>
          </cell>
          <cell r="EU261" t="str">
            <v/>
          </cell>
          <cell r="EV261" t="str">
            <v/>
          </cell>
          <cell r="EW261" t="str">
            <v/>
          </cell>
          <cell r="EX261" t="str">
            <v/>
          </cell>
          <cell r="EY261" t="str">
            <v/>
          </cell>
          <cell r="EZ261" t="str">
            <v/>
          </cell>
          <cell r="FA261" t="str">
            <v/>
          </cell>
          <cell r="FB261" t="str">
            <v/>
          </cell>
          <cell r="FC261" t="str">
            <v/>
          </cell>
          <cell r="FD261" t="str">
            <v/>
          </cell>
          <cell r="FE261" t="str">
            <v/>
          </cell>
          <cell r="FF261" t="str">
            <v/>
          </cell>
          <cell r="FG261" t="str">
            <v/>
          </cell>
          <cell r="FH261" t="str">
            <v/>
          </cell>
          <cell r="FI261" t="str">
            <v/>
          </cell>
          <cell r="FJ261">
            <v>0</v>
          </cell>
          <cell r="FK261">
            <v>0</v>
          </cell>
          <cell r="FL261">
            <v>0</v>
          </cell>
          <cell r="FM261">
            <v>0</v>
          </cell>
          <cell r="FN261">
            <v>0</v>
          </cell>
          <cell r="FO261">
            <v>0</v>
          </cell>
          <cell r="FP261">
            <v>0</v>
          </cell>
          <cell r="FQ261">
            <v>0</v>
          </cell>
          <cell r="FR261">
            <v>0</v>
          </cell>
          <cell r="FS261">
            <v>0</v>
          </cell>
          <cell r="FT261">
            <v>0</v>
          </cell>
          <cell r="FU261">
            <v>0</v>
          </cell>
          <cell r="FV261">
            <v>0</v>
          </cell>
          <cell r="FW261">
            <v>0</v>
          </cell>
          <cell r="FX261">
            <v>0</v>
          </cell>
          <cell r="FY261">
            <v>0</v>
          </cell>
          <cell r="FZ261">
            <v>0</v>
          </cell>
          <cell r="GA261">
            <v>0</v>
          </cell>
          <cell r="GB261">
            <v>0</v>
          </cell>
        </row>
        <row r="262">
          <cell r="V262" t="str">
            <v>PRODUCTION</v>
          </cell>
          <cell r="W262">
            <v>150</v>
          </cell>
          <cell r="X262">
            <v>712500</v>
          </cell>
          <cell r="Y262">
            <v>0</v>
          </cell>
          <cell r="Z262">
            <v>0</v>
          </cell>
          <cell r="AA262" t="str">
            <v/>
          </cell>
          <cell r="AB262" t="str">
            <v/>
          </cell>
          <cell r="AC262" t="str">
            <v/>
          </cell>
          <cell r="AD262" t="str">
            <v/>
          </cell>
          <cell r="AE262" t="str">
            <v/>
          </cell>
          <cell r="AF262" t="str">
            <v/>
          </cell>
          <cell r="AG262" t="str">
            <v/>
          </cell>
          <cell r="AH262" t="str">
            <v/>
          </cell>
          <cell r="AI262" t="str">
            <v/>
          </cell>
          <cell r="AJ262" t="str">
            <v/>
          </cell>
          <cell r="AK262" t="str">
            <v/>
          </cell>
          <cell r="AL262" t="str">
            <v/>
          </cell>
          <cell r="AM262" t="str">
            <v/>
          </cell>
          <cell r="AN262" t="str">
            <v/>
          </cell>
          <cell r="AO262" t="str">
            <v/>
          </cell>
          <cell r="AP262" t="str">
            <v/>
          </cell>
          <cell r="AQ262" t="str">
            <v/>
          </cell>
          <cell r="AR262" t="str">
            <v/>
          </cell>
          <cell r="AS262" t="str">
            <v/>
          </cell>
          <cell r="AT262" t="str">
            <v/>
          </cell>
          <cell r="AU262" t="str">
            <v/>
          </cell>
          <cell r="AV262" t="str">
            <v/>
          </cell>
          <cell r="AW262" t="str">
            <v/>
          </cell>
          <cell r="AX262" t="str">
            <v/>
          </cell>
          <cell r="AY262" t="str">
            <v/>
          </cell>
          <cell r="AZ262" t="str">
            <v/>
          </cell>
          <cell r="BA262" t="str">
            <v/>
          </cell>
          <cell r="BB262" t="str">
            <v/>
          </cell>
          <cell r="BC262" t="str">
            <v/>
          </cell>
          <cell r="BD262" t="str">
            <v/>
          </cell>
          <cell r="BE262" t="str">
            <v/>
          </cell>
          <cell r="BF262" t="str">
            <v/>
          </cell>
          <cell r="BG262" t="str">
            <v/>
          </cell>
          <cell r="BH262" t="str">
            <v/>
          </cell>
          <cell r="BI262" t="str">
            <v/>
          </cell>
          <cell r="BJ262" t="str">
            <v/>
          </cell>
          <cell r="BK262" t="str">
            <v/>
          </cell>
          <cell r="BL262" t="str">
            <v/>
          </cell>
          <cell r="BM262" t="str">
            <v/>
          </cell>
          <cell r="BN262" t="str">
            <v/>
          </cell>
          <cell r="BO262" t="str">
            <v/>
          </cell>
          <cell r="BP262" t="str">
            <v/>
          </cell>
          <cell r="BQ262" t="str">
            <v/>
          </cell>
          <cell r="BR262" t="str">
            <v/>
          </cell>
          <cell r="BS262" t="str">
            <v/>
          </cell>
          <cell r="BT262" t="str">
            <v/>
          </cell>
          <cell r="BU262" t="str">
            <v/>
          </cell>
          <cell r="BV262" t="str">
            <v/>
          </cell>
          <cell r="BW262" t="str">
            <v/>
          </cell>
          <cell r="BX262" t="str">
            <v/>
          </cell>
          <cell r="BY262" t="str">
            <v/>
          </cell>
          <cell r="BZ262" t="str">
            <v/>
          </cell>
          <cell r="CA262" t="str">
            <v/>
          </cell>
          <cell r="CB262" t="str">
            <v/>
          </cell>
          <cell r="CC262" t="str">
            <v/>
          </cell>
          <cell r="CD262" t="str">
            <v/>
          </cell>
          <cell r="CE262" t="str">
            <v/>
          </cell>
          <cell r="CF262" t="str">
            <v/>
          </cell>
          <cell r="CG262" t="str">
            <v/>
          </cell>
          <cell r="CH262" t="str">
            <v/>
          </cell>
          <cell r="CI262" t="str">
            <v/>
          </cell>
          <cell r="CJ262" t="str">
            <v/>
          </cell>
          <cell r="CK262" t="str">
            <v/>
          </cell>
          <cell r="CL262" t="str">
            <v/>
          </cell>
          <cell r="CM262">
            <v>36003</v>
          </cell>
          <cell r="CN262">
            <v>36010</v>
          </cell>
          <cell r="CO262">
            <v>36017</v>
          </cell>
          <cell r="CP262">
            <v>36024</v>
          </cell>
          <cell r="CQ262">
            <v>36031</v>
          </cell>
          <cell r="CR262">
            <v>36038</v>
          </cell>
          <cell r="CS262">
            <v>36045</v>
          </cell>
          <cell r="CT262">
            <v>36052</v>
          </cell>
          <cell r="CU262">
            <v>36059</v>
          </cell>
          <cell r="CV262">
            <v>36066</v>
          </cell>
          <cell r="CW262">
            <v>36073</v>
          </cell>
          <cell r="CX262">
            <v>36080</v>
          </cell>
          <cell r="CY262">
            <v>36087</v>
          </cell>
          <cell r="CZ262">
            <v>36094</v>
          </cell>
          <cell r="DA262" t="str">
            <v/>
          </cell>
          <cell r="DB262" t="str">
            <v/>
          </cell>
          <cell r="DC262" t="str">
            <v/>
          </cell>
          <cell r="DD262" t="str">
            <v/>
          </cell>
          <cell r="DE262" t="str">
            <v/>
          </cell>
          <cell r="DF262" t="str">
            <v/>
          </cell>
          <cell r="DG262" t="str">
            <v/>
          </cell>
          <cell r="DH262" t="str">
            <v/>
          </cell>
          <cell r="DI262" t="str">
            <v/>
          </cell>
          <cell r="DJ262" t="str">
            <v/>
          </cell>
          <cell r="DK262" t="str">
            <v/>
          </cell>
          <cell r="DL262" t="str">
            <v/>
          </cell>
          <cell r="DM262" t="str">
            <v/>
          </cell>
          <cell r="DN262" t="str">
            <v/>
          </cell>
          <cell r="DO262" t="str">
            <v/>
          </cell>
          <cell r="DP262" t="str">
            <v/>
          </cell>
          <cell r="DQ262" t="str">
            <v/>
          </cell>
          <cell r="DR262" t="str">
            <v/>
          </cell>
          <cell r="DS262" t="str">
            <v/>
          </cell>
          <cell r="DT262" t="str">
            <v/>
          </cell>
          <cell r="DU262" t="str">
            <v/>
          </cell>
          <cell r="DV262" t="str">
            <v/>
          </cell>
          <cell r="DW262" t="str">
            <v/>
          </cell>
          <cell r="DX262" t="str">
            <v/>
          </cell>
          <cell r="DY262" t="str">
            <v/>
          </cell>
          <cell r="DZ262" t="str">
            <v/>
          </cell>
          <cell r="EA262" t="str">
            <v/>
          </cell>
          <cell r="EB262" t="str">
            <v/>
          </cell>
          <cell r="EC262" t="str">
            <v/>
          </cell>
          <cell r="ED262" t="str">
            <v/>
          </cell>
          <cell r="EE262" t="str">
            <v/>
          </cell>
          <cell r="EF262" t="str">
            <v/>
          </cell>
          <cell r="EG262" t="str">
            <v/>
          </cell>
          <cell r="EH262" t="str">
            <v/>
          </cell>
          <cell r="EI262" t="str">
            <v/>
          </cell>
          <cell r="EJ262" t="str">
            <v/>
          </cell>
          <cell r="EK262" t="str">
            <v/>
          </cell>
          <cell r="EL262" t="str">
            <v/>
          </cell>
          <cell r="EM262" t="str">
            <v/>
          </cell>
          <cell r="EN262" t="str">
            <v/>
          </cell>
          <cell r="EO262" t="str">
            <v/>
          </cell>
          <cell r="EP262" t="str">
            <v/>
          </cell>
          <cell r="EQ262" t="str">
            <v/>
          </cell>
          <cell r="ER262" t="str">
            <v/>
          </cell>
          <cell r="ES262" t="str">
            <v/>
          </cell>
          <cell r="ET262" t="str">
            <v/>
          </cell>
          <cell r="EU262" t="str">
            <v/>
          </cell>
          <cell r="EV262" t="str">
            <v/>
          </cell>
          <cell r="EW262" t="str">
            <v/>
          </cell>
          <cell r="EX262" t="str">
            <v/>
          </cell>
          <cell r="EY262" t="str">
            <v/>
          </cell>
          <cell r="EZ262" t="str">
            <v/>
          </cell>
          <cell r="FA262" t="str">
            <v/>
          </cell>
          <cell r="FB262" t="str">
            <v/>
          </cell>
          <cell r="FC262" t="str">
            <v/>
          </cell>
          <cell r="FD262" t="str">
            <v/>
          </cell>
          <cell r="FE262" t="str">
            <v/>
          </cell>
          <cell r="FF262" t="str">
            <v/>
          </cell>
          <cell r="FG262" t="str">
            <v/>
          </cell>
          <cell r="FH262" t="str">
            <v/>
          </cell>
          <cell r="FI262" t="str">
            <v/>
          </cell>
          <cell r="FJ262">
            <v>0</v>
          </cell>
          <cell r="FK262">
            <v>0</v>
          </cell>
          <cell r="FL262">
            <v>0</v>
          </cell>
          <cell r="FM262">
            <v>0</v>
          </cell>
          <cell r="FN262">
            <v>0</v>
          </cell>
          <cell r="FO262">
            <v>0</v>
          </cell>
          <cell r="FP262">
            <v>0</v>
          </cell>
          <cell r="FQ262">
            <v>0</v>
          </cell>
          <cell r="FR262">
            <v>0</v>
          </cell>
          <cell r="FS262">
            <v>0</v>
          </cell>
          <cell r="FT262">
            <v>0</v>
          </cell>
          <cell r="FU262">
            <v>0</v>
          </cell>
          <cell r="FV262">
            <v>0</v>
          </cell>
          <cell r="FW262">
            <v>0</v>
          </cell>
          <cell r="FX262">
            <v>0</v>
          </cell>
          <cell r="FY262">
            <v>0</v>
          </cell>
          <cell r="FZ262">
            <v>0</v>
          </cell>
          <cell r="GA262">
            <v>0</v>
          </cell>
          <cell r="GB262">
            <v>0</v>
          </cell>
        </row>
        <row r="263">
          <cell r="V263" t="str">
            <v>PRODUCTION</v>
          </cell>
          <cell r="W263">
            <v>150</v>
          </cell>
          <cell r="X263">
            <v>712500</v>
          </cell>
          <cell r="Y263">
            <v>0</v>
          </cell>
          <cell r="Z263">
            <v>0</v>
          </cell>
          <cell r="AA263" t="str">
            <v/>
          </cell>
          <cell r="AB263" t="str">
            <v/>
          </cell>
          <cell r="AC263" t="str">
            <v/>
          </cell>
          <cell r="AD263" t="str">
            <v/>
          </cell>
          <cell r="AE263" t="str">
            <v/>
          </cell>
          <cell r="AF263" t="str">
            <v/>
          </cell>
          <cell r="AG263" t="str">
            <v/>
          </cell>
          <cell r="AH263" t="str">
            <v/>
          </cell>
          <cell r="AI263" t="str">
            <v/>
          </cell>
          <cell r="AJ263" t="str">
            <v/>
          </cell>
          <cell r="AK263" t="str">
            <v/>
          </cell>
          <cell r="AL263" t="str">
            <v/>
          </cell>
          <cell r="AM263" t="str">
            <v/>
          </cell>
          <cell r="AN263" t="str">
            <v/>
          </cell>
          <cell r="AO263" t="str">
            <v/>
          </cell>
          <cell r="AP263" t="str">
            <v/>
          </cell>
          <cell r="AQ263" t="str">
            <v/>
          </cell>
          <cell r="AR263" t="str">
            <v/>
          </cell>
          <cell r="AS263" t="str">
            <v/>
          </cell>
          <cell r="AT263" t="str">
            <v/>
          </cell>
          <cell r="AU263" t="str">
            <v/>
          </cell>
          <cell r="AV263" t="str">
            <v/>
          </cell>
          <cell r="AW263" t="str">
            <v/>
          </cell>
          <cell r="AX263" t="str">
            <v/>
          </cell>
          <cell r="AY263" t="str">
            <v/>
          </cell>
          <cell r="AZ263" t="str">
            <v/>
          </cell>
          <cell r="BA263" t="str">
            <v/>
          </cell>
          <cell r="BB263" t="str">
            <v/>
          </cell>
          <cell r="BC263" t="str">
            <v/>
          </cell>
          <cell r="BD263" t="str">
            <v/>
          </cell>
          <cell r="BE263" t="str">
            <v/>
          </cell>
          <cell r="BF263" t="str">
            <v/>
          </cell>
          <cell r="BG263" t="str">
            <v/>
          </cell>
          <cell r="BH263" t="str">
            <v/>
          </cell>
          <cell r="BI263" t="str">
            <v/>
          </cell>
          <cell r="BJ263" t="str">
            <v/>
          </cell>
          <cell r="BK263" t="str">
            <v/>
          </cell>
          <cell r="BL263" t="str">
            <v/>
          </cell>
          <cell r="BM263" t="str">
            <v/>
          </cell>
          <cell r="BN263" t="str">
            <v/>
          </cell>
          <cell r="BO263" t="str">
            <v/>
          </cell>
          <cell r="BP263" t="str">
            <v/>
          </cell>
          <cell r="BQ263" t="str">
            <v/>
          </cell>
          <cell r="BR263" t="str">
            <v/>
          </cell>
          <cell r="BS263" t="str">
            <v/>
          </cell>
          <cell r="BT263" t="str">
            <v/>
          </cell>
          <cell r="BU263" t="str">
            <v/>
          </cell>
          <cell r="BV263" t="str">
            <v/>
          </cell>
          <cell r="BW263" t="str">
            <v/>
          </cell>
          <cell r="BX263" t="str">
            <v/>
          </cell>
          <cell r="BY263" t="str">
            <v/>
          </cell>
          <cell r="BZ263" t="str">
            <v/>
          </cell>
          <cell r="CA263" t="str">
            <v/>
          </cell>
          <cell r="CB263" t="str">
            <v/>
          </cell>
          <cell r="CC263" t="str">
            <v/>
          </cell>
          <cell r="CD263" t="str">
            <v/>
          </cell>
          <cell r="CE263" t="str">
            <v/>
          </cell>
          <cell r="CF263" t="str">
            <v/>
          </cell>
          <cell r="CG263" t="str">
            <v/>
          </cell>
          <cell r="CH263" t="str">
            <v/>
          </cell>
          <cell r="CI263" t="str">
            <v/>
          </cell>
          <cell r="CJ263" t="str">
            <v/>
          </cell>
          <cell r="CK263" t="str">
            <v/>
          </cell>
          <cell r="CL263" t="str">
            <v/>
          </cell>
          <cell r="CM263">
            <v>0</v>
          </cell>
          <cell r="CN263">
            <v>0</v>
          </cell>
          <cell r="CO263">
            <v>0</v>
          </cell>
          <cell r="CP263">
            <v>18750</v>
          </cell>
          <cell r="CQ263">
            <v>37500</v>
          </cell>
          <cell r="CR263">
            <v>56250</v>
          </cell>
          <cell r="CS263">
            <v>75000</v>
          </cell>
          <cell r="CT263">
            <v>75000</v>
          </cell>
          <cell r="CU263">
            <v>75000</v>
          </cell>
          <cell r="CV263">
            <v>75000</v>
          </cell>
          <cell r="CW263">
            <v>75000</v>
          </cell>
          <cell r="CX263">
            <v>75000</v>
          </cell>
          <cell r="CY263">
            <v>75000</v>
          </cell>
          <cell r="CZ263">
            <v>75000</v>
          </cell>
          <cell r="DA263" t="str">
            <v/>
          </cell>
          <cell r="DB263" t="str">
            <v/>
          </cell>
          <cell r="DC263" t="str">
            <v/>
          </cell>
          <cell r="DD263" t="str">
            <v/>
          </cell>
          <cell r="DE263" t="str">
            <v/>
          </cell>
          <cell r="DF263" t="str">
            <v/>
          </cell>
          <cell r="DG263" t="str">
            <v/>
          </cell>
          <cell r="DH263" t="str">
            <v/>
          </cell>
          <cell r="DI263" t="str">
            <v/>
          </cell>
          <cell r="DJ263" t="str">
            <v/>
          </cell>
          <cell r="DK263" t="str">
            <v/>
          </cell>
          <cell r="DL263" t="str">
            <v/>
          </cell>
          <cell r="DM263" t="str">
            <v/>
          </cell>
          <cell r="DN263" t="str">
            <v/>
          </cell>
          <cell r="DO263" t="str">
            <v/>
          </cell>
          <cell r="DP263" t="str">
            <v/>
          </cell>
          <cell r="DQ263" t="str">
            <v/>
          </cell>
          <cell r="DR263" t="str">
            <v/>
          </cell>
          <cell r="DS263" t="str">
            <v/>
          </cell>
          <cell r="DT263" t="str">
            <v/>
          </cell>
          <cell r="DU263" t="str">
            <v/>
          </cell>
          <cell r="DV263" t="str">
            <v/>
          </cell>
          <cell r="DW263" t="str">
            <v/>
          </cell>
          <cell r="DX263" t="str">
            <v/>
          </cell>
          <cell r="DY263" t="str">
            <v/>
          </cell>
          <cell r="DZ263" t="str">
            <v/>
          </cell>
          <cell r="EA263" t="str">
            <v/>
          </cell>
          <cell r="EB263" t="str">
            <v/>
          </cell>
          <cell r="EC263" t="str">
            <v/>
          </cell>
          <cell r="ED263" t="str">
            <v/>
          </cell>
          <cell r="EE263" t="str">
            <v/>
          </cell>
          <cell r="EF263" t="str">
            <v/>
          </cell>
          <cell r="EG263" t="str">
            <v/>
          </cell>
          <cell r="EH263" t="str">
            <v/>
          </cell>
          <cell r="EI263" t="str">
            <v/>
          </cell>
          <cell r="EJ263" t="str">
            <v/>
          </cell>
          <cell r="EK263" t="str">
            <v/>
          </cell>
          <cell r="EL263" t="str">
            <v/>
          </cell>
          <cell r="EM263" t="str">
            <v/>
          </cell>
          <cell r="EN263" t="str">
            <v/>
          </cell>
          <cell r="EO263" t="str">
            <v/>
          </cell>
          <cell r="EP263" t="str">
            <v/>
          </cell>
          <cell r="EQ263" t="str">
            <v/>
          </cell>
          <cell r="ER263" t="str">
            <v/>
          </cell>
          <cell r="ES263" t="str">
            <v/>
          </cell>
          <cell r="ET263" t="str">
            <v/>
          </cell>
          <cell r="EU263" t="str">
            <v/>
          </cell>
          <cell r="EV263" t="str">
            <v/>
          </cell>
          <cell r="EW263" t="str">
            <v/>
          </cell>
          <cell r="EX263" t="str">
            <v/>
          </cell>
          <cell r="EY263" t="str">
            <v/>
          </cell>
          <cell r="EZ263" t="str">
            <v/>
          </cell>
          <cell r="FA263" t="str">
            <v/>
          </cell>
          <cell r="FB263" t="str">
            <v/>
          </cell>
          <cell r="FC263" t="str">
            <v/>
          </cell>
          <cell r="FD263" t="str">
            <v/>
          </cell>
          <cell r="FE263" t="str">
            <v/>
          </cell>
          <cell r="FF263" t="str">
            <v/>
          </cell>
          <cell r="FG263" t="str">
            <v/>
          </cell>
          <cell r="FH263" t="str">
            <v/>
          </cell>
          <cell r="FI263" t="str">
            <v/>
          </cell>
          <cell r="FJ263">
            <v>0</v>
          </cell>
          <cell r="FK263">
            <v>0</v>
          </cell>
          <cell r="FL263">
            <v>0</v>
          </cell>
          <cell r="FM263">
            <v>0</v>
          </cell>
          <cell r="FN263">
            <v>0</v>
          </cell>
          <cell r="FO263">
            <v>0</v>
          </cell>
          <cell r="FP263">
            <v>0</v>
          </cell>
          <cell r="FQ263">
            <v>0</v>
          </cell>
          <cell r="FR263">
            <v>0</v>
          </cell>
          <cell r="FS263">
            <v>0</v>
          </cell>
          <cell r="FT263">
            <v>0</v>
          </cell>
          <cell r="FU263">
            <v>0</v>
          </cell>
          <cell r="FV263">
            <v>0</v>
          </cell>
          <cell r="FW263">
            <v>0</v>
          </cell>
          <cell r="FX263">
            <v>0</v>
          </cell>
          <cell r="FY263">
            <v>0</v>
          </cell>
          <cell r="FZ263">
            <v>0</v>
          </cell>
          <cell r="GA263">
            <v>0</v>
          </cell>
          <cell r="GB263">
            <v>0</v>
          </cell>
        </row>
        <row r="264">
          <cell r="V264" t="str">
            <v>INK &amp; PAINT</v>
          </cell>
          <cell r="W264">
            <v>8</v>
          </cell>
          <cell r="X264">
            <v>38000</v>
          </cell>
          <cell r="Y264">
            <v>0</v>
          </cell>
          <cell r="Z264">
            <v>0</v>
          </cell>
          <cell r="AA264" t="str">
            <v/>
          </cell>
          <cell r="AB264" t="str">
            <v/>
          </cell>
          <cell r="AC264" t="str">
            <v/>
          </cell>
          <cell r="AD264" t="str">
            <v/>
          </cell>
          <cell r="AE264" t="str">
            <v/>
          </cell>
          <cell r="AF264" t="str">
            <v/>
          </cell>
          <cell r="AG264" t="str">
            <v/>
          </cell>
          <cell r="AH264" t="str">
            <v/>
          </cell>
          <cell r="AI264" t="str">
            <v/>
          </cell>
          <cell r="AJ264" t="str">
            <v/>
          </cell>
          <cell r="AK264" t="str">
            <v/>
          </cell>
          <cell r="AL264" t="str">
            <v/>
          </cell>
          <cell r="AM264" t="str">
            <v/>
          </cell>
          <cell r="AN264" t="str">
            <v/>
          </cell>
          <cell r="AO264" t="str">
            <v/>
          </cell>
          <cell r="AP264" t="str">
            <v/>
          </cell>
          <cell r="AQ264" t="str">
            <v/>
          </cell>
          <cell r="AR264" t="str">
            <v/>
          </cell>
          <cell r="AS264" t="str">
            <v/>
          </cell>
          <cell r="AT264" t="str">
            <v/>
          </cell>
          <cell r="AU264" t="str">
            <v/>
          </cell>
          <cell r="AV264" t="str">
            <v/>
          </cell>
          <cell r="AW264" t="str">
            <v/>
          </cell>
          <cell r="AX264" t="str">
            <v/>
          </cell>
          <cell r="AY264" t="str">
            <v/>
          </cell>
          <cell r="AZ264" t="str">
            <v/>
          </cell>
          <cell r="BA264" t="str">
            <v/>
          </cell>
          <cell r="BB264" t="str">
            <v/>
          </cell>
          <cell r="BC264" t="str">
            <v/>
          </cell>
          <cell r="BD264" t="str">
            <v/>
          </cell>
          <cell r="BE264" t="str">
            <v/>
          </cell>
          <cell r="BF264" t="str">
            <v/>
          </cell>
          <cell r="BG264" t="str">
            <v/>
          </cell>
          <cell r="BH264" t="str">
            <v/>
          </cell>
          <cell r="BI264" t="str">
            <v/>
          </cell>
          <cell r="BJ264" t="str">
            <v/>
          </cell>
          <cell r="BK264" t="str">
            <v/>
          </cell>
          <cell r="BL264" t="str">
            <v/>
          </cell>
          <cell r="BM264" t="str">
            <v/>
          </cell>
          <cell r="BN264" t="str">
            <v/>
          </cell>
          <cell r="BO264" t="str">
            <v/>
          </cell>
          <cell r="BP264" t="str">
            <v/>
          </cell>
          <cell r="BQ264" t="str">
            <v/>
          </cell>
          <cell r="BR264" t="str">
            <v/>
          </cell>
          <cell r="BS264" t="str">
            <v/>
          </cell>
          <cell r="BT264" t="str">
            <v/>
          </cell>
          <cell r="BU264" t="str">
            <v/>
          </cell>
          <cell r="BV264" t="str">
            <v/>
          </cell>
          <cell r="BW264" t="str">
            <v/>
          </cell>
          <cell r="BX264" t="str">
            <v/>
          </cell>
          <cell r="BY264" t="str">
            <v/>
          </cell>
          <cell r="BZ264" t="str">
            <v/>
          </cell>
          <cell r="CA264" t="str">
            <v/>
          </cell>
          <cell r="CB264" t="str">
            <v/>
          </cell>
          <cell r="CC264" t="str">
            <v/>
          </cell>
          <cell r="CD264" t="str">
            <v/>
          </cell>
          <cell r="CE264" t="str">
            <v/>
          </cell>
          <cell r="CF264" t="str">
            <v/>
          </cell>
          <cell r="CG264" t="str">
            <v/>
          </cell>
          <cell r="CH264" t="str">
            <v/>
          </cell>
          <cell r="CI264" t="str">
            <v/>
          </cell>
          <cell r="CJ264" t="str">
            <v/>
          </cell>
          <cell r="CK264" t="str">
            <v/>
          </cell>
          <cell r="CL264" t="str">
            <v/>
          </cell>
          <cell r="CM264" t="str">
            <v/>
          </cell>
          <cell r="CN264" t="str">
            <v/>
          </cell>
          <cell r="CO264" t="str">
            <v/>
          </cell>
          <cell r="CP264" t="str">
            <v/>
          </cell>
          <cell r="CQ264" t="str">
            <v/>
          </cell>
          <cell r="CR264">
            <v>36038</v>
          </cell>
          <cell r="CS264">
            <v>36045</v>
          </cell>
          <cell r="CT264">
            <v>36052</v>
          </cell>
          <cell r="CU264">
            <v>36059</v>
          </cell>
          <cell r="CV264">
            <v>36066</v>
          </cell>
          <cell r="CW264">
            <v>36073</v>
          </cell>
          <cell r="CX264">
            <v>36080</v>
          </cell>
          <cell r="CY264">
            <v>36087</v>
          </cell>
          <cell r="CZ264">
            <v>36094</v>
          </cell>
          <cell r="DA264">
            <v>36101</v>
          </cell>
          <cell r="DB264">
            <v>36108</v>
          </cell>
          <cell r="DC264" t="str">
            <v/>
          </cell>
          <cell r="DD264" t="str">
            <v/>
          </cell>
          <cell r="DE264" t="str">
            <v/>
          </cell>
          <cell r="DF264" t="str">
            <v/>
          </cell>
          <cell r="DG264" t="str">
            <v/>
          </cell>
          <cell r="DH264" t="str">
            <v/>
          </cell>
          <cell r="DI264" t="str">
            <v/>
          </cell>
          <cell r="DJ264" t="str">
            <v/>
          </cell>
          <cell r="DK264" t="str">
            <v/>
          </cell>
          <cell r="DL264" t="str">
            <v/>
          </cell>
          <cell r="DM264" t="str">
            <v/>
          </cell>
          <cell r="DN264" t="str">
            <v/>
          </cell>
          <cell r="DO264" t="str">
            <v/>
          </cell>
          <cell r="DP264" t="str">
            <v/>
          </cell>
          <cell r="DQ264" t="str">
            <v/>
          </cell>
          <cell r="DR264" t="str">
            <v/>
          </cell>
          <cell r="DS264" t="str">
            <v/>
          </cell>
          <cell r="DT264" t="str">
            <v/>
          </cell>
          <cell r="DU264" t="str">
            <v/>
          </cell>
          <cell r="DV264" t="str">
            <v/>
          </cell>
          <cell r="DW264" t="str">
            <v/>
          </cell>
          <cell r="DX264" t="str">
            <v/>
          </cell>
          <cell r="DY264" t="str">
            <v/>
          </cell>
          <cell r="DZ264" t="str">
            <v/>
          </cell>
          <cell r="EA264" t="str">
            <v/>
          </cell>
          <cell r="EB264" t="str">
            <v/>
          </cell>
          <cell r="EC264" t="str">
            <v/>
          </cell>
          <cell r="ED264" t="str">
            <v/>
          </cell>
          <cell r="EE264" t="str">
            <v/>
          </cell>
          <cell r="EF264" t="str">
            <v/>
          </cell>
          <cell r="EG264" t="str">
            <v/>
          </cell>
          <cell r="EH264" t="str">
            <v/>
          </cell>
          <cell r="EI264" t="str">
            <v/>
          </cell>
          <cell r="EJ264" t="str">
            <v/>
          </cell>
          <cell r="EK264" t="str">
            <v/>
          </cell>
          <cell r="EL264" t="str">
            <v/>
          </cell>
          <cell r="EM264" t="str">
            <v/>
          </cell>
          <cell r="EN264" t="str">
            <v/>
          </cell>
          <cell r="EO264" t="str">
            <v/>
          </cell>
          <cell r="EP264" t="str">
            <v/>
          </cell>
          <cell r="EQ264" t="str">
            <v/>
          </cell>
          <cell r="ER264" t="str">
            <v/>
          </cell>
          <cell r="ES264" t="str">
            <v/>
          </cell>
          <cell r="ET264" t="str">
            <v/>
          </cell>
          <cell r="EU264" t="str">
            <v/>
          </cell>
          <cell r="EV264" t="str">
            <v/>
          </cell>
          <cell r="EW264" t="str">
            <v/>
          </cell>
          <cell r="EX264" t="str">
            <v/>
          </cell>
          <cell r="EY264" t="str">
            <v/>
          </cell>
          <cell r="EZ264" t="str">
            <v/>
          </cell>
          <cell r="FA264" t="str">
            <v/>
          </cell>
          <cell r="FB264" t="str">
            <v/>
          </cell>
          <cell r="FC264" t="str">
            <v/>
          </cell>
          <cell r="FD264" t="str">
            <v/>
          </cell>
          <cell r="FE264" t="str">
            <v/>
          </cell>
          <cell r="FF264" t="str">
            <v/>
          </cell>
          <cell r="FG264" t="str">
            <v/>
          </cell>
          <cell r="FH264" t="str">
            <v/>
          </cell>
          <cell r="FI264" t="str">
            <v/>
          </cell>
          <cell r="FJ264">
            <v>0</v>
          </cell>
          <cell r="FK264">
            <v>0</v>
          </cell>
          <cell r="FL264">
            <v>0</v>
          </cell>
          <cell r="FM264">
            <v>0</v>
          </cell>
          <cell r="FN264">
            <v>0</v>
          </cell>
          <cell r="FO264">
            <v>0</v>
          </cell>
          <cell r="FP264">
            <v>0</v>
          </cell>
          <cell r="FQ264">
            <v>0</v>
          </cell>
          <cell r="FR264">
            <v>0</v>
          </cell>
          <cell r="FS264">
            <v>0</v>
          </cell>
          <cell r="FT264">
            <v>0</v>
          </cell>
          <cell r="FU264">
            <v>0</v>
          </cell>
          <cell r="FV264">
            <v>0</v>
          </cell>
          <cell r="FW264">
            <v>0</v>
          </cell>
          <cell r="FX264">
            <v>0</v>
          </cell>
          <cell r="FY264">
            <v>0</v>
          </cell>
          <cell r="FZ264">
            <v>0</v>
          </cell>
          <cell r="GA264">
            <v>0</v>
          </cell>
          <cell r="GB264">
            <v>0</v>
          </cell>
        </row>
        <row r="265">
          <cell r="V265" t="str">
            <v>INK &amp; PAINT</v>
          </cell>
          <cell r="W265">
            <v>8</v>
          </cell>
          <cell r="X265">
            <v>38000</v>
          </cell>
          <cell r="Y265">
            <v>0</v>
          </cell>
          <cell r="Z265">
            <v>0</v>
          </cell>
          <cell r="AA265" t="str">
            <v/>
          </cell>
          <cell r="AB265" t="str">
            <v/>
          </cell>
          <cell r="AC265" t="str">
            <v/>
          </cell>
          <cell r="AD265" t="str">
            <v/>
          </cell>
          <cell r="AE265" t="str">
            <v/>
          </cell>
          <cell r="AF265" t="str">
            <v/>
          </cell>
          <cell r="AG265" t="str">
            <v/>
          </cell>
          <cell r="AH265" t="str">
            <v/>
          </cell>
          <cell r="AI265" t="str">
            <v/>
          </cell>
          <cell r="AJ265" t="str">
            <v/>
          </cell>
          <cell r="AK265" t="str">
            <v/>
          </cell>
          <cell r="AL265" t="str">
            <v/>
          </cell>
          <cell r="AM265" t="str">
            <v/>
          </cell>
          <cell r="AN265" t="str">
            <v/>
          </cell>
          <cell r="AO265" t="str">
            <v/>
          </cell>
          <cell r="AP265" t="str">
            <v/>
          </cell>
          <cell r="AQ265" t="str">
            <v/>
          </cell>
          <cell r="AR265" t="str">
            <v/>
          </cell>
          <cell r="AS265" t="str">
            <v/>
          </cell>
          <cell r="AT265" t="str">
            <v/>
          </cell>
          <cell r="AU265" t="str">
            <v/>
          </cell>
          <cell r="AV265" t="str">
            <v/>
          </cell>
          <cell r="AW265" t="str">
            <v/>
          </cell>
          <cell r="AX265" t="str">
            <v/>
          </cell>
          <cell r="AY265" t="str">
            <v/>
          </cell>
          <cell r="AZ265" t="str">
            <v/>
          </cell>
          <cell r="BA265" t="str">
            <v/>
          </cell>
          <cell r="BB265" t="str">
            <v/>
          </cell>
          <cell r="BC265" t="str">
            <v/>
          </cell>
          <cell r="BD265" t="str">
            <v/>
          </cell>
          <cell r="BE265" t="str">
            <v/>
          </cell>
          <cell r="BF265" t="str">
            <v/>
          </cell>
          <cell r="BG265" t="str">
            <v/>
          </cell>
          <cell r="BH265" t="str">
            <v/>
          </cell>
          <cell r="BI265" t="str">
            <v/>
          </cell>
          <cell r="BJ265" t="str">
            <v/>
          </cell>
          <cell r="BK265" t="str">
            <v/>
          </cell>
          <cell r="BL265" t="str">
            <v/>
          </cell>
          <cell r="BM265" t="str">
            <v/>
          </cell>
          <cell r="BN265" t="str">
            <v/>
          </cell>
          <cell r="BO265" t="str">
            <v/>
          </cell>
          <cell r="BP265" t="str">
            <v/>
          </cell>
          <cell r="BQ265" t="str">
            <v/>
          </cell>
          <cell r="BR265" t="str">
            <v/>
          </cell>
          <cell r="BS265" t="str">
            <v/>
          </cell>
          <cell r="BT265" t="str">
            <v/>
          </cell>
          <cell r="BU265" t="str">
            <v/>
          </cell>
          <cell r="BV265" t="str">
            <v/>
          </cell>
          <cell r="BW265" t="str">
            <v/>
          </cell>
          <cell r="BX265" t="str">
            <v/>
          </cell>
          <cell r="BY265" t="str">
            <v/>
          </cell>
          <cell r="BZ265" t="str">
            <v/>
          </cell>
          <cell r="CA265" t="str">
            <v/>
          </cell>
          <cell r="CB265" t="str">
            <v/>
          </cell>
          <cell r="CC265" t="str">
            <v/>
          </cell>
          <cell r="CD265" t="str">
            <v/>
          </cell>
          <cell r="CE265" t="str">
            <v/>
          </cell>
          <cell r="CF265" t="str">
            <v/>
          </cell>
          <cell r="CG265" t="str">
            <v/>
          </cell>
          <cell r="CH265" t="str">
            <v/>
          </cell>
          <cell r="CI265" t="str">
            <v/>
          </cell>
          <cell r="CJ265" t="str">
            <v/>
          </cell>
          <cell r="CK265" t="str">
            <v/>
          </cell>
          <cell r="CL265" t="str">
            <v/>
          </cell>
          <cell r="CM265" t="str">
            <v/>
          </cell>
          <cell r="CN265" t="str">
            <v/>
          </cell>
          <cell r="CO265" t="str">
            <v/>
          </cell>
          <cell r="CP265" t="str">
            <v/>
          </cell>
          <cell r="CQ265" t="str">
            <v/>
          </cell>
          <cell r="CR265">
            <v>1000</v>
          </cell>
          <cell r="CS265">
            <v>2000</v>
          </cell>
          <cell r="CT265">
            <v>3000</v>
          </cell>
          <cell r="CU265">
            <v>4000</v>
          </cell>
          <cell r="CV265">
            <v>4000</v>
          </cell>
          <cell r="CW265">
            <v>4000</v>
          </cell>
          <cell r="CX265">
            <v>4000</v>
          </cell>
          <cell r="CY265">
            <v>4000</v>
          </cell>
          <cell r="CZ265">
            <v>4000</v>
          </cell>
          <cell r="DA265">
            <v>4000</v>
          </cell>
          <cell r="DB265">
            <v>4000</v>
          </cell>
          <cell r="DC265" t="str">
            <v/>
          </cell>
          <cell r="DD265" t="str">
            <v/>
          </cell>
          <cell r="DE265" t="str">
            <v/>
          </cell>
          <cell r="DF265" t="str">
            <v/>
          </cell>
          <cell r="DG265" t="str">
            <v/>
          </cell>
          <cell r="DH265" t="str">
            <v/>
          </cell>
          <cell r="DI265" t="str">
            <v/>
          </cell>
          <cell r="DJ265" t="str">
            <v/>
          </cell>
          <cell r="DK265" t="str">
            <v/>
          </cell>
          <cell r="DL265" t="str">
            <v/>
          </cell>
          <cell r="DM265" t="str">
            <v/>
          </cell>
          <cell r="DN265" t="str">
            <v/>
          </cell>
          <cell r="DO265" t="str">
            <v/>
          </cell>
          <cell r="DP265" t="str">
            <v/>
          </cell>
          <cell r="DQ265" t="str">
            <v/>
          </cell>
          <cell r="DR265" t="str">
            <v/>
          </cell>
          <cell r="DS265" t="str">
            <v/>
          </cell>
          <cell r="DT265" t="str">
            <v/>
          </cell>
          <cell r="DU265" t="str">
            <v/>
          </cell>
          <cell r="DV265" t="str">
            <v/>
          </cell>
          <cell r="DW265" t="str">
            <v/>
          </cell>
          <cell r="DX265" t="str">
            <v/>
          </cell>
          <cell r="DY265" t="str">
            <v/>
          </cell>
          <cell r="DZ265" t="str">
            <v/>
          </cell>
          <cell r="EA265" t="str">
            <v/>
          </cell>
          <cell r="EB265" t="str">
            <v/>
          </cell>
          <cell r="EC265" t="str">
            <v/>
          </cell>
          <cell r="ED265" t="str">
            <v/>
          </cell>
          <cell r="EE265" t="str">
            <v/>
          </cell>
          <cell r="EF265" t="str">
            <v/>
          </cell>
          <cell r="EG265" t="str">
            <v/>
          </cell>
          <cell r="EH265" t="str">
            <v/>
          </cell>
          <cell r="EI265" t="str">
            <v/>
          </cell>
          <cell r="EJ265" t="str">
            <v/>
          </cell>
          <cell r="EK265" t="str">
            <v/>
          </cell>
          <cell r="EL265" t="str">
            <v/>
          </cell>
          <cell r="EM265" t="str">
            <v/>
          </cell>
          <cell r="EN265" t="str">
            <v/>
          </cell>
          <cell r="EO265" t="str">
            <v/>
          </cell>
          <cell r="EP265" t="str">
            <v/>
          </cell>
          <cell r="EQ265" t="str">
            <v/>
          </cell>
          <cell r="ER265" t="str">
            <v/>
          </cell>
          <cell r="ES265" t="str">
            <v/>
          </cell>
          <cell r="ET265" t="str">
            <v/>
          </cell>
          <cell r="EU265" t="str">
            <v/>
          </cell>
          <cell r="EV265" t="str">
            <v/>
          </cell>
          <cell r="EW265" t="str">
            <v/>
          </cell>
          <cell r="EX265" t="str">
            <v/>
          </cell>
          <cell r="EY265" t="str">
            <v/>
          </cell>
          <cell r="EZ265" t="str">
            <v/>
          </cell>
          <cell r="FA265" t="str">
            <v/>
          </cell>
          <cell r="FB265" t="str">
            <v/>
          </cell>
          <cell r="FC265" t="str">
            <v/>
          </cell>
          <cell r="FD265" t="str">
            <v/>
          </cell>
          <cell r="FE265" t="str">
            <v/>
          </cell>
          <cell r="FF265" t="str">
            <v/>
          </cell>
          <cell r="FG265" t="str">
            <v/>
          </cell>
          <cell r="FH265" t="str">
            <v/>
          </cell>
          <cell r="FI265" t="str">
            <v/>
          </cell>
          <cell r="FJ265">
            <v>0</v>
          </cell>
          <cell r="FK265">
            <v>0</v>
          </cell>
          <cell r="FL265">
            <v>0</v>
          </cell>
          <cell r="FM265">
            <v>0</v>
          </cell>
          <cell r="FN265">
            <v>0</v>
          </cell>
          <cell r="FO265">
            <v>0</v>
          </cell>
          <cell r="FP265">
            <v>0</v>
          </cell>
          <cell r="FQ265">
            <v>0</v>
          </cell>
          <cell r="FR265">
            <v>0</v>
          </cell>
          <cell r="FS265">
            <v>0</v>
          </cell>
          <cell r="FT265">
            <v>0</v>
          </cell>
          <cell r="FU265">
            <v>0</v>
          </cell>
          <cell r="FV265">
            <v>0</v>
          </cell>
          <cell r="FW265">
            <v>0</v>
          </cell>
          <cell r="FX265">
            <v>0</v>
          </cell>
          <cell r="FY265">
            <v>0</v>
          </cell>
          <cell r="FZ265">
            <v>0</v>
          </cell>
          <cell r="GA265">
            <v>0</v>
          </cell>
          <cell r="GB265">
            <v>0</v>
          </cell>
        </row>
        <row r="266">
          <cell r="X266" t="str">
            <v>DIRECT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3750</v>
          </cell>
          <cell r="CJ266">
            <v>7500</v>
          </cell>
          <cell r="CK266">
            <v>11250</v>
          </cell>
          <cell r="CL266">
            <v>15000</v>
          </cell>
          <cell r="CM266">
            <v>51003</v>
          </cell>
          <cell r="CN266">
            <v>51010</v>
          </cell>
          <cell r="CO266">
            <v>51017</v>
          </cell>
          <cell r="CP266">
            <v>69774</v>
          </cell>
          <cell r="CQ266">
            <v>88531</v>
          </cell>
          <cell r="CR266">
            <v>144326</v>
          </cell>
          <cell r="CS266">
            <v>164090</v>
          </cell>
          <cell r="CT266">
            <v>165104</v>
          </cell>
          <cell r="CU266">
            <v>151118</v>
          </cell>
          <cell r="CV266">
            <v>151132</v>
          </cell>
          <cell r="CW266">
            <v>151146</v>
          </cell>
          <cell r="CX266">
            <v>151160</v>
          </cell>
          <cell r="CY266">
            <v>151174</v>
          </cell>
          <cell r="CZ266">
            <v>151188</v>
          </cell>
          <cell r="DA266">
            <v>40101</v>
          </cell>
          <cell r="DB266">
            <v>40108</v>
          </cell>
          <cell r="DC266">
            <v>0</v>
          </cell>
          <cell r="DD266">
            <v>0</v>
          </cell>
          <cell r="DE266">
            <v>0</v>
          </cell>
          <cell r="DF266">
            <v>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0</v>
          </cell>
          <cell r="DU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0</v>
          </cell>
          <cell r="EC266">
            <v>0</v>
          </cell>
          <cell r="ED266">
            <v>0</v>
          </cell>
          <cell r="EE266">
            <v>0</v>
          </cell>
          <cell r="EF266">
            <v>0</v>
          </cell>
          <cell r="EG266">
            <v>0</v>
          </cell>
          <cell r="EH266">
            <v>0</v>
          </cell>
          <cell r="EI266">
            <v>0</v>
          </cell>
          <cell r="EJ266">
            <v>0</v>
          </cell>
          <cell r="EK266">
            <v>0</v>
          </cell>
          <cell r="EL266">
            <v>0</v>
          </cell>
          <cell r="EM266">
            <v>0</v>
          </cell>
          <cell r="EN266">
            <v>0</v>
          </cell>
          <cell r="EO266">
            <v>0</v>
          </cell>
          <cell r="EP266">
            <v>0</v>
          </cell>
          <cell r="EQ266">
            <v>0</v>
          </cell>
          <cell r="E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EY266">
            <v>0</v>
          </cell>
          <cell r="EZ266">
            <v>0</v>
          </cell>
          <cell r="FA266">
            <v>0</v>
          </cell>
          <cell r="FB266">
            <v>0</v>
          </cell>
          <cell r="FC266">
            <v>0</v>
          </cell>
          <cell r="FD266">
            <v>0</v>
          </cell>
          <cell r="FE266">
            <v>0</v>
          </cell>
          <cell r="FF266">
            <v>0</v>
          </cell>
          <cell r="FG266">
            <v>0</v>
          </cell>
          <cell r="FH266">
            <v>0</v>
          </cell>
          <cell r="FI266">
            <v>0</v>
          </cell>
          <cell r="FJ266">
            <v>0</v>
          </cell>
          <cell r="FK266">
            <v>0</v>
          </cell>
          <cell r="FL266">
            <v>0</v>
          </cell>
          <cell r="FM266">
            <v>0</v>
          </cell>
          <cell r="FN266">
            <v>0</v>
          </cell>
          <cell r="FO266">
            <v>0</v>
          </cell>
          <cell r="FP266">
            <v>0</v>
          </cell>
          <cell r="FQ266">
            <v>0</v>
          </cell>
          <cell r="FR266">
            <v>0</v>
          </cell>
          <cell r="FS266">
            <v>0</v>
          </cell>
          <cell r="FT266">
            <v>0</v>
          </cell>
          <cell r="FU266">
            <v>0</v>
          </cell>
          <cell r="FV266">
            <v>0</v>
          </cell>
          <cell r="FW266">
            <v>0</v>
          </cell>
          <cell r="FX266">
            <v>0</v>
          </cell>
          <cell r="FY266">
            <v>0</v>
          </cell>
          <cell r="FZ266">
            <v>0</v>
          </cell>
          <cell r="GA266">
            <v>0</v>
          </cell>
          <cell r="GB266">
            <v>0</v>
          </cell>
        </row>
        <row r="267">
          <cell r="X267" t="str">
            <v>DIRECT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3750</v>
          </cell>
          <cell r="CJ267">
            <v>7500</v>
          </cell>
          <cell r="CK267">
            <v>11250</v>
          </cell>
          <cell r="CL267">
            <v>15000</v>
          </cell>
          <cell r="CM267">
            <v>51003</v>
          </cell>
          <cell r="CN267">
            <v>51010</v>
          </cell>
          <cell r="CO267">
            <v>51017</v>
          </cell>
          <cell r="CP267">
            <v>69774</v>
          </cell>
          <cell r="CQ267">
            <v>88531</v>
          </cell>
          <cell r="CR267">
            <v>144326</v>
          </cell>
          <cell r="CS267">
            <v>164090</v>
          </cell>
          <cell r="CT267">
            <v>165104</v>
          </cell>
          <cell r="CU267">
            <v>151118</v>
          </cell>
          <cell r="CV267">
            <v>151132</v>
          </cell>
          <cell r="CW267">
            <v>151146</v>
          </cell>
          <cell r="CX267">
            <v>151160</v>
          </cell>
          <cell r="CY267">
            <v>151174</v>
          </cell>
          <cell r="CZ267">
            <v>151188</v>
          </cell>
          <cell r="DA267">
            <v>40101</v>
          </cell>
          <cell r="DB267">
            <v>40108</v>
          </cell>
          <cell r="DC267">
            <v>0</v>
          </cell>
          <cell r="DD267">
            <v>0</v>
          </cell>
          <cell r="DE267">
            <v>0</v>
          </cell>
          <cell r="DF267">
            <v>0</v>
          </cell>
          <cell r="DG267">
            <v>0</v>
          </cell>
          <cell r="DH267">
            <v>0</v>
          </cell>
          <cell r="DI267">
            <v>0</v>
          </cell>
          <cell r="DJ267">
            <v>0</v>
          </cell>
          <cell r="DK267">
            <v>0</v>
          </cell>
          <cell r="DL267">
            <v>0</v>
          </cell>
          <cell r="DM267">
            <v>0</v>
          </cell>
          <cell r="DN267">
            <v>0</v>
          </cell>
          <cell r="DO267">
            <v>0</v>
          </cell>
          <cell r="DP267">
            <v>0</v>
          </cell>
          <cell r="DQ267">
            <v>0</v>
          </cell>
          <cell r="DR267">
            <v>0</v>
          </cell>
          <cell r="DS267">
            <v>0</v>
          </cell>
          <cell r="DT267">
            <v>0</v>
          </cell>
          <cell r="DU267">
            <v>0</v>
          </cell>
          <cell r="DV267">
            <v>0</v>
          </cell>
          <cell r="DW267">
            <v>0</v>
          </cell>
          <cell r="DX267">
            <v>0</v>
          </cell>
          <cell r="DY267">
            <v>0</v>
          </cell>
          <cell r="DZ267">
            <v>0</v>
          </cell>
          <cell r="EA267">
            <v>0</v>
          </cell>
          <cell r="EB267">
            <v>0</v>
          </cell>
          <cell r="EC267">
            <v>0</v>
          </cell>
          <cell r="ED267">
            <v>0</v>
          </cell>
          <cell r="EE267">
            <v>0</v>
          </cell>
          <cell r="EF267">
            <v>0</v>
          </cell>
          <cell r="EG267">
            <v>0</v>
          </cell>
          <cell r="EH267">
            <v>0</v>
          </cell>
          <cell r="EI267">
            <v>0</v>
          </cell>
          <cell r="EJ267">
            <v>0</v>
          </cell>
          <cell r="EK267">
            <v>0</v>
          </cell>
          <cell r="EL267">
            <v>0</v>
          </cell>
          <cell r="EM267">
            <v>0</v>
          </cell>
          <cell r="EN267">
            <v>0</v>
          </cell>
          <cell r="EO267">
            <v>0</v>
          </cell>
          <cell r="EP267">
            <v>0</v>
          </cell>
          <cell r="EQ267">
            <v>0</v>
          </cell>
          <cell r="ER267">
            <v>0</v>
          </cell>
          <cell r="ES267">
            <v>0</v>
          </cell>
          <cell r="ET267">
            <v>0</v>
          </cell>
          <cell r="EU267">
            <v>0</v>
          </cell>
          <cell r="EV267">
            <v>0</v>
          </cell>
          <cell r="EW267">
            <v>0</v>
          </cell>
          <cell r="EX267">
            <v>0</v>
          </cell>
          <cell r="EY267">
            <v>0</v>
          </cell>
          <cell r="EZ267">
            <v>0</v>
          </cell>
          <cell r="FA267">
            <v>0</v>
          </cell>
          <cell r="FB267">
            <v>0</v>
          </cell>
          <cell r="FC267">
            <v>0</v>
          </cell>
          <cell r="FD267">
            <v>0</v>
          </cell>
          <cell r="FE267">
            <v>0</v>
          </cell>
          <cell r="FF267">
            <v>0</v>
          </cell>
          <cell r="FG267">
            <v>0</v>
          </cell>
          <cell r="FH267">
            <v>0</v>
          </cell>
          <cell r="FI267">
            <v>0</v>
          </cell>
          <cell r="FJ267">
            <v>0</v>
          </cell>
          <cell r="FK267">
            <v>0</v>
          </cell>
          <cell r="FL267">
            <v>0</v>
          </cell>
          <cell r="FM267">
            <v>0</v>
          </cell>
          <cell r="FN267">
            <v>0</v>
          </cell>
          <cell r="FO267">
            <v>0</v>
          </cell>
          <cell r="FP267">
            <v>0</v>
          </cell>
          <cell r="FQ267">
            <v>0</v>
          </cell>
          <cell r="FR267">
            <v>0</v>
          </cell>
          <cell r="FS267">
            <v>0</v>
          </cell>
          <cell r="FT267">
            <v>0</v>
          </cell>
          <cell r="FU267">
            <v>0</v>
          </cell>
          <cell r="FV267">
            <v>0</v>
          </cell>
          <cell r="FW267">
            <v>0</v>
          </cell>
          <cell r="FX267">
            <v>0</v>
          </cell>
          <cell r="FY267">
            <v>0</v>
          </cell>
          <cell r="FZ267">
            <v>0</v>
          </cell>
          <cell r="GA267">
            <v>0</v>
          </cell>
          <cell r="GB267">
            <v>0</v>
          </cell>
        </row>
        <row r="268">
          <cell r="X268" t="str">
            <v>LOADED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5062.5</v>
          </cell>
          <cell r="CJ268">
            <v>10125</v>
          </cell>
          <cell r="CK268">
            <v>15187.5</v>
          </cell>
          <cell r="CL268">
            <v>20250</v>
          </cell>
          <cell r="CM268">
            <v>68854.05</v>
          </cell>
          <cell r="CN268">
            <v>68863.5</v>
          </cell>
          <cell r="CO268">
            <v>68872.95</v>
          </cell>
          <cell r="CP268">
            <v>94194.9</v>
          </cell>
          <cell r="CQ268">
            <v>119516.85</v>
          </cell>
          <cell r="CR268">
            <v>194840.1</v>
          </cell>
          <cell r="CS268">
            <v>221521.5</v>
          </cell>
          <cell r="CT268">
            <v>222890.4</v>
          </cell>
          <cell r="CU268">
            <v>204009.3</v>
          </cell>
          <cell r="CV268">
            <v>204028.2</v>
          </cell>
          <cell r="CW268">
            <v>204047.1</v>
          </cell>
          <cell r="CX268">
            <v>204066</v>
          </cell>
          <cell r="CY268">
            <v>204084.9</v>
          </cell>
          <cell r="CZ268">
            <v>204103.8</v>
          </cell>
          <cell r="DA268">
            <v>54136.35</v>
          </cell>
          <cell r="DB268">
            <v>54145.8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  <cell r="DG268">
            <v>0</v>
          </cell>
          <cell r="DH268">
            <v>0</v>
          </cell>
          <cell r="DI268">
            <v>0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0</v>
          </cell>
          <cell r="DU268">
            <v>0</v>
          </cell>
          <cell r="DV268">
            <v>0</v>
          </cell>
          <cell r="DW268">
            <v>0</v>
          </cell>
          <cell r="DX268">
            <v>0</v>
          </cell>
          <cell r="DY268">
            <v>0</v>
          </cell>
          <cell r="DZ268">
            <v>0</v>
          </cell>
          <cell r="EA268">
            <v>0</v>
          </cell>
          <cell r="EB268">
            <v>0</v>
          </cell>
          <cell r="EC268">
            <v>0</v>
          </cell>
          <cell r="ED268">
            <v>0</v>
          </cell>
          <cell r="EE268">
            <v>0</v>
          </cell>
          <cell r="EF268">
            <v>0</v>
          </cell>
          <cell r="EG268">
            <v>0</v>
          </cell>
          <cell r="EH268">
            <v>0</v>
          </cell>
          <cell r="EI268">
            <v>0</v>
          </cell>
          <cell r="EJ268">
            <v>0</v>
          </cell>
          <cell r="EK268">
            <v>0</v>
          </cell>
          <cell r="EL268">
            <v>0</v>
          </cell>
          <cell r="EM268">
            <v>0</v>
          </cell>
          <cell r="EN268">
            <v>0</v>
          </cell>
          <cell r="EO268">
            <v>0</v>
          </cell>
          <cell r="EP268">
            <v>0</v>
          </cell>
          <cell r="EQ268">
            <v>0</v>
          </cell>
          <cell r="ER268">
            <v>0</v>
          </cell>
          <cell r="ES268">
            <v>0</v>
          </cell>
          <cell r="ET268">
            <v>0</v>
          </cell>
          <cell r="EU268">
            <v>0</v>
          </cell>
          <cell r="EV268">
            <v>0</v>
          </cell>
          <cell r="EW268">
            <v>0</v>
          </cell>
          <cell r="EX268">
            <v>0</v>
          </cell>
          <cell r="EY268">
            <v>0</v>
          </cell>
          <cell r="EZ268">
            <v>0</v>
          </cell>
          <cell r="FA268">
            <v>0</v>
          </cell>
          <cell r="FB268">
            <v>0</v>
          </cell>
          <cell r="FC268">
            <v>0</v>
          </cell>
          <cell r="FD268">
            <v>0</v>
          </cell>
          <cell r="FE268">
            <v>0</v>
          </cell>
          <cell r="FF268">
            <v>0</v>
          </cell>
          <cell r="FG268">
            <v>0</v>
          </cell>
          <cell r="FH268">
            <v>0</v>
          </cell>
          <cell r="FI268">
            <v>0</v>
          </cell>
          <cell r="FJ268">
            <v>0</v>
          </cell>
          <cell r="FK268">
            <v>0</v>
          </cell>
          <cell r="FL268">
            <v>0</v>
          </cell>
          <cell r="FM268">
            <v>0</v>
          </cell>
          <cell r="FN268">
            <v>0</v>
          </cell>
          <cell r="FO268">
            <v>0</v>
          </cell>
          <cell r="FP268">
            <v>0</v>
          </cell>
          <cell r="FQ268">
            <v>0</v>
          </cell>
          <cell r="FR268">
            <v>0</v>
          </cell>
          <cell r="FS268">
            <v>0</v>
          </cell>
          <cell r="FT268">
            <v>0</v>
          </cell>
          <cell r="FU268">
            <v>0</v>
          </cell>
          <cell r="FV268">
            <v>0</v>
          </cell>
          <cell r="FW268">
            <v>0</v>
          </cell>
          <cell r="FX268">
            <v>0</v>
          </cell>
          <cell r="FY268">
            <v>0</v>
          </cell>
          <cell r="FZ268">
            <v>0</v>
          </cell>
          <cell r="GA268">
            <v>0</v>
          </cell>
          <cell r="GB268">
            <v>0</v>
          </cell>
        </row>
        <row r="269">
          <cell r="V269" t="str">
            <v>PROJECTED RTM</v>
          </cell>
          <cell r="W269">
            <v>0</v>
          </cell>
          <cell r="X269" t="str">
            <v>CUMULATIVE TO DATE</v>
          </cell>
          <cell r="Y269">
            <v>140</v>
          </cell>
          <cell r="Z269">
            <v>63.068739999999991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5062.5</v>
          </cell>
          <cell r="CJ269">
            <v>10125</v>
          </cell>
          <cell r="CK269">
            <v>15187.5</v>
          </cell>
          <cell r="CL269">
            <v>20250</v>
          </cell>
          <cell r="CM269">
            <v>68854.05</v>
          </cell>
          <cell r="CN269">
            <v>68863.5</v>
          </cell>
          <cell r="CO269">
            <v>68872.95</v>
          </cell>
          <cell r="CP269">
            <v>94194.9</v>
          </cell>
          <cell r="CQ269">
            <v>119516.85</v>
          </cell>
          <cell r="CR269">
            <v>194840.1</v>
          </cell>
          <cell r="CS269">
            <v>221521.5</v>
          </cell>
          <cell r="CT269">
            <v>222890.4</v>
          </cell>
          <cell r="CU269">
            <v>204009.3</v>
          </cell>
          <cell r="CV269">
            <v>204028.2</v>
          </cell>
          <cell r="CW269">
            <v>204047.1</v>
          </cell>
          <cell r="CX269">
            <v>204066</v>
          </cell>
          <cell r="CY269">
            <v>204084.9</v>
          </cell>
          <cell r="CZ269">
            <v>204103.8</v>
          </cell>
          <cell r="DA269">
            <v>54136.35</v>
          </cell>
          <cell r="DB269">
            <v>54145.8</v>
          </cell>
          <cell r="DC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0</v>
          </cell>
          <cell r="DH269">
            <v>0</v>
          </cell>
          <cell r="DI269">
            <v>0</v>
          </cell>
          <cell r="DJ269">
            <v>0</v>
          </cell>
          <cell r="DK269">
            <v>0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  <cell r="DP269">
            <v>0</v>
          </cell>
          <cell r="DQ269">
            <v>0</v>
          </cell>
          <cell r="DR269">
            <v>0</v>
          </cell>
          <cell r="DS269">
            <v>0</v>
          </cell>
          <cell r="DT269">
            <v>0</v>
          </cell>
          <cell r="DU269">
            <v>0</v>
          </cell>
          <cell r="DV269">
            <v>0</v>
          </cell>
          <cell r="DW269">
            <v>0</v>
          </cell>
          <cell r="DX269">
            <v>0</v>
          </cell>
          <cell r="DY269">
            <v>0</v>
          </cell>
          <cell r="DZ269">
            <v>0</v>
          </cell>
          <cell r="EA269">
            <v>0</v>
          </cell>
          <cell r="EB269">
            <v>0</v>
          </cell>
          <cell r="EC269">
            <v>0</v>
          </cell>
          <cell r="ED269">
            <v>0</v>
          </cell>
          <cell r="EE269">
            <v>0</v>
          </cell>
          <cell r="EF269">
            <v>0</v>
          </cell>
          <cell r="EG269">
            <v>0</v>
          </cell>
          <cell r="EH269">
            <v>0</v>
          </cell>
          <cell r="EI269">
            <v>0</v>
          </cell>
          <cell r="EJ269">
            <v>0</v>
          </cell>
          <cell r="EK269">
            <v>0</v>
          </cell>
          <cell r="EL269">
            <v>0</v>
          </cell>
          <cell r="EM269">
            <v>0</v>
          </cell>
          <cell r="EN269">
            <v>0</v>
          </cell>
          <cell r="EO269">
            <v>0</v>
          </cell>
          <cell r="EP269">
            <v>0</v>
          </cell>
          <cell r="EQ269">
            <v>0</v>
          </cell>
          <cell r="ER269">
            <v>0</v>
          </cell>
          <cell r="ES269">
            <v>0</v>
          </cell>
          <cell r="ET269">
            <v>0</v>
          </cell>
          <cell r="EU269">
            <v>0</v>
          </cell>
          <cell r="EV269">
            <v>0</v>
          </cell>
          <cell r="EW269">
            <v>0</v>
          </cell>
          <cell r="EX269">
            <v>0</v>
          </cell>
          <cell r="EY269">
            <v>0</v>
          </cell>
          <cell r="EZ269">
            <v>0</v>
          </cell>
          <cell r="FA269">
            <v>0</v>
          </cell>
          <cell r="FB269">
            <v>0</v>
          </cell>
          <cell r="FC269">
            <v>0</v>
          </cell>
          <cell r="FD269">
            <v>0</v>
          </cell>
          <cell r="FE269">
            <v>0</v>
          </cell>
          <cell r="FF269">
            <v>0</v>
          </cell>
          <cell r="FG269">
            <v>0</v>
          </cell>
          <cell r="FH269">
            <v>0</v>
          </cell>
          <cell r="FI269">
            <v>0</v>
          </cell>
          <cell r="FJ269">
            <v>0</v>
          </cell>
          <cell r="FK269">
            <v>0</v>
          </cell>
          <cell r="FL269">
            <v>0</v>
          </cell>
          <cell r="FM269">
            <v>0</v>
          </cell>
          <cell r="FN269">
            <v>0</v>
          </cell>
          <cell r="FO269">
            <v>0</v>
          </cell>
          <cell r="FP269">
            <v>0</v>
          </cell>
          <cell r="FQ269">
            <v>0</v>
          </cell>
          <cell r="FR269">
            <v>0</v>
          </cell>
          <cell r="FS269">
            <v>0</v>
          </cell>
          <cell r="FT269">
            <v>0</v>
          </cell>
          <cell r="FU269">
            <v>0</v>
          </cell>
          <cell r="FV269">
            <v>0</v>
          </cell>
          <cell r="FW269">
            <v>0</v>
          </cell>
          <cell r="FX269">
            <v>0</v>
          </cell>
          <cell r="FY269">
            <v>0</v>
          </cell>
          <cell r="FZ269">
            <v>0</v>
          </cell>
        </row>
        <row r="270">
          <cell r="V270" t="str">
            <v>PROJECTED RTM</v>
          </cell>
          <cell r="W270">
            <v>0</v>
          </cell>
          <cell r="X270">
            <v>36189.068740000002</v>
          </cell>
          <cell r="Y270">
            <v>140</v>
          </cell>
          <cell r="Z270">
            <v>63.068739999999991</v>
          </cell>
          <cell r="AA270" t="str">
            <v/>
          </cell>
          <cell r="AB270" t="str">
            <v/>
          </cell>
          <cell r="AC270" t="str">
            <v/>
          </cell>
          <cell r="AD270" t="str">
            <v/>
          </cell>
          <cell r="AE270" t="str">
            <v/>
          </cell>
          <cell r="AF270" t="str">
            <v/>
          </cell>
          <cell r="AG270" t="str">
            <v/>
          </cell>
          <cell r="AH270" t="str">
            <v/>
          </cell>
          <cell r="AI270" t="str">
            <v/>
          </cell>
          <cell r="AJ270" t="str">
            <v/>
          </cell>
          <cell r="AK270" t="str">
            <v/>
          </cell>
          <cell r="AL270" t="str">
            <v/>
          </cell>
          <cell r="AM270" t="str">
            <v/>
          </cell>
          <cell r="AN270" t="str">
            <v/>
          </cell>
          <cell r="AO270" t="str">
            <v/>
          </cell>
          <cell r="AP270" t="str">
            <v/>
          </cell>
          <cell r="AQ270" t="str">
            <v/>
          </cell>
          <cell r="AR270" t="str">
            <v/>
          </cell>
          <cell r="AS270" t="str">
            <v/>
          </cell>
          <cell r="AT270" t="str">
            <v/>
          </cell>
          <cell r="AU270" t="str">
            <v/>
          </cell>
          <cell r="AV270" t="str">
            <v/>
          </cell>
          <cell r="AW270" t="str">
            <v/>
          </cell>
          <cell r="AX270" t="str">
            <v/>
          </cell>
          <cell r="AY270" t="str">
            <v/>
          </cell>
          <cell r="AZ270" t="str">
            <v/>
          </cell>
          <cell r="BA270" t="str">
            <v/>
          </cell>
          <cell r="BB270" t="str">
            <v/>
          </cell>
          <cell r="BC270" t="str">
            <v/>
          </cell>
          <cell r="BD270" t="str">
            <v/>
          </cell>
          <cell r="BE270" t="str">
            <v/>
          </cell>
          <cell r="BF270" t="str">
            <v/>
          </cell>
          <cell r="BG270" t="str">
            <v/>
          </cell>
          <cell r="BH270" t="str">
            <v/>
          </cell>
          <cell r="BI270" t="str">
            <v/>
          </cell>
          <cell r="BJ270" t="str">
            <v/>
          </cell>
          <cell r="BK270" t="str">
            <v/>
          </cell>
          <cell r="BL270" t="str">
            <v/>
          </cell>
          <cell r="BM270" t="str">
            <v/>
          </cell>
          <cell r="BN270" t="str">
            <v/>
          </cell>
          <cell r="BO270" t="str">
            <v/>
          </cell>
          <cell r="BP270" t="str">
            <v/>
          </cell>
          <cell r="BQ270" t="str">
            <v/>
          </cell>
          <cell r="BR270" t="str">
            <v/>
          </cell>
          <cell r="BS270" t="str">
            <v/>
          </cell>
          <cell r="BT270" t="str">
            <v/>
          </cell>
          <cell r="BU270" t="str">
            <v/>
          </cell>
          <cell r="BV270" t="str">
            <v/>
          </cell>
          <cell r="BW270" t="str">
            <v/>
          </cell>
          <cell r="BX270" t="str">
            <v/>
          </cell>
          <cell r="BY270" t="str">
            <v/>
          </cell>
          <cell r="BZ270" t="str">
            <v/>
          </cell>
          <cell r="CA270" t="str">
            <v/>
          </cell>
          <cell r="CB270" t="str">
            <v/>
          </cell>
          <cell r="CC270" t="str">
            <v/>
          </cell>
          <cell r="CD270" t="str">
            <v/>
          </cell>
          <cell r="CE270" t="str">
            <v/>
          </cell>
          <cell r="CF270" t="str">
            <v/>
          </cell>
          <cell r="CG270" t="str">
            <v/>
          </cell>
          <cell r="CH270" t="str">
            <v/>
          </cell>
          <cell r="CI270" t="str">
            <v/>
          </cell>
          <cell r="CJ270" t="str">
            <v/>
          </cell>
          <cell r="CK270" t="str">
            <v/>
          </cell>
          <cell r="CL270" t="str">
            <v/>
          </cell>
          <cell r="CM270" t="str">
            <v/>
          </cell>
          <cell r="CN270" t="str">
            <v/>
          </cell>
          <cell r="CO270" t="str">
            <v/>
          </cell>
          <cell r="CP270" t="str">
            <v/>
          </cell>
          <cell r="CQ270" t="str">
            <v/>
          </cell>
          <cell r="CR270">
            <v>36038</v>
          </cell>
          <cell r="CS270">
            <v>36045</v>
          </cell>
          <cell r="CT270">
            <v>36052</v>
          </cell>
          <cell r="CU270">
            <v>36059</v>
          </cell>
          <cell r="CV270">
            <v>36066</v>
          </cell>
          <cell r="CW270">
            <v>36073</v>
          </cell>
          <cell r="CX270">
            <v>36080</v>
          </cell>
          <cell r="CY270">
            <v>36087</v>
          </cell>
          <cell r="CZ270">
            <v>36094</v>
          </cell>
          <cell r="DA270">
            <v>36101</v>
          </cell>
          <cell r="DB270">
            <v>36108</v>
          </cell>
          <cell r="DC270" t="str">
            <v/>
          </cell>
          <cell r="DD270" t="str">
            <v/>
          </cell>
          <cell r="DE270" t="str">
            <v/>
          </cell>
          <cell r="DF270" t="str">
            <v/>
          </cell>
          <cell r="DG270" t="str">
            <v/>
          </cell>
          <cell r="DH270" t="str">
            <v/>
          </cell>
          <cell r="DI270" t="str">
            <v/>
          </cell>
          <cell r="DJ270" t="str">
            <v/>
          </cell>
          <cell r="DK270" t="str">
            <v/>
          </cell>
          <cell r="DL270" t="str">
            <v/>
          </cell>
          <cell r="DM270" t="str">
            <v/>
          </cell>
          <cell r="DN270" t="str">
            <v/>
          </cell>
          <cell r="DO270" t="str">
            <v/>
          </cell>
          <cell r="DP270" t="str">
            <v/>
          </cell>
          <cell r="DQ270" t="str">
            <v/>
          </cell>
          <cell r="DR270" t="str">
            <v/>
          </cell>
          <cell r="DS270" t="str">
            <v/>
          </cell>
          <cell r="DT270" t="str">
            <v/>
          </cell>
          <cell r="DU270" t="str">
            <v/>
          </cell>
          <cell r="DV270" t="str">
            <v/>
          </cell>
          <cell r="DW270" t="str">
            <v/>
          </cell>
          <cell r="DX270" t="str">
            <v/>
          </cell>
          <cell r="DY270" t="str">
            <v/>
          </cell>
          <cell r="DZ270" t="str">
            <v/>
          </cell>
          <cell r="EA270" t="str">
            <v/>
          </cell>
          <cell r="EB270" t="str">
            <v/>
          </cell>
          <cell r="EC270" t="str">
            <v/>
          </cell>
          <cell r="ED270" t="str">
            <v/>
          </cell>
          <cell r="EE270" t="str">
            <v/>
          </cell>
          <cell r="EF270" t="str">
            <v/>
          </cell>
          <cell r="EG270" t="str">
            <v/>
          </cell>
          <cell r="EH270" t="str">
            <v/>
          </cell>
          <cell r="EI270" t="str">
            <v/>
          </cell>
          <cell r="EJ270" t="str">
            <v/>
          </cell>
          <cell r="EK270" t="str">
            <v/>
          </cell>
          <cell r="EL270" t="str">
            <v/>
          </cell>
          <cell r="EM270" t="str">
            <v/>
          </cell>
          <cell r="EN270" t="str">
            <v/>
          </cell>
          <cell r="EO270" t="str">
            <v/>
          </cell>
          <cell r="EP270" t="str">
            <v/>
          </cell>
          <cell r="EQ270" t="str">
            <v/>
          </cell>
          <cell r="ER270" t="str">
            <v/>
          </cell>
          <cell r="ES270" t="str">
            <v/>
          </cell>
          <cell r="ET270" t="str">
            <v/>
          </cell>
          <cell r="EU270" t="str">
            <v/>
          </cell>
          <cell r="EV270" t="str">
            <v/>
          </cell>
        </row>
        <row r="271">
          <cell r="V271" t="str">
            <v>PROJECTED STREET</v>
          </cell>
          <cell r="W271">
            <v>0</v>
          </cell>
          <cell r="X271">
            <v>36219.068740000002</v>
          </cell>
        </row>
        <row r="272">
          <cell r="V272" t="str">
            <v>+ or - Scheduled Date</v>
          </cell>
          <cell r="W272">
            <v>0</v>
          </cell>
          <cell r="X272">
            <v>122.93125999999756</v>
          </cell>
        </row>
        <row r="273">
          <cell r="N273" t="str">
            <v>ENGINEERING</v>
          </cell>
          <cell r="O273">
            <v>0</v>
          </cell>
          <cell r="P273">
            <v>0</v>
          </cell>
          <cell r="Q273">
            <v>0</v>
          </cell>
          <cell r="Y273" t="str">
            <v>WK Count</v>
          </cell>
          <cell r="Z273" t="str">
            <v>Total Days</v>
          </cell>
        </row>
        <row r="274">
          <cell r="N274" t="str">
            <v>ENGINEERING</v>
          </cell>
          <cell r="O274">
            <v>0</v>
          </cell>
          <cell r="P274">
            <v>0</v>
          </cell>
          <cell r="Q274">
            <v>0</v>
          </cell>
          <cell r="Y274" t="str">
            <v>WK Count</v>
          </cell>
          <cell r="Z274" t="str">
            <v>Total Days</v>
          </cell>
        </row>
        <row r="275">
          <cell r="A275" t="str">
            <v>PREP</v>
          </cell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 t="str">
            <v>ANIMATION</v>
          </cell>
          <cell r="G275">
            <v>0</v>
          </cell>
          <cell r="H275">
            <v>0</v>
          </cell>
          <cell r="I275" t="str">
            <v>INK &amp; PAINT</v>
          </cell>
          <cell r="J275">
            <v>0</v>
          </cell>
          <cell r="K275">
            <v>0</v>
          </cell>
          <cell r="L275" t="str">
            <v>ALPHA</v>
          </cell>
          <cell r="M275">
            <v>0</v>
          </cell>
          <cell r="N275" t="str">
            <v>BETA</v>
          </cell>
          <cell r="O275">
            <v>0</v>
          </cell>
          <cell r="P275" t="str">
            <v>RTM</v>
          </cell>
          <cell r="Q275">
            <v>0</v>
          </cell>
          <cell r="Y275">
            <v>7</v>
          </cell>
          <cell r="Z275">
            <v>52.351039999999998</v>
          </cell>
        </row>
        <row r="276">
          <cell r="A276" t="str">
            <v>PREP</v>
          </cell>
          <cell r="B276" t="str">
            <v>Days</v>
          </cell>
          <cell r="C276">
            <v>0</v>
          </cell>
          <cell r="D276">
            <v>0</v>
          </cell>
          <cell r="E276">
            <v>0</v>
          </cell>
          <cell r="F276" t="str">
            <v>ANIMATION</v>
          </cell>
          <cell r="G276" t="str">
            <v>Days</v>
          </cell>
          <cell r="H276" t="str">
            <v>Frames</v>
          </cell>
          <cell r="I276" t="str">
            <v>INK &amp; PAINT</v>
          </cell>
          <cell r="J276" t="str">
            <v>Days</v>
          </cell>
          <cell r="K276">
            <v>0</v>
          </cell>
          <cell r="L276" t="str">
            <v>ALPHA</v>
          </cell>
          <cell r="M276">
            <v>0</v>
          </cell>
          <cell r="N276" t="str">
            <v>BETA</v>
          </cell>
          <cell r="O276">
            <v>0</v>
          </cell>
          <cell r="P276" t="str">
            <v>RTM</v>
          </cell>
          <cell r="Q276">
            <v>0</v>
          </cell>
          <cell r="Y276">
            <v>7</v>
          </cell>
          <cell r="Z276">
            <v>52.351039999999998</v>
          </cell>
        </row>
        <row r="277">
          <cell r="A277" t="str">
            <v>Wks</v>
          </cell>
          <cell r="B277" t="str">
            <v>Days</v>
          </cell>
          <cell r="C277">
            <v>0</v>
          </cell>
          <cell r="D277">
            <v>0</v>
          </cell>
          <cell r="E277">
            <v>0</v>
          </cell>
          <cell r="F277" t="str">
            <v>Wks</v>
          </cell>
          <cell r="G277" t="str">
            <v>Days</v>
          </cell>
          <cell r="H277" t="str">
            <v>Frames</v>
          </cell>
          <cell r="I277" t="str">
            <v>Wks</v>
          </cell>
          <cell r="J277" t="str">
            <v>Days</v>
          </cell>
          <cell r="K277">
            <v>21</v>
          </cell>
          <cell r="L277">
            <v>0</v>
          </cell>
          <cell r="M277">
            <v>29</v>
          </cell>
          <cell r="N277">
            <v>0</v>
          </cell>
          <cell r="O277">
            <v>29</v>
          </cell>
          <cell r="P277">
            <v>0</v>
          </cell>
          <cell r="Q277">
            <v>29</v>
          </cell>
          <cell r="Y277">
            <v>11</v>
          </cell>
          <cell r="Z277">
            <v>77.938800000000015</v>
          </cell>
        </row>
        <row r="278">
          <cell r="A278">
            <v>5.47872</v>
          </cell>
          <cell r="B278">
            <v>52.351039999999998</v>
          </cell>
          <cell r="C278">
            <v>0</v>
          </cell>
          <cell r="D278">
            <v>0</v>
          </cell>
          <cell r="E278">
            <v>0</v>
          </cell>
          <cell r="F278">
            <v>6.8484000000000007</v>
          </cell>
          <cell r="G278">
            <v>77.938800000000015</v>
          </cell>
          <cell r="H278">
            <v>2739.36</v>
          </cell>
          <cell r="I278">
            <v>6.8484000000000007</v>
          </cell>
          <cell r="J278">
            <v>61.938800000000008</v>
          </cell>
          <cell r="K278">
            <v>21</v>
          </cell>
          <cell r="L278">
            <v>0</v>
          </cell>
          <cell r="M278">
            <v>29</v>
          </cell>
          <cell r="N278">
            <v>0</v>
          </cell>
          <cell r="O278">
            <v>29</v>
          </cell>
          <cell r="P278">
            <v>0</v>
          </cell>
          <cell r="Q278">
            <v>29</v>
          </cell>
          <cell r="Y278">
            <v>9</v>
          </cell>
          <cell r="Z278">
            <v>61.938800000000008</v>
          </cell>
        </row>
        <row r="289">
          <cell r="Y289">
            <v>9</v>
          </cell>
          <cell r="Z289">
            <v>61.938800000000008</v>
          </cell>
        </row>
        <row r="290">
          <cell r="Y290">
            <v>119</v>
          </cell>
          <cell r="Z290">
            <v>47.938800000000008</v>
          </cell>
        </row>
        <row r="291">
          <cell r="Y291">
            <v>119</v>
          </cell>
          <cell r="Z291">
            <v>47.938800000000008</v>
          </cell>
        </row>
        <row r="293">
          <cell r="Y293">
            <v>119</v>
          </cell>
          <cell r="Z293">
            <v>47.938800000000008</v>
          </cell>
        </row>
        <row r="294">
          <cell r="N294" t="str">
            <v>ENGINEERING</v>
          </cell>
          <cell r="O294">
            <v>0</v>
          </cell>
          <cell r="P294">
            <v>0</v>
          </cell>
          <cell r="Q294">
            <v>0</v>
          </cell>
          <cell r="Y294" t="str">
            <v>WK Count</v>
          </cell>
          <cell r="Z294" t="str">
            <v>Total Days</v>
          </cell>
        </row>
        <row r="295">
          <cell r="N295" t="str">
            <v>ENGINEERING</v>
          </cell>
          <cell r="O295">
            <v>0</v>
          </cell>
          <cell r="P295">
            <v>0</v>
          </cell>
          <cell r="Q295">
            <v>0</v>
          </cell>
          <cell r="Y295" t="str">
            <v>WK Count</v>
          </cell>
          <cell r="Z295" t="str">
            <v>Total Days</v>
          </cell>
        </row>
        <row r="296">
          <cell r="A296" t="str">
            <v>PREP</v>
          </cell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 t="str">
            <v>ANIMATION</v>
          </cell>
          <cell r="G296">
            <v>0</v>
          </cell>
          <cell r="H296">
            <v>0</v>
          </cell>
          <cell r="I296" t="str">
            <v>INK &amp; PAINT</v>
          </cell>
          <cell r="J296">
            <v>0</v>
          </cell>
          <cell r="K296">
            <v>0</v>
          </cell>
          <cell r="L296" t="str">
            <v>ALPHA</v>
          </cell>
          <cell r="M296">
            <v>0</v>
          </cell>
          <cell r="N296" t="str">
            <v>BETA</v>
          </cell>
          <cell r="O296">
            <v>0</v>
          </cell>
          <cell r="P296" t="str">
            <v>RTM</v>
          </cell>
          <cell r="Q296">
            <v>0</v>
          </cell>
          <cell r="Y296">
            <v>6</v>
          </cell>
          <cell r="Z296">
            <v>42.297850000000004</v>
          </cell>
        </row>
        <row r="297">
          <cell r="A297" t="str">
            <v>PREP</v>
          </cell>
          <cell r="B297" t="str">
            <v>Days</v>
          </cell>
          <cell r="C297">
            <v>0</v>
          </cell>
          <cell r="D297">
            <v>0</v>
          </cell>
          <cell r="E297">
            <v>0</v>
          </cell>
          <cell r="F297" t="str">
            <v>ANIMATION</v>
          </cell>
          <cell r="G297" t="str">
            <v>Days</v>
          </cell>
          <cell r="H297" t="str">
            <v>Frames</v>
          </cell>
          <cell r="I297" t="str">
            <v>INK &amp; PAINT</v>
          </cell>
          <cell r="J297" t="str">
            <v>Days</v>
          </cell>
          <cell r="K297">
            <v>0</v>
          </cell>
          <cell r="L297" t="str">
            <v>ALPHA</v>
          </cell>
          <cell r="M297">
            <v>0</v>
          </cell>
          <cell r="N297" t="str">
            <v>BETA</v>
          </cell>
          <cell r="O297">
            <v>0</v>
          </cell>
          <cell r="P297" t="str">
            <v>RTM</v>
          </cell>
          <cell r="Q297">
            <v>0</v>
          </cell>
          <cell r="Y297">
            <v>6</v>
          </cell>
          <cell r="Z297">
            <v>42.297850000000004</v>
          </cell>
        </row>
        <row r="298">
          <cell r="A298" t="str">
            <v>Wks</v>
          </cell>
          <cell r="B298" t="str">
            <v>Days</v>
          </cell>
          <cell r="C298">
            <v>0</v>
          </cell>
          <cell r="D298">
            <v>0</v>
          </cell>
          <cell r="E298">
            <v>0</v>
          </cell>
          <cell r="F298" t="str">
            <v>Wks</v>
          </cell>
          <cell r="G298" t="str">
            <v>Days</v>
          </cell>
          <cell r="H298" t="str">
            <v>Frames</v>
          </cell>
          <cell r="I298" t="str">
            <v>Wks</v>
          </cell>
          <cell r="J298" t="str">
            <v>Days</v>
          </cell>
          <cell r="K298">
            <v>21</v>
          </cell>
          <cell r="L298">
            <v>0</v>
          </cell>
          <cell r="M298">
            <v>29</v>
          </cell>
          <cell r="N298">
            <v>0</v>
          </cell>
          <cell r="O298">
            <v>29</v>
          </cell>
          <cell r="P298">
            <v>0</v>
          </cell>
          <cell r="Q298">
            <v>29</v>
          </cell>
          <cell r="Y298">
            <v>11</v>
          </cell>
          <cell r="Z298">
            <v>77.163083333333333</v>
          </cell>
        </row>
        <row r="299">
          <cell r="A299">
            <v>4.0425500000000003</v>
          </cell>
          <cell r="B299">
            <v>42.297850000000004</v>
          </cell>
          <cell r="C299">
            <v>0</v>
          </cell>
          <cell r="D299">
            <v>0</v>
          </cell>
          <cell r="E299">
            <v>0</v>
          </cell>
          <cell r="F299">
            <v>6.7375833333333333</v>
          </cell>
          <cell r="G299">
            <v>77.163083333333333</v>
          </cell>
          <cell r="H299">
            <v>2021.2750000000001</v>
          </cell>
          <cell r="I299">
            <v>4.0425500000000003</v>
          </cell>
          <cell r="J299">
            <v>42.297850000000004</v>
          </cell>
          <cell r="K299">
            <v>21</v>
          </cell>
          <cell r="L299">
            <v>0</v>
          </cell>
          <cell r="M299">
            <v>29</v>
          </cell>
          <cell r="N299">
            <v>0</v>
          </cell>
          <cell r="O299">
            <v>29</v>
          </cell>
          <cell r="P299">
            <v>0</v>
          </cell>
          <cell r="Q299">
            <v>29</v>
          </cell>
          <cell r="Y299">
            <v>6</v>
          </cell>
          <cell r="Z299">
            <v>42.297850000000004</v>
          </cell>
        </row>
        <row r="310">
          <cell r="Y310">
            <v>6</v>
          </cell>
          <cell r="Z310">
            <v>42.297850000000004</v>
          </cell>
        </row>
        <row r="311">
          <cell r="Y311">
            <v>119</v>
          </cell>
          <cell r="Z311">
            <v>28.297850000000004</v>
          </cell>
        </row>
        <row r="312">
          <cell r="Y312">
            <v>119</v>
          </cell>
          <cell r="Z312">
            <v>28.297850000000004</v>
          </cell>
        </row>
        <row r="321">
          <cell r="Y321">
            <v>119</v>
          </cell>
          <cell r="Z321">
            <v>28.297850000000004</v>
          </cell>
        </row>
        <row r="322">
          <cell r="N322" t="str">
            <v>ENGINEERING</v>
          </cell>
          <cell r="O322">
            <v>0</v>
          </cell>
          <cell r="P322">
            <v>0</v>
          </cell>
          <cell r="Q322">
            <v>0</v>
          </cell>
          <cell r="Y322" t="str">
            <v>WK Count</v>
          </cell>
          <cell r="Z322" t="str">
            <v>Total Days</v>
          </cell>
        </row>
        <row r="323">
          <cell r="N323" t="str">
            <v>ENGINEERING</v>
          </cell>
          <cell r="O323">
            <v>0</v>
          </cell>
          <cell r="P323">
            <v>0</v>
          </cell>
          <cell r="Q323">
            <v>0</v>
          </cell>
          <cell r="Y323" t="str">
            <v>WK Count</v>
          </cell>
          <cell r="Z323" t="str">
            <v>Total Days</v>
          </cell>
        </row>
        <row r="324">
          <cell r="A324" t="str">
            <v>PREP</v>
          </cell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 t="str">
            <v>ANIMATION</v>
          </cell>
          <cell r="G324">
            <v>0</v>
          </cell>
          <cell r="H324">
            <v>0</v>
          </cell>
          <cell r="I324" t="str">
            <v>INK &amp; PAINT</v>
          </cell>
          <cell r="J324">
            <v>0</v>
          </cell>
          <cell r="K324">
            <v>0</v>
          </cell>
          <cell r="L324" t="str">
            <v>ALPHA</v>
          </cell>
          <cell r="M324">
            <v>0</v>
          </cell>
          <cell r="N324" t="str">
            <v>BETA</v>
          </cell>
          <cell r="O324">
            <v>0</v>
          </cell>
          <cell r="P324" t="str">
            <v>RTM</v>
          </cell>
          <cell r="Q324">
            <v>0</v>
          </cell>
          <cell r="Y324">
            <v>3</v>
          </cell>
          <cell r="Z324">
            <v>21</v>
          </cell>
        </row>
        <row r="325">
          <cell r="A325" t="str">
            <v>PREP</v>
          </cell>
          <cell r="B325" t="str">
            <v>Days</v>
          </cell>
          <cell r="C325">
            <v>0</v>
          </cell>
          <cell r="D325">
            <v>0</v>
          </cell>
          <cell r="E325">
            <v>0</v>
          </cell>
          <cell r="F325" t="str">
            <v>ANIMATION</v>
          </cell>
          <cell r="G325" t="str">
            <v>Days</v>
          </cell>
          <cell r="H325" t="str">
            <v>Frames</v>
          </cell>
          <cell r="I325" t="str">
            <v>INK &amp; PAINT</v>
          </cell>
          <cell r="J325" t="str">
            <v>Days</v>
          </cell>
          <cell r="K325">
            <v>0</v>
          </cell>
          <cell r="L325" t="str">
            <v>ALPHA</v>
          </cell>
          <cell r="M325">
            <v>0</v>
          </cell>
          <cell r="N325" t="str">
            <v>BETA</v>
          </cell>
          <cell r="O325">
            <v>0</v>
          </cell>
          <cell r="P325" t="str">
            <v>RTM</v>
          </cell>
          <cell r="Q325">
            <v>0</v>
          </cell>
          <cell r="Y325">
            <v>3</v>
          </cell>
          <cell r="Z325">
            <v>21</v>
          </cell>
        </row>
        <row r="326">
          <cell r="A326" t="str">
            <v>Wks</v>
          </cell>
          <cell r="B326" t="str">
            <v>Days</v>
          </cell>
          <cell r="C326">
            <v>0</v>
          </cell>
          <cell r="D326">
            <v>0</v>
          </cell>
          <cell r="E326">
            <v>0</v>
          </cell>
          <cell r="F326" t="str">
            <v>Wks</v>
          </cell>
          <cell r="G326" t="str">
            <v>Days</v>
          </cell>
          <cell r="H326" t="str">
            <v>Frames</v>
          </cell>
          <cell r="I326" t="str">
            <v>Wks</v>
          </cell>
          <cell r="J326" t="str">
            <v>Days</v>
          </cell>
          <cell r="K326">
            <v>21</v>
          </cell>
          <cell r="L326">
            <v>0</v>
          </cell>
          <cell r="M326">
            <v>29</v>
          </cell>
          <cell r="N326">
            <v>0</v>
          </cell>
          <cell r="O326">
            <v>29</v>
          </cell>
          <cell r="P326">
            <v>0</v>
          </cell>
          <cell r="Q326">
            <v>29</v>
          </cell>
          <cell r="Y326">
            <v>3</v>
          </cell>
          <cell r="Z326">
            <v>21</v>
          </cell>
        </row>
        <row r="327">
          <cell r="A327">
            <v>1</v>
          </cell>
          <cell r="B327">
            <v>21</v>
          </cell>
          <cell r="C327">
            <v>0</v>
          </cell>
          <cell r="D327">
            <v>0</v>
          </cell>
          <cell r="E327">
            <v>0</v>
          </cell>
          <cell r="F327">
            <v>1</v>
          </cell>
          <cell r="G327">
            <v>21</v>
          </cell>
          <cell r="H327">
            <v>131</v>
          </cell>
          <cell r="I327">
            <v>1</v>
          </cell>
          <cell r="J327">
            <v>21</v>
          </cell>
          <cell r="K327">
            <v>21</v>
          </cell>
          <cell r="L327">
            <v>0</v>
          </cell>
          <cell r="M327">
            <v>29</v>
          </cell>
          <cell r="N327">
            <v>0</v>
          </cell>
          <cell r="O327">
            <v>29</v>
          </cell>
          <cell r="P327">
            <v>0</v>
          </cell>
          <cell r="Q327">
            <v>29</v>
          </cell>
          <cell r="Y327">
            <v>3</v>
          </cell>
          <cell r="Z327">
            <v>21</v>
          </cell>
        </row>
        <row r="337">
          <cell r="Y337">
            <v>3</v>
          </cell>
          <cell r="Z337">
            <v>21</v>
          </cell>
        </row>
        <row r="338">
          <cell r="Y338">
            <v>63</v>
          </cell>
          <cell r="Z338">
            <v>7</v>
          </cell>
        </row>
        <row r="339">
          <cell r="Y339">
            <v>63</v>
          </cell>
          <cell r="Z339">
            <v>7</v>
          </cell>
        </row>
        <row r="342">
          <cell r="Y342">
            <v>63</v>
          </cell>
          <cell r="Z342">
            <v>7</v>
          </cell>
        </row>
        <row r="343">
          <cell r="N343" t="str">
            <v>ENGINEERING</v>
          </cell>
          <cell r="O343">
            <v>0</v>
          </cell>
          <cell r="P343">
            <v>0</v>
          </cell>
          <cell r="Q343">
            <v>0</v>
          </cell>
          <cell r="Y343" t="str">
            <v>WK Count</v>
          </cell>
          <cell r="Z343" t="str">
            <v>Total Days</v>
          </cell>
        </row>
        <row r="344">
          <cell r="N344" t="str">
            <v>ENGINEERING</v>
          </cell>
          <cell r="O344">
            <v>0</v>
          </cell>
          <cell r="P344">
            <v>0</v>
          </cell>
          <cell r="Q344">
            <v>0</v>
          </cell>
          <cell r="Y344" t="str">
            <v>WK Count</v>
          </cell>
          <cell r="Z344" t="str">
            <v>Total Days</v>
          </cell>
        </row>
        <row r="345">
          <cell r="A345" t="str">
            <v>PREP</v>
          </cell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 t="str">
            <v>ANIMATION</v>
          </cell>
          <cell r="G345">
            <v>0</v>
          </cell>
          <cell r="H345">
            <v>0</v>
          </cell>
          <cell r="I345" t="str">
            <v>INK &amp; PAINT</v>
          </cell>
          <cell r="J345">
            <v>0</v>
          </cell>
          <cell r="K345">
            <v>0</v>
          </cell>
          <cell r="L345" t="str">
            <v>ALPHA</v>
          </cell>
          <cell r="M345">
            <v>0</v>
          </cell>
          <cell r="N345" t="str">
            <v>BETA</v>
          </cell>
          <cell r="O345">
            <v>0</v>
          </cell>
          <cell r="P345" t="str">
            <v>RTM</v>
          </cell>
          <cell r="Q345">
            <v>0</v>
          </cell>
          <cell r="Y345">
            <v>7</v>
          </cell>
          <cell r="Z345">
            <v>49</v>
          </cell>
        </row>
        <row r="346">
          <cell r="A346" t="str">
            <v>PREP</v>
          </cell>
          <cell r="B346" t="str">
            <v>Days</v>
          </cell>
          <cell r="C346">
            <v>0</v>
          </cell>
          <cell r="D346">
            <v>0</v>
          </cell>
          <cell r="E346">
            <v>0</v>
          </cell>
          <cell r="F346" t="str">
            <v>ANIMATION</v>
          </cell>
          <cell r="G346" t="str">
            <v>Days</v>
          </cell>
          <cell r="H346" t="str">
            <v>Frames</v>
          </cell>
          <cell r="I346" t="str">
            <v>INK &amp; PAINT</v>
          </cell>
          <cell r="J346" t="str">
            <v>Days</v>
          </cell>
          <cell r="K346">
            <v>0</v>
          </cell>
          <cell r="L346" t="str">
            <v>ALPHA</v>
          </cell>
          <cell r="M346">
            <v>0</v>
          </cell>
          <cell r="N346" t="str">
            <v>BETA</v>
          </cell>
          <cell r="O346">
            <v>0</v>
          </cell>
          <cell r="P346" t="str">
            <v>RTM</v>
          </cell>
          <cell r="Q346">
            <v>0</v>
          </cell>
          <cell r="Y346">
            <v>7</v>
          </cell>
          <cell r="Z346">
            <v>49</v>
          </cell>
        </row>
        <row r="347">
          <cell r="A347" t="str">
            <v>Wks</v>
          </cell>
          <cell r="B347" t="str">
            <v>Days</v>
          </cell>
          <cell r="C347">
            <v>0</v>
          </cell>
          <cell r="D347">
            <v>0</v>
          </cell>
          <cell r="E347">
            <v>0</v>
          </cell>
          <cell r="F347" t="str">
            <v>Wks</v>
          </cell>
          <cell r="G347" t="str">
            <v>Days</v>
          </cell>
          <cell r="H347" t="str">
            <v>Frames</v>
          </cell>
          <cell r="I347" t="str">
            <v>Wks</v>
          </cell>
          <cell r="J347" t="str">
            <v>Days</v>
          </cell>
          <cell r="K347">
            <v>21</v>
          </cell>
          <cell r="L347">
            <v>0</v>
          </cell>
          <cell r="M347">
            <v>29</v>
          </cell>
          <cell r="N347">
            <v>0</v>
          </cell>
          <cell r="O347">
            <v>29</v>
          </cell>
          <cell r="P347">
            <v>0</v>
          </cell>
          <cell r="Q347">
            <v>29</v>
          </cell>
          <cell r="Y347">
            <v>7</v>
          </cell>
          <cell r="Z347">
            <v>49</v>
          </cell>
        </row>
        <row r="348">
          <cell r="A348">
            <v>5</v>
          </cell>
          <cell r="B348">
            <v>49</v>
          </cell>
          <cell r="C348">
            <v>0</v>
          </cell>
          <cell r="D348">
            <v>0</v>
          </cell>
          <cell r="E348">
            <v>0</v>
          </cell>
          <cell r="F348">
            <v>5</v>
          </cell>
          <cell r="G348">
            <v>49</v>
          </cell>
          <cell r="H348">
            <v>500</v>
          </cell>
          <cell r="I348">
            <v>5</v>
          </cell>
          <cell r="J348">
            <v>49</v>
          </cell>
          <cell r="K348">
            <v>21</v>
          </cell>
          <cell r="L348">
            <v>0</v>
          </cell>
          <cell r="M348">
            <v>29</v>
          </cell>
          <cell r="N348">
            <v>0</v>
          </cell>
          <cell r="O348">
            <v>29</v>
          </cell>
          <cell r="P348">
            <v>0</v>
          </cell>
          <cell r="Q348">
            <v>29</v>
          </cell>
          <cell r="Y348">
            <v>7</v>
          </cell>
          <cell r="Z348">
            <v>49</v>
          </cell>
        </row>
        <row r="358">
          <cell r="Y358">
            <v>7</v>
          </cell>
          <cell r="Z358">
            <v>49</v>
          </cell>
        </row>
        <row r="359">
          <cell r="Y359">
            <v>91</v>
          </cell>
          <cell r="Z359">
            <v>35</v>
          </cell>
        </row>
        <row r="360">
          <cell r="Y360">
            <v>91</v>
          </cell>
          <cell r="Z360">
            <v>35</v>
          </cell>
        </row>
        <row r="362">
          <cell r="Y362">
            <v>91</v>
          </cell>
          <cell r="Z362">
            <v>35</v>
          </cell>
        </row>
        <row r="363">
          <cell r="N363" t="str">
            <v>ENGINEERING</v>
          </cell>
          <cell r="O363">
            <v>0</v>
          </cell>
          <cell r="P363">
            <v>0</v>
          </cell>
          <cell r="Q363">
            <v>0</v>
          </cell>
          <cell r="Y363" t="str">
            <v>WK Count</v>
          </cell>
          <cell r="Z363" t="str">
            <v>Total Days</v>
          </cell>
        </row>
        <row r="364">
          <cell r="N364" t="str">
            <v>ENGINEERING</v>
          </cell>
          <cell r="O364">
            <v>0</v>
          </cell>
          <cell r="P364">
            <v>0</v>
          </cell>
          <cell r="Q364">
            <v>0</v>
          </cell>
          <cell r="Y364" t="str">
            <v>WK Count</v>
          </cell>
          <cell r="Z364" t="str">
            <v>Total Days</v>
          </cell>
        </row>
        <row r="365">
          <cell r="A365" t="str">
            <v>PREP</v>
          </cell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 t="str">
            <v>ANIMATION</v>
          </cell>
          <cell r="G365">
            <v>0</v>
          </cell>
          <cell r="H365">
            <v>0</v>
          </cell>
          <cell r="I365" t="str">
            <v>INK &amp; PAINT</v>
          </cell>
          <cell r="J365">
            <v>0</v>
          </cell>
          <cell r="K365">
            <v>0</v>
          </cell>
          <cell r="L365" t="str">
            <v>ALPHA</v>
          </cell>
          <cell r="M365">
            <v>0</v>
          </cell>
          <cell r="N365" t="str">
            <v>BETA</v>
          </cell>
          <cell r="O365">
            <v>0</v>
          </cell>
          <cell r="P365" t="str">
            <v>RTM</v>
          </cell>
          <cell r="Q365">
            <v>0</v>
          </cell>
          <cell r="Y365">
            <v>7</v>
          </cell>
          <cell r="Z365">
            <v>49</v>
          </cell>
        </row>
        <row r="366">
          <cell r="A366" t="str">
            <v>PREP</v>
          </cell>
          <cell r="B366" t="str">
            <v>Days</v>
          </cell>
          <cell r="C366">
            <v>0</v>
          </cell>
          <cell r="D366">
            <v>0</v>
          </cell>
          <cell r="E366">
            <v>0</v>
          </cell>
          <cell r="F366" t="str">
            <v>ANIMATION</v>
          </cell>
          <cell r="G366" t="str">
            <v>Days</v>
          </cell>
          <cell r="H366" t="str">
            <v>Frames</v>
          </cell>
          <cell r="I366" t="str">
            <v>INK &amp; PAINT</v>
          </cell>
          <cell r="J366" t="str">
            <v>Days</v>
          </cell>
          <cell r="K366">
            <v>0</v>
          </cell>
          <cell r="L366" t="str">
            <v>ALPHA</v>
          </cell>
          <cell r="M366">
            <v>0</v>
          </cell>
          <cell r="N366" t="str">
            <v>BETA</v>
          </cell>
          <cell r="O366">
            <v>0</v>
          </cell>
          <cell r="P366" t="str">
            <v>RTM</v>
          </cell>
          <cell r="Q366">
            <v>0</v>
          </cell>
          <cell r="Y366">
            <v>7</v>
          </cell>
          <cell r="Z366">
            <v>49</v>
          </cell>
        </row>
        <row r="367">
          <cell r="A367" t="str">
            <v>Wks</v>
          </cell>
          <cell r="B367" t="str">
            <v>Days</v>
          </cell>
          <cell r="C367">
            <v>0</v>
          </cell>
          <cell r="D367">
            <v>0</v>
          </cell>
          <cell r="E367">
            <v>0</v>
          </cell>
          <cell r="F367" t="str">
            <v>Wks</v>
          </cell>
          <cell r="G367" t="str">
            <v>Days</v>
          </cell>
          <cell r="H367" t="str">
            <v>Frames</v>
          </cell>
          <cell r="I367" t="str">
            <v>Wks</v>
          </cell>
          <cell r="J367" t="str">
            <v>Days</v>
          </cell>
          <cell r="K367">
            <v>21</v>
          </cell>
          <cell r="L367">
            <v>0</v>
          </cell>
          <cell r="M367">
            <v>29</v>
          </cell>
          <cell r="N367">
            <v>0</v>
          </cell>
          <cell r="O367">
            <v>29</v>
          </cell>
          <cell r="P367">
            <v>0</v>
          </cell>
          <cell r="Q367">
            <v>29</v>
          </cell>
          <cell r="Y367">
            <v>7</v>
          </cell>
          <cell r="Z367">
            <v>49</v>
          </cell>
        </row>
        <row r="368">
          <cell r="A368">
            <v>5</v>
          </cell>
          <cell r="B368">
            <v>49</v>
          </cell>
          <cell r="C368">
            <v>0</v>
          </cell>
          <cell r="D368">
            <v>0</v>
          </cell>
          <cell r="E368">
            <v>0</v>
          </cell>
          <cell r="F368">
            <v>5</v>
          </cell>
          <cell r="G368">
            <v>49</v>
          </cell>
          <cell r="H368">
            <v>500</v>
          </cell>
          <cell r="I368">
            <v>5</v>
          </cell>
          <cell r="J368">
            <v>49</v>
          </cell>
          <cell r="K368">
            <v>21</v>
          </cell>
          <cell r="L368">
            <v>0</v>
          </cell>
          <cell r="M368">
            <v>29</v>
          </cell>
          <cell r="N368">
            <v>0</v>
          </cell>
          <cell r="O368">
            <v>29</v>
          </cell>
          <cell r="P368">
            <v>0</v>
          </cell>
          <cell r="Q368">
            <v>29</v>
          </cell>
          <cell r="Y368">
            <v>7</v>
          </cell>
          <cell r="Z368">
            <v>49</v>
          </cell>
        </row>
        <row r="378">
          <cell r="Y378">
            <v>7</v>
          </cell>
          <cell r="Z378">
            <v>49</v>
          </cell>
        </row>
        <row r="379">
          <cell r="Y379">
            <v>91</v>
          </cell>
          <cell r="Z379">
            <v>35</v>
          </cell>
        </row>
        <row r="380">
          <cell r="Y380">
            <v>91</v>
          </cell>
          <cell r="Z380">
            <v>35</v>
          </cell>
        </row>
        <row r="382">
          <cell r="Y382">
            <v>91</v>
          </cell>
          <cell r="Z382">
            <v>35</v>
          </cell>
        </row>
        <row r="383">
          <cell r="N383" t="str">
            <v>ENGINEERING</v>
          </cell>
          <cell r="O383">
            <v>0</v>
          </cell>
          <cell r="P383">
            <v>0</v>
          </cell>
          <cell r="Q383">
            <v>0</v>
          </cell>
          <cell r="Y383" t="str">
            <v>WK Count</v>
          </cell>
          <cell r="Z383" t="str">
            <v>Total Days</v>
          </cell>
        </row>
        <row r="384">
          <cell r="N384" t="str">
            <v>ENGINEERING</v>
          </cell>
          <cell r="O384">
            <v>0</v>
          </cell>
          <cell r="P384">
            <v>0</v>
          </cell>
          <cell r="Q384">
            <v>0</v>
          </cell>
          <cell r="Y384" t="str">
            <v>WK Count</v>
          </cell>
          <cell r="Z384" t="str">
            <v>Total Days</v>
          </cell>
        </row>
        <row r="385">
          <cell r="A385" t="str">
            <v>PREP</v>
          </cell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 t="str">
            <v>ANIMATION</v>
          </cell>
          <cell r="G385">
            <v>0</v>
          </cell>
          <cell r="H385">
            <v>0</v>
          </cell>
          <cell r="I385" t="str">
            <v>INK &amp; PAINT</v>
          </cell>
          <cell r="J385">
            <v>0</v>
          </cell>
          <cell r="K385">
            <v>0</v>
          </cell>
          <cell r="L385" t="str">
            <v>ALPHA</v>
          </cell>
          <cell r="M385">
            <v>0</v>
          </cell>
          <cell r="N385" t="str">
            <v>BETA</v>
          </cell>
          <cell r="O385">
            <v>0</v>
          </cell>
          <cell r="P385" t="str">
            <v>RTM</v>
          </cell>
          <cell r="Q385">
            <v>0</v>
          </cell>
          <cell r="Y385">
            <v>4</v>
          </cell>
          <cell r="Z385">
            <v>25.0642</v>
          </cell>
        </row>
        <row r="386">
          <cell r="A386" t="str">
            <v>PREP</v>
          </cell>
          <cell r="B386" t="str">
            <v>Days</v>
          </cell>
          <cell r="C386">
            <v>0</v>
          </cell>
          <cell r="D386">
            <v>0</v>
          </cell>
          <cell r="E386">
            <v>0</v>
          </cell>
          <cell r="F386" t="str">
            <v>ANIMATION</v>
          </cell>
          <cell r="G386" t="str">
            <v>Days</v>
          </cell>
          <cell r="H386" t="str">
            <v>Frames</v>
          </cell>
          <cell r="I386" t="str">
            <v>INK &amp; PAINT</v>
          </cell>
          <cell r="J386" t="str">
            <v>Days</v>
          </cell>
          <cell r="K386">
            <v>0</v>
          </cell>
          <cell r="L386" t="str">
            <v>ALPHA</v>
          </cell>
          <cell r="M386">
            <v>0</v>
          </cell>
          <cell r="N386" t="str">
            <v>BETA</v>
          </cell>
          <cell r="O386">
            <v>0</v>
          </cell>
          <cell r="P386" t="str">
            <v>RTM</v>
          </cell>
          <cell r="Q386">
            <v>0</v>
          </cell>
          <cell r="Y386">
            <v>4</v>
          </cell>
          <cell r="Z386">
            <v>25.0642</v>
          </cell>
        </row>
        <row r="387">
          <cell r="A387" t="str">
            <v>Wks</v>
          </cell>
          <cell r="B387" t="str">
            <v>Days</v>
          </cell>
          <cell r="C387">
            <v>0</v>
          </cell>
          <cell r="D387">
            <v>0</v>
          </cell>
          <cell r="E387">
            <v>0</v>
          </cell>
          <cell r="F387" t="str">
            <v>Wks</v>
          </cell>
          <cell r="G387" t="str">
            <v>Days</v>
          </cell>
          <cell r="H387" t="str">
            <v>Frames</v>
          </cell>
          <cell r="I387" t="str">
            <v>Wks</v>
          </cell>
          <cell r="J387" t="str">
            <v>Days</v>
          </cell>
          <cell r="K387">
            <v>21</v>
          </cell>
          <cell r="L387">
            <v>0</v>
          </cell>
          <cell r="M387">
            <v>29</v>
          </cell>
          <cell r="N387">
            <v>0</v>
          </cell>
          <cell r="O387">
            <v>29</v>
          </cell>
          <cell r="P387">
            <v>0</v>
          </cell>
          <cell r="Q387">
            <v>29</v>
          </cell>
          <cell r="Y387">
            <v>4</v>
          </cell>
          <cell r="Z387">
            <v>25.0642</v>
          </cell>
        </row>
        <row r="388">
          <cell r="A388">
            <v>1.5806</v>
          </cell>
          <cell r="B388">
            <v>25.0642</v>
          </cell>
          <cell r="C388">
            <v>0</v>
          </cell>
          <cell r="D388">
            <v>0</v>
          </cell>
          <cell r="E388">
            <v>0</v>
          </cell>
          <cell r="F388">
            <v>1.5806</v>
          </cell>
          <cell r="G388">
            <v>25.0642</v>
          </cell>
          <cell r="H388">
            <v>158.06</v>
          </cell>
          <cell r="I388">
            <v>1.5806</v>
          </cell>
          <cell r="J388">
            <v>25.0642</v>
          </cell>
          <cell r="K388">
            <v>21</v>
          </cell>
          <cell r="L388">
            <v>0</v>
          </cell>
          <cell r="M388">
            <v>29</v>
          </cell>
          <cell r="N388">
            <v>0</v>
          </cell>
          <cell r="O388">
            <v>29</v>
          </cell>
          <cell r="P388">
            <v>0</v>
          </cell>
          <cell r="Q388">
            <v>29</v>
          </cell>
          <cell r="Y388">
            <v>4</v>
          </cell>
          <cell r="Z388">
            <v>25.0642</v>
          </cell>
        </row>
        <row r="398">
          <cell r="Y398">
            <v>4</v>
          </cell>
          <cell r="Z398">
            <v>25.0642</v>
          </cell>
        </row>
        <row r="399">
          <cell r="Y399">
            <v>70</v>
          </cell>
          <cell r="Z399">
            <v>11.0642</v>
          </cell>
        </row>
        <row r="400">
          <cell r="Y400">
            <v>70</v>
          </cell>
          <cell r="Z400">
            <v>11.0642</v>
          </cell>
        </row>
        <row r="402">
          <cell r="Y402">
            <v>70</v>
          </cell>
          <cell r="Z402">
            <v>11.0642</v>
          </cell>
        </row>
        <row r="403">
          <cell r="N403" t="str">
            <v>ENGINEERING</v>
          </cell>
          <cell r="O403">
            <v>0</v>
          </cell>
          <cell r="P403">
            <v>0</v>
          </cell>
          <cell r="Q403">
            <v>0</v>
          </cell>
          <cell r="Y403" t="str">
            <v>WK Count</v>
          </cell>
          <cell r="Z403" t="str">
            <v>Total Days</v>
          </cell>
        </row>
        <row r="404">
          <cell r="N404" t="str">
            <v>ENGINEERING</v>
          </cell>
          <cell r="O404">
            <v>0</v>
          </cell>
          <cell r="P404">
            <v>0</v>
          </cell>
          <cell r="Q404">
            <v>0</v>
          </cell>
          <cell r="Y404" t="str">
            <v>WK Count</v>
          </cell>
          <cell r="Z404" t="str">
            <v>Total Days</v>
          </cell>
        </row>
        <row r="405">
          <cell r="A405" t="str">
            <v>PREP</v>
          </cell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 t="str">
            <v>ANIMATION</v>
          </cell>
          <cell r="G405">
            <v>0</v>
          </cell>
          <cell r="H405">
            <v>0</v>
          </cell>
          <cell r="I405" t="str">
            <v>INK &amp; PAINT</v>
          </cell>
          <cell r="J405">
            <v>0</v>
          </cell>
          <cell r="K405">
            <v>0</v>
          </cell>
          <cell r="L405" t="str">
            <v>ALPHA</v>
          </cell>
          <cell r="M405">
            <v>0</v>
          </cell>
          <cell r="N405" t="str">
            <v>BETA</v>
          </cell>
          <cell r="O405">
            <v>0</v>
          </cell>
          <cell r="P405" t="str">
            <v>RTM</v>
          </cell>
          <cell r="Q405">
            <v>0</v>
          </cell>
          <cell r="Y405">
            <v>7</v>
          </cell>
          <cell r="Z405">
            <v>49</v>
          </cell>
        </row>
        <row r="406">
          <cell r="A406" t="str">
            <v>PREP</v>
          </cell>
          <cell r="B406" t="str">
            <v>Days</v>
          </cell>
          <cell r="C406">
            <v>0</v>
          </cell>
          <cell r="D406">
            <v>0</v>
          </cell>
          <cell r="E406">
            <v>0</v>
          </cell>
          <cell r="F406" t="str">
            <v>ANIMATION</v>
          </cell>
          <cell r="G406" t="str">
            <v>Days</v>
          </cell>
          <cell r="H406" t="str">
            <v>Frames</v>
          </cell>
          <cell r="I406" t="str">
            <v>INK &amp; PAINT</v>
          </cell>
          <cell r="J406" t="str">
            <v>Days</v>
          </cell>
          <cell r="K406">
            <v>0</v>
          </cell>
          <cell r="L406" t="str">
            <v>ALPHA</v>
          </cell>
          <cell r="M406">
            <v>0</v>
          </cell>
          <cell r="N406" t="str">
            <v>BETA</v>
          </cell>
          <cell r="O406">
            <v>0</v>
          </cell>
          <cell r="P406" t="str">
            <v>RTM</v>
          </cell>
          <cell r="Q406">
            <v>0</v>
          </cell>
          <cell r="Y406">
            <v>7</v>
          </cell>
          <cell r="Z406">
            <v>49</v>
          </cell>
        </row>
        <row r="407">
          <cell r="A407" t="str">
            <v>Wks</v>
          </cell>
          <cell r="B407" t="str">
            <v>Days</v>
          </cell>
          <cell r="C407">
            <v>0</v>
          </cell>
          <cell r="D407">
            <v>0</v>
          </cell>
          <cell r="E407">
            <v>0</v>
          </cell>
          <cell r="F407" t="str">
            <v>Wks</v>
          </cell>
          <cell r="G407" t="str">
            <v>Days</v>
          </cell>
          <cell r="H407" t="str">
            <v>Frames</v>
          </cell>
          <cell r="I407" t="str">
            <v>Wks</v>
          </cell>
          <cell r="J407" t="str">
            <v>Days</v>
          </cell>
          <cell r="K407">
            <v>21</v>
          </cell>
          <cell r="L407">
            <v>0</v>
          </cell>
          <cell r="M407">
            <v>29</v>
          </cell>
          <cell r="N407">
            <v>0</v>
          </cell>
          <cell r="O407">
            <v>29</v>
          </cell>
          <cell r="P407">
            <v>0</v>
          </cell>
          <cell r="Q407">
            <v>29</v>
          </cell>
          <cell r="Y407">
            <v>7</v>
          </cell>
          <cell r="Z407">
            <v>49</v>
          </cell>
        </row>
        <row r="408">
          <cell r="A408">
            <v>5</v>
          </cell>
          <cell r="B408">
            <v>49</v>
          </cell>
          <cell r="C408">
            <v>0</v>
          </cell>
          <cell r="D408">
            <v>0</v>
          </cell>
          <cell r="E408">
            <v>0</v>
          </cell>
          <cell r="F408">
            <v>5</v>
          </cell>
          <cell r="G408">
            <v>49</v>
          </cell>
          <cell r="H408">
            <v>500</v>
          </cell>
          <cell r="I408">
            <v>5</v>
          </cell>
          <cell r="J408">
            <v>49</v>
          </cell>
          <cell r="K408">
            <v>21</v>
          </cell>
          <cell r="L408">
            <v>0</v>
          </cell>
          <cell r="M408">
            <v>29</v>
          </cell>
          <cell r="N408">
            <v>0</v>
          </cell>
          <cell r="O408">
            <v>29</v>
          </cell>
          <cell r="P408">
            <v>0</v>
          </cell>
          <cell r="Q408">
            <v>29</v>
          </cell>
          <cell r="Y408">
            <v>7</v>
          </cell>
          <cell r="Z408">
            <v>49</v>
          </cell>
        </row>
        <row r="418">
          <cell r="Y418">
            <v>7</v>
          </cell>
          <cell r="Z418">
            <v>49</v>
          </cell>
        </row>
        <row r="419">
          <cell r="Y419">
            <v>91</v>
          </cell>
          <cell r="Z419">
            <v>35</v>
          </cell>
        </row>
        <row r="420">
          <cell r="Y420">
            <v>91</v>
          </cell>
          <cell r="Z420">
            <v>35</v>
          </cell>
        </row>
        <row r="422">
          <cell r="Y422">
            <v>91</v>
          </cell>
          <cell r="Z422">
            <v>35</v>
          </cell>
        </row>
        <row r="423">
          <cell r="N423" t="str">
            <v>ENGINEERING</v>
          </cell>
          <cell r="O423">
            <v>0</v>
          </cell>
          <cell r="P423">
            <v>0</v>
          </cell>
          <cell r="Q423">
            <v>0</v>
          </cell>
          <cell r="Y423" t="str">
            <v>WK Count</v>
          </cell>
          <cell r="Z423" t="str">
            <v>Total Days</v>
          </cell>
        </row>
        <row r="424">
          <cell r="N424" t="str">
            <v>ENGINEERING</v>
          </cell>
          <cell r="O424">
            <v>0</v>
          </cell>
          <cell r="P424">
            <v>0</v>
          </cell>
          <cell r="Q424">
            <v>0</v>
          </cell>
          <cell r="Y424" t="str">
            <v>WK Count</v>
          </cell>
          <cell r="Z424" t="str">
            <v>Total Days</v>
          </cell>
        </row>
        <row r="425">
          <cell r="A425" t="str">
            <v>PREP</v>
          </cell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 t="str">
            <v>ANIMATION</v>
          </cell>
          <cell r="G425">
            <v>0</v>
          </cell>
          <cell r="H425">
            <v>0</v>
          </cell>
          <cell r="I425" t="str">
            <v>INK &amp; PAINT</v>
          </cell>
          <cell r="J425">
            <v>0</v>
          </cell>
          <cell r="K425">
            <v>0</v>
          </cell>
          <cell r="L425" t="str">
            <v>ALPHA</v>
          </cell>
          <cell r="M425">
            <v>0</v>
          </cell>
          <cell r="N425" t="str">
            <v>BETA</v>
          </cell>
          <cell r="O425">
            <v>0</v>
          </cell>
          <cell r="P425" t="str">
            <v>RTM</v>
          </cell>
          <cell r="Q425">
            <v>0</v>
          </cell>
          <cell r="Y425">
            <v>4</v>
          </cell>
          <cell r="Z425">
            <v>25.0642</v>
          </cell>
        </row>
        <row r="426">
          <cell r="A426" t="str">
            <v>PREP</v>
          </cell>
          <cell r="B426" t="str">
            <v>Days</v>
          </cell>
          <cell r="C426">
            <v>0</v>
          </cell>
          <cell r="D426">
            <v>0</v>
          </cell>
          <cell r="E426">
            <v>0</v>
          </cell>
          <cell r="F426" t="str">
            <v>ANIMATION</v>
          </cell>
          <cell r="G426" t="str">
            <v>Days</v>
          </cell>
          <cell r="H426" t="str">
            <v>Frames</v>
          </cell>
          <cell r="I426" t="str">
            <v>INK &amp; PAINT</v>
          </cell>
          <cell r="J426" t="str">
            <v>Days</v>
          </cell>
          <cell r="K426">
            <v>0</v>
          </cell>
          <cell r="L426" t="str">
            <v>ALPHA</v>
          </cell>
          <cell r="M426">
            <v>0</v>
          </cell>
          <cell r="N426" t="str">
            <v>BETA</v>
          </cell>
          <cell r="O426">
            <v>0</v>
          </cell>
          <cell r="P426" t="str">
            <v>RTM</v>
          </cell>
          <cell r="Q426">
            <v>0</v>
          </cell>
          <cell r="Y426">
            <v>4</v>
          </cell>
          <cell r="Z426">
            <v>25.0642</v>
          </cell>
        </row>
        <row r="427">
          <cell r="A427" t="str">
            <v>Wks</v>
          </cell>
          <cell r="B427" t="str">
            <v>Days</v>
          </cell>
          <cell r="C427">
            <v>0</v>
          </cell>
          <cell r="D427">
            <v>0</v>
          </cell>
          <cell r="E427">
            <v>0</v>
          </cell>
          <cell r="F427" t="str">
            <v>Wks</v>
          </cell>
          <cell r="G427" t="str">
            <v>Days</v>
          </cell>
          <cell r="H427" t="str">
            <v>Frames</v>
          </cell>
          <cell r="I427" t="str">
            <v>Wks</v>
          </cell>
          <cell r="J427" t="str">
            <v>Days</v>
          </cell>
          <cell r="K427">
            <v>21</v>
          </cell>
          <cell r="L427">
            <v>0</v>
          </cell>
          <cell r="M427">
            <v>29</v>
          </cell>
          <cell r="N427">
            <v>0</v>
          </cell>
          <cell r="O427">
            <v>29</v>
          </cell>
          <cell r="P427">
            <v>0</v>
          </cell>
          <cell r="Q427">
            <v>29</v>
          </cell>
          <cell r="Y427">
            <v>4</v>
          </cell>
          <cell r="Z427">
            <v>25.0642</v>
          </cell>
        </row>
        <row r="428">
          <cell r="A428">
            <v>1.5806</v>
          </cell>
          <cell r="B428">
            <v>25.0642</v>
          </cell>
          <cell r="C428">
            <v>0</v>
          </cell>
          <cell r="D428">
            <v>0</v>
          </cell>
          <cell r="E428">
            <v>0</v>
          </cell>
          <cell r="F428">
            <v>1.5806</v>
          </cell>
          <cell r="G428">
            <v>25.0642</v>
          </cell>
          <cell r="H428">
            <v>158.06</v>
          </cell>
          <cell r="I428">
            <v>1.5806</v>
          </cell>
          <cell r="J428">
            <v>25.0642</v>
          </cell>
          <cell r="K428">
            <v>21</v>
          </cell>
          <cell r="L428">
            <v>0</v>
          </cell>
          <cell r="M428">
            <v>29</v>
          </cell>
          <cell r="N428">
            <v>0</v>
          </cell>
          <cell r="O428">
            <v>29</v>
          </cell>
          <cell r="P428">
            <v>0</v>
          </cell>
          <cell r="Q428">
            <v>29</v>
          </cell>
          <cell r="Y428">
            <v>4</v>
          </cell>
          <cell r="Z428">
            <v>25.0642</v>
          </cell>
        </row>
        <row r="438">
          <cell r="Y438">
            <v>4</v>
          </cell>
          <cell r="Z438">
            <v>25.0642</v>
          </cell>
        </row>
        <row r="439">
          <cell r="Y439">
            <v>70</v>
          </cell>
          <cell r="Z439">
            <v>11.0642</v>
          </cell>
        </row>
        <row r="440">
          <cell r="Y440">
            <v>70</v>
          </cell>
          <cell r="Z440">
            <v>11.0642</v>
          </cell>
        </row>
        <row r="442">
          <cell r="Y442">
            <v>70</v>
          </cell>
          <cell r="Z442">
            <v>11.0642</v>
          </cell>
        </row>
        <row r="443">
          <cell r="N443" t="str">
            <v>ENGINEERING</v>
          </cell>
          <cell r="O443">
            <v>0</v>
          </cell>
          <cell r="P443">
            <v>0</v>
          </cell>
          <cell r="Q443">
            <v>0</v>
          </cell>
          <cell r="Y443" t="str">
            <v>WK Count</v>
          </cell>
          <cell r="Z443" t="str">
            <v>Total Days</v>
          </cell>
        </row>
        <row r="444">
          <cell r="N444" t="str">
            <v>ENGINEERING</v>
          </cell>
          <cell r="O444">
            <v>0</v>
          </cell>
          <cell r="P444">
            <v>0</v>
          </cell>
          <cell r="Q444">
            <v>0</v>
          </cell>
          <cell r="Y444" t="str">
            <v>WK Count</v>
          </cell>
          <cell r="Z444" t="str">
            <v>Total Days</v>
          </cell>
        </row>
        <row r="445">
          <cell r="A445" t="str">
            <v>PREP</v>
          </cell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 t="str">
            <v>ANIMATION</v>
          </cell>
          <cell r="G445">
            <v>0</v>
          </cell>
          <cell r="H445">
            <v>0</v>
          </cell>
          <cell r="I445" t="str">
            <v>INK &amp; PAINT</v>
          </cell>
          <cell r="J445">
            <v>0</v>
          </cell>
          <cell r="K445">
            <v>0</v>
          </cell>
          <cell r="L445" t="str">
            <v>ALPHA</v>
          </cell>
          <cell r="M445">
            <v>0</v>
          </cell>
          <cell r="N445" t="str">
            <v>BETA</v>
          </cell>
          <cell r="O445">
            <v>0</v>
          </cell>
          <cell r="P445" t="str">
            <v>RTM</v>
          </cell>
          <cell r="Q445">
            <v>0</v>
          </cell>
          <cell r="Y445">
            <v>4</v>
          </cell>
          <cell r="Z445">
            <v>32.440100000000001</v>
          </cell>
        </row>
        <row r="446">
          <cell r="A446" t="str">
            <v>PREP</v>
          </cell>
          <cell r="B446" t="str">
            <v>Days</v>
          </cell>
          <cell r="C446">
            <v>0</v>
          </cell>
          <cell r="D446">
            <v>0</v>
          </cell>
          <cell r="E446">
            <v>0</v>
          </cell>
          <cell r="F446" t="str">
            <v>ANIMATION</v>
          </cell>
          <cell r="G446" t="str">
            <v>Days</v>
          </cell>
          <cell r="H446" t="str">
            <v>Frames</v>
          </cell>
          <cell r="I446" t="str">
            <v>INK &amp; PAINT</v>
          </cell>
          <cell r="J446" t="str">
            <v>Days</v>
          </cell>
          <cell r="K446">
            <v>0</v>
          </cell>
          <cell r="L446" t="str">
            <v>ALPHA</v>
          </cell>
          <cell r="M446">
            <v>0</v>
          </cell>
          <cell r="N446" t="str">
            <v>BETA</v>
          </cell>
          <cell r="O446">
            <v>0</v>
          </cell>
          <cell r="P446" t="str">
            <v>RTM</v>
          </cell>
          <cell r="Q446">
            <v>0</v>
          </cell>
          <cell r="Y446">
            <v>4</v>
          </cell>
          <cell r="Z446">
            <v>32.440100000000001</v>
          </cell>
        </row>
        <row r="447">
          <cell r="A447" t="str">
            <v>Wks</v>
          </cell>
          <cell r="B447" t="str">
            <v>Days</v>
          </cell>
          <cell r="C447">
            <v>0</v>
          </cell>
          <cell r="D447">
            <v>0</v>
          </cell>
          <cell r="E447">
            <v>0</v>
          </cell>
          <cell r="F447" t="str">
            <v>Wks</v>
          </cell>
          <cell r="G447" t="str">
            <v>Days</v>
          </cell>
          <cell r="H447" t="str">
            <v>Frames</v>
          </cell>
          <cell r="I447" t="str">
            <v>Wks</v>
          </cell>
          <cell r="J447" t="str">
            <v>Days</v>
          </cell>
          <cell r="K447">
            <v>21</v>
          </cell>
          <cell r="L447">
            <v>0</v>
          </cell>
          <cell r="M447">
            <v>29</v>
          </cell>
          <cell r="N447">
            <v>0</v>
          </cell>
          <cell r="O447">
            <v>29</v>
          </cell>
          <cell r="P447">
            <v>0</v>
          </cell>
          <cell r="Q447">
            <v>29</v>
          </cell>
          <cell r="Y447">
            <v>4</v>
          </cell>
          <cell r="Z447">
            <v>32.440100000000001</v>
          </cell>
        </row>
        <row r="448">
          <cell r="A448">
            <v>2.6343000000000001</v>
          </cell>
          <cell r="B448">
            <v>32.440100000000001</v>
          </cell>
          <cell r="C448">
            <v>0</v>
          </cell>
          <cell r="D448">
            <v>0</v>
          </cell>
          <cell r="E448">
            <v>0</v>
          </cell>
          <cell r="F448">
            <v>2.6343000000000001</v>
          </cell>
          <cell r="G448">
            <v>32.440100000000001</v>
          </cell>
          <cell r="H448">
            <v>263.43</v>
          </cell>
          <cell r="I448">
            <v>2.6343000000000001</v>
          </cell>
          <cell r="J448">
            <v>32.440100000000001</v>
          </cell>
          <cell r="K448">
            <v>21</v>
          </cell>
          <cell r="L448">
            <v>0</v>
          </cell>
          <cell r="M448">
            <v>29</v>
          </cell>
          <cell r="N448">
            <v>0</v>
          </cell>
          <cell r="O448">
            <v>29</v>
          </cell>
          <cell r="P448">
            <v>0</v>
          </cell>
          <cell r="Q448">
            <v>29</v>
          </cell>
          <cell r="Y448">
            <v>4</v>
          </cell>
          <cell r="Z448">
            <v>32.440100000000001</v>
          </cell>
        </row>
        <row r="458">
          <cell r="Y458">
            <v>4</v>
          </cell>
          <cell r="Z458">
            <v>32.440100000000001</v>
          </cell>
        </row>
        <row r="459">
          <cell r="Y459">
            <v>70</v>
          </cell>
          <cell r="Z459">
            <v>18.440100000000001</v>
          </cell>
        </row>
        <row r="460">
          <cell r="Y460">
            <v>70</v>
          </cell>
          <cell r="Z460">
            <v>18.440100000000001</v>
          </cell>
        </row>
        <row r="462">
          <cell r="Y462">
            <v>70</v>
          </cell>
          <cell r="Z462">
            <v>18.440100000000001</v>
          </cell>
        </row>
        <row r="463">
          <cell r="N463" t="str">
            <v>ENGINEERING</v>
          </cell>
          <cell r="O463">
            <v>0</v>
          </cell>
          <cell r="P463">
            <v>0</v>
          </cell>
          <cell r="Q463">
            <v>0</v>
          </cell>
          <cell r="Y463" t="str">
            <v>WK Count</v>
          </cell>
          <cell r="Z463" t="str">
            <v>Total Days</v>
          </cell>
        </row>
        <row r="464">
          <cell r="N464" t="str">
            <v>ENGINEERING</v>
          </cell>
          <cell r="O464">
            <v>0</v>
          </cell>
          <cell r="P464">
            <v>0</v>
          </cell>
          <cell r="Q464">
            <v>0</v>
          </cell>
          <cell r="Y464" t="str">
            <v>WK Count</v>
          </cell>
          <cell r="Z464" t="str">
            <v>Total Days</v>
          </cell>
        </row>
        <row r="465">
          <cell r="A465" t="str">
            <v>PREP</v>
          </cell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 t="str">
            <v>ANIMATION</v>
          </cell>
          <cell r="G465">
            <v>0</v>
          </cell>
          <cell r="H465">
            <v>0</v>
          </cell>
          <cell r="I465" t="str">
            <v>INK &amp; PAINT</v>
          </cell>
          <cell r="J465">
            <v>0</v>
          </cell>
          <cell r="K465">
            <v>0</v>
          </cell>
          <cell r="L465" t="str">
            <v>ALPHA</v>
          </cell>
          <cell r="M465">
            <v>0</v>
          </cell>
          <cell r="N465" t="str">
            <v>BETA</v>
          </cell>
          <cell r="O465">
            <v>0</v>
          </cell>
          <cell r="P465" t="str">
            <v>RTM</v>
          </cell>
          <cell r="Q465">
            <v>0</v>
          </cell>
          <cell r="Y465">
            <v>3</v>
          </cell>
          <cell r="Z465">
            <v>25.0642</v>
          </cell>
        </row>
        <row r="466">
          <cell r="A466" t="str">
            <v>PREP</v>
          </cell>
          <cell r="B466" t="str">
            <v>Days</v>
          </cell>
          <cell r="C466">
            <v>0</v>
          </cell>
          <cell r="D466">
            <v>0</v>
          </cell>
          <cell r="E466">
            <v>0</v>
          </cell>
          <cell r="F466" t="str">
            <v>ANIMATION</v>
          </cell>
          <cell r="G466" t="str">
            <v>Days</v>
          </cell>
          <cell r="H466" t="str">
            <v>Frames</v>
          </cell>
          <cell r="I466" t="str">
            <v>INK &amp; PAINT</v>
          </cell>
          <cell r="J466" t="str">
            <v>Days</v>
          </cell>
          <cell r="K466">
            <v>0</v>
          </cell>
          <cell r="L466" t="str">
            <v>ALPHA</v>
          </cell>
          <cell r="M466">
            <v>0</v>
          </cell>
          <cell r="N466" t="str">
            <v>BETA</v>
          </cell>
          <cell r="O466">
            <v>0</v>
          </cell>
          <cell r="P466" t="str">
            <v>RTM</v>
          </cell>
          <cell r="Q466">
            <v>0</v>
          </cell>
          <cell r="Y466">
            <v>3</v>
          </cell>
          <cell r="Z466">
            <v>25.0642</v>
          </cell>
        </row>
        <row r="467">
          <cell r="A467" t="str">
            <v>Wks</v>
          </cell>
          <cell r="B467" t="str">
            <v>Days</v>
          </cell>
          <cell r="C467">
            <v>0</v>
          </cell>
          <cell r="D467">
            <v>0</v>
          </cell>
          <cell r="E467">
            <v>0</v>
          </cell>
          <cell r="F467" t="str">
            <v>Wks</v>
          </cell>
          <cell r="G467" t="str">
            <v>Days</v>
          </cell>
          <cell r="H467" t="str">
            <v>Frames</v>
          </cell>
          <cell r="I467" t="str">
            <v>Wks</v>
          </cell>
          <cell r="J467" t="str">
            <v>Days</v>
          </cell>
          <cell r="K467">
            <v>21</v>
          </cell>
          <cell r="L467">
            <v>0</v>
          </cell>
          <cell r="M467">
            <v>29</v>
          </cell>
          <cell r="N467">
            <v>0</v>
          </cell>
          <cell r="O467">
            <v>29</v>
          </cell>
          <cell r="P467">
            <v>0</v>
          </cell>
          <cell r="Q467">
            <v>29</v>
          </cell>
          <cell r="Y467">
            <v>3</v>
          </cell>
          <cell r="Z467">
            <v>25.0642</v>
          </cell>
        </row>
        <row r="468">
          <cell r="A468">
            <v>1.5806</v>
          </cell>
          <cell r="B468">
            <v>25.0642</v>
          </cell>
          <cell r="C468">
            <v>0</v>
          </cell>
          <cell r="D468">
            <v>0</v>
          </cell>
          <cell r="E468">
            <v>0</v>
          </cell>
          <cell r="F468">
            <v>1.5806</v>
          </cell>
          <cell r="G468">
            <v>25.0642</v>
          </cell>
          <cell r="H468">
            <v>158.06</v>
          </cell>
          <cell r="I468">
            <v>1.5806</v>
          </cell>
          <cell r="J468">
            <v>25.0642</v>
          </cell>
          <cell r="K468">
            <v>21</v>
          </cell>
          <cell r="L468">
            <v>0</v>
          </cell>
          <cell r="M468">
            <v>29</v>
          </cell>
          <cell r="N468">
            <v>0</v>
          </cell>
          <cell r="O468">
            <v>29</v>
          </cell>
          <cell r="P468">
            <v>0</v>
          </cell>
          <cell r="Q468">
            <v>29</v>
          </cell>
          <cell r="Y468">
            <v>3</v>
          </cell>
          <cell r="Z468">
            <v>25.0642</v>
          </cell>
        </row>
        <row r="478">
          <cell r="Y478">
            <v>3</v>
          </cell>
          <cell r="Z478">
            <v>25.0642</v>
          </cell>
        </row>
        <row r="479">
          <cell r="Y479">
            <v>63</v>
          </cell>
          <cell r="Z479">
            <v>11.0642</v>
          </cell>
        </row>
        <row r="480">
          <cell r="Y480">
            <v>63</v>
          </cell>
          <cell r="Z480">
            <v>11.0642</v>
          </cell>
        </row>
        <row r="482">
          <cell r="Y482">
            <v>63</v>
          </cell>
          <cell r="Z482">
            <v>11.0642</v>
          </cell>
        </row>
        <row r="483">
          <cell r="N483" t="str">
            <v>ENGINEERING</v>
          </cell>
          <cell r="O483">
            <v>0</v>
          </cell>
          <cell r="P483">
            <v>0</v>
          </cell>
          <cell r="Q483">
            <v>0</v>
          </cell>
          <cell r="Y483" t="str">
            <v>WK Count</v>
          </cell>
          <cell r="Z483" t="str">
            <v>Total Days</v>
          </cell>
        </row>
        <row r="484">
          <cell r="N484" t="str">
            <v>ENGINEERING</v>
          </cell>
          <cell r="O484">
            <v>0</v>
          </cell>
          <cell r="P484">
            <v>0</v>
          </cell>
          <cell r="Q484">
            <v>0</v>
          </cell>
          <cell r="Y484" t="str">
            <v>WK Count</v>
          </cell>
          <cell r="Z484" t="str">
            <v>Total Days</v>
          </cell>
        </row>
        <row r="485">
          <cell r="A485" t="str">
            <v>PREP</v>
          </cell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 t="str">
            <v>ANIMATION</v>
          </cell>
          <cell r="G485">
            <v>0</v>
          </cell>
          <cell r="H485">
            <v>0</v>
          </cell>
          <cell r="I485" t="str">
            <v>INK &amp; PAINT</v>
          </cell>
          <cell r="J485">
            <v>0</v>
          </cell>
          <cell r="K485">
            <v>0</v>
          </cell>
          <cell r="L485" t="str">
            <v>ALPHA</v>
          </cell>
          <cell r="M485">
            <v>0</v>
          </cell>
          <cell r="N485" t="str">
            <v>BETA</v>
          </cell>
          <cell r="O485">
            <v>0</v>
          </cell>
          <cell r="P485" t="str">
            <v>RTM</v>
          </cell>
          <cell r="Q485">
            <v>0</v>
          </cell>
          <cell r="Y485">
            <v>7</v>
          </cell>
          <cell r="Z485">
            <v>46.393619999999999</v>
          </cell>
        </row>
        <row r="486">
          <cell r="A486" t="str">
            <v>PREP</v>
          </cell>
          <cell r="B486" t="str">
            <v>Days</v>
          </cell>
          <cell r="C486">
            <v>0</v>
          </cell>
          <cell r="D486">
            <v>0</v>
          </cell>
          <cell r="E486">
            <v>0</v>
          </cell>
          <cell r="F486" t="str">
            <v>ANIMATION</v>
          </cell>
          <cell r="G486" t="str">
            <v>Days</v>
          </cell>
          <cell r="H486" t="str">
            <v>Frames</v>
          </cell>
          <cell r="I486" t="str">
            <v>INK &amp; PAINT</v>
          </cell>
          <cell r="J486" t="str">
            <v>Days</v>
          </cell>
          <cell r="K486">
            <v>0</v>
          </cell>
          <cell r="L486" t="str">
            <v>ALPHA</v>
          </cell>
          <cell r="M486">
            <v>0</v>
          </cell>
          <cell r="N486" t="str">
            <v>BETA</v>
          </cell>
          <cell r="O486">
            <v>0</v>
          </cell>
          <cell r="P486" t="str">
            <v>RTM</v>
          </cell>
          <cell r="Q486">
            <v>0</v>
          </cell>
          <cell r="Y486">
            <v>7</v>
          </cell>
          <cell r="Z486">
            <v>46.393619999999999</v>
          </cell>
        </row>
        <row r="487">
          <cell r="A487" t="str">
            <v>Wks</v>
          </cell>
          <cell r="B487" t="str">
            <v>Days</v>
          </cell>
          <cell r="C487">
            <v>0</v>
          </cell>
          <cell r="D487">
            <v>0</v>
          </cell>
          <cell r="E487">
            <v>0</v>
          </cell>
          <cell r="F487" t="str">
            <v>Wks</v>
          </cell>
          <cell r="G487" t="str">
            <v>Days</v>
          </cell>
          <cell r="H487" t="str">
            <v>Frames</v>
          </cell>
          <cell r="I487" t="str">
            <v>Wks</v>
          </cell>
          <cell r="J487" t="str">
            <v>Days</v>
          </cell>
          <cell r="K487">
            <v>21</v>
          </cell>
          <cell r="L487">
            <v>0</v>
          </cell>
          <cell r="M487">
            <v>29</v>
          </cell>
          <cell r="N487">
            <v>0</v>
          </cell>
          <cell r="O487">
            <v>29</v>
          </cell>
          <cell r="P487">
            <v>0</v>
          </cell>
          <cell r="Q487">
            <v>29</v>
          </cell>
          <cell r="Y487">
            <v>9</v>
          </cell>
          <cell r="Z487">
            <v>62.393619999999999</v>
          </cell>
        </row>
        <row r="488">
          <cell r="A488">
            <v>4.6276599999999997</v>
          </cell>
          <cell r="B488">
            <v>46.393619999999999</v>
          </cell>
          <cell r="C488">
            <v>0</v>
          </cell>
          <cell r="D488">
            <v>0</v>
          </cell>
          <cell r="E488">
            <v>0</v>
          </cell>
          <cell r="F488">
            <v>4.6276599999999997</v>
          </cell>
          <cell r="G488">
            <v>62.393619999999999</v>
          </cell>
          <cell r="H488">
            <v>2313.83</v>
          </cell>
          <cell r="I488">
            <v>4.6276599999999997</v>
          </cell>
          <cell r="J488">
            <v>46.393619999999999</v>
          </cell>
          <cell r="K488">
            <v>21</v>
          </cell>
          <cell r="L488">
            <v>0</v>
          </cell>
          <cell r="M488">
            <v>29</v>
          </cell>
          <cell r="N488">
            <v>0</v>
          </cell>
          <cell r="O488">
            <v>29</v>
          </cell>
          <cell r="P488">
            <v>0</v>
          </cell>
          <cell r="Q488">
            <v>29</v>
          </cell>
          <cell r="Y488">
            <v>6</v>
          </cell>
          <cell r="Z488">
            <v>46.393619999999999</v>
          </cell>
        </row>
        <row r="499">
          <cell r="Y499">
            <v>6</v>
          </cell>
          <cell r="Z499">
            <v>46.393619999999999</v>
          </cell>
        </row>
        <row r="500">
          <cell r="Y500">
            <v>105</v>
          </cell>
          <cell r="Z500">
            <v>32.393619999999999</v>
          </cell>
        </row>
        <row r="501">
          <cell r="Y501">
            <v>105</v>
          </cell>
          <cell r="Z501">
            <v>32.393619999999999</v>
          </cell>
        </row>
        <row r="503">
          <cell r="Y503">
            <v>105</v>
          </cell>
          <cell r="Z503">
            <v>32.393619999999999</v>
          </cell>
        </row>
        <row r="504">
          <cell r="N504" t="str">
            <v>ENGINEERING</v>
          </cell>
          <cell r="O504">
            <v>0</v>
          </cell>
          <cell r="P504">
            <v>0</v>
          </cell>
          <cell r="Q504">
            <v>0</v>
          </cell>
          <cell r="Y504" t="str">
            <v>WK Count</v>
          </cell>
          <cell r="Z504" t="str">
            <v>Total Days</v>
          </cell>
        </row>
        <row r="505">
          <cell r="N505" t="str">
            <v>ENGINEERING</v>
          </cell>
          <cell r="O505">
            <v>0</v>
          </cell>
          <cell r="P505">
            <v>0</v>
          </cell>
          <cell r="Q505">
            <v>0</v>
          </cell>
          <cell r="Y505" t="str">
            <v>WK Count</v>
          </cell>
          <cell r="Z505" t="str">
            <v>Total Days</v>
          </cell>
        </row>
        <row r="506">
          <cell r="A506" t="str">
            <v>PREP</v>
          </cell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 t="str">
            <v>ANIMATION</v>
          </cell>
          <cell r="G506">
            <v>0</v>
          </cell>
          <cell r="H506">
            <v>0</v>
          </cell>
          <cell r="I506" t="str">
            <v>INK &amp; PAINT</v>
          </cell>
          <cell r="J506">
            <v>0</v>
          </cell>
          <cell r="K506">
            <v>0</v>
          </cell>
          <cell r="L506" t="str">
            <v>ALPHA</v>
          </cell>
          <cell r="M506">
            <v>0</v>
          </cell>
          <cell r="N506" t="str">
            <v>BETA</v>
          </cell>
          <cell r="O506">
            <v>0</v>
          </cell>
          <cell r="P506" t="str">
            <v>RTM</v>
          </cell>
          <cell r="Q506">
            <v>0</v>
          </cell>
          <cell r="Y506">
            <v>25</v>
          </cell>
          <cell r="Z506">
            <v>175.96809999999999</v>
          </cell>
        </row>
        <row r="507">
          <cell r="A507" t="str">
            <v>PREP</v>
          </cell>
          <cell r="B507" t="str">
            <v>Days</v>
          </cell>
          <cell r="C507">
            <v>0</v>
          </cell>
          <cell r="D507">
            <v>0</v>
          </cell>
          <cell r="E507">
            <v>0</v>
          </cell>
          <cell r="F507" t="str">
            <v>ANIMATION</v>
          </cell>
          <cell r="G507" t="str">
            <v>Days</v>
          </cell>
          <cell r="H507" t="str">
            <v>Frames</v>
          </cell>
          <cell r="I507" t="str">
            <v>INK &amp; PAINT</v>
          </cell>
          <cell r="J507" t="str">
            <v>Days</v>
          </cell>
          <cell r="K507">
            <v>0</v>
          </cell>
          <cell r="L507" t="str">
            <v>ALPHA</v>
          </cell>
          <cell r="M507">
            <v>0</v>
          </cell>
          <cell r="N507" t="str">
            <v>BETA</v>
          </cell>
          <cell r="O507">
            <v>0</v>
          </cell>
          <cell r="P507" t="str">
            <v>RTM</v>
          </cell>
          <cell r="Q507">
            <v>0</v>
          </cell>
          <cell r="Y507">
            <v>25</v>
          </cell>
          <cell r="Z507">
            <v>175.96809999999999</v>
          </cell>
        </row>
        <row r="508">
          <cell r="A508" t="str">
            <v>Wks</v>
          </cell>
          <cell r="B508" t="str">
            <v>Days</v>
          </cell>
          <cell r="C508">
            <v>0</v>
          </cell>
          <cell r="D508">
            <v>0</v>
          </cell>
          <cell r="E508">
            <v>0</v>
          </cell>
          <cell r="F508" t="str">
            <v>Wks</v>
          </cell>
          <cell r="G508" t="str">
            <v>Days</v>
          </cell>
          <cell r="H508" t="str">
            <v>Frames</v>
          </cell>
          <cell r="I508" t="str">
            <v>Wks</v>
          </cell>
          <cell r="J508" t="str">
            <v>Days</v>
          </cell>
          <cell r="K508">
            <v>21</v>
          </cell>
          <cell r="L508">
            <v>0</v>
          </cell>
          <cell r="M508">
            <v>29</v>
          </cell>
          <cell r="N508">
            <v>0</v>
          </cell>
          <cell r="O508">
            <v>29</v>
          </cell>
          <cell r="P508">
            <v>0</v>
          </cell>
          <cell r="Q508">
            <v>29</v>
          </cell>
          <cell r="Y508">
            <v>28</v>
          </cell>
          <cell r="Z508">
            <v>191.96809999999999</v>
          </cell>
        </row>
        <row r="509">
          <cell r="A509">
            <v>23.138300000000001</v>
          </cell>
          <cell r="B509">
            <v>175.96809999999999</v>
          </cell>
          <cell r="C509">
            <v>0</v>
          </cell>
          <cell r="D509">
            <v>0</v>
          </cell>
          <cell r="E509">
            <v>0</v>
          </cell>
          <cell r="F509">
            <v>23.138300000000001</v>
          </cell>
          <cell r="G509">
            <v>191.96809999999999</v>
          </cell>
          <cell r="H509">
            <v>2313.83</v>
          </cell>
          <cell r="I509">
            <v>23.138300000000001</v>
          </cell>
          <cell r="J509">
            <v>175.96809999999999</v>
          </cell>
          <cell r="K509">
            <v>21</v>
          </cell>
          <cell r="L509">
            <v>0</v>
          </cell>
          <cell r="M509">
            <v>29</v>
          </cell>
          <cell r="N509">
            <v>0</v>
          </cell>
          <cell r="O509">
            <v>29</v>
          </cell>
          <cell r="P509">
            <v>0</v>
          </cell>
          <cell r="Q509">
            <v>29</v>
          </cell>
          <cell r="Y509">
            <v>25</v>
          </cell>
          <cell r="Z509">
            <v>175.96809999999999</v>
          </cell>
        </row>
        <row r="520">
          <cell r="Y520">
            <v>25</v>
          </cell>
          <cell r="Z520">
            <v>175.96809999999999</v>
          </cell>
        </row>
        <row r="521">
          <cell r="Y521">
            <v>238</v>
          </cell>
          <cell r="Z521">
            <v>161.96809999999999</v>
          </cell>
        </row>
        <row r="522">
          <cell r="Y522">
            <v>238</v>
          </cell>
          <cell r="Z522">
            <v>161.96809999999999</v>
          </cell>
        </row>
        <row r="524">
          <cell r="Y524">
            <v>238</v>
          </cell>
          <cell r="Z524">
            <v>161.96809999999999</v>
          </cell>
        </row>
        <row r="525">
          <cell r="N525" t="str">
            <v>ENGINEERING</v>
          </cell>
          <cell r="O525">
            <v>0</v>
          </cell>
          <cell r="P525">
            <v>0</v>
          </cell>
          <cell r="Q525">
            <v>0</v>
          </cell>
          <cell r="Y525" t="str">
            <v>WK Count</v>
          </cell>
          <cell r="Z525" t="str">
            <v>Total Days</v>
          </cell>
        </row>
        <row r="526">
          <cell r="N526" t="str">
            <v>ENGINEERING</v>
          </cell>
          <cell r="O526">
            <v>0</v>
          </cell>
          <cell r="P526">
            <v>0</v>
          </cell>
          <cell r="Q526">
            <v>0</v>
          </cell>
          <cell r="Y526" t="str">
            <v>WK Count</v>
          </cell>
          <cell r="Z526" t="str">
            <v>Total Days</v>
          </cell>
        </row>
        <row r="527">
          <cell r="A527" t="str">
            <v>PREP</v>
          </cell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 t="str">
            <v>ANIMATION</v>
          </cell>
          <cell r="G527">
            <v>0</v>
          </cell>
          <cell r="H527">
            <v>0</v>
          </cell>
          <cell r="I527" t="str">
            <v>INK &amp; PAINT</v>
          </cell>
          <cell r="J527">
            <v>0</v>
          </cell>
          <cell r="K527">
            <v>0</v>
          </cell>
          <cell r="L527" t="str">
            <v>ALPHA</v>
          </cell>
          <cell r="M527">
            <v>0</v>
          </cell>
          <cell r="N527" t="str">
            <v>BETA</v>
          </cell>
          <cell r="O527">
            <v>0</v>
          </cell>
          <cell r="P527" t="str">
            <v>RTM</v>
          </cell>
          <cell r="Q527">
            <v>0</v>
          </cell>
          <cell r="Y527">
            <v>14</v>
          </cell>
          <cell r="Z527">
            <v>98</v>
          </cell>
        </row>
        <row r="528">
          <cell r="A528" t="str">
            <v>PREP</v>
          </cell>
          <cell r="B528" t="str">
            <v>Days</v>
          </cell>
          <cell r="C528">
            <v>0</v>
          </cell>
          <cell r="D528">
            <v>0</v>
          </cell>
          <cell r="E528">
            <v>0</v>
          </cell>
          <cell r="F528" t="str">
            <v>ANIMATION</v>
          </cell>
          <cell r="G528" t="str">
            <v>Days</v>
          </cell>
          <cell r="H528" t="str">
            <v>Frames</v>
          </cell>
          <cell r="I528" t="str">
            <v>INK &amp; PAINT</v>
          </cell>
          <cell r="J528" t="str">
            <v>Days</v>
          </cell>
          <cell r="K528">
            <v>0</v>
          </cell>
          <cell r="L528" t="str">
            <v>ALPHA</v>
          </cell>
          <cell r="M528">
            <v>0</v>
          </cell>
          <cell r="N528" t="str">
            <v>BETA</v>
          </cell>
          <cell r="O528">
            <v>0</v>
          </cell>
          <cell r="P528" t="str">
            <v>RTM</v>
          </cell>
          <cell r="Q528">
            <v>0</v>
          </cell>
          <cell r="Y528">
            <v>14</v>
          </cell>
          <cell r="Z528">
            <v>98</v>
          </cell>
        </row>
        <row r="529">
          <cell r="A529" t="str">
            <v>Wks</v>
          </cell>
          <cell r="B529" t="str">
            <v>Days</v>
          </cell>
          <cell r="C529">
            <v>0</v>
          </cell>
          <cell r="D529">
            <v>0</v>
          </cell>
          <cell r="E529">
            <v>0</v>
          </cell>
          <cell r="F529" t="str">
            <v>Wks</v>
          </cell>
          <cell r="G529" t="str">
            <v>Days</v>
          </cell>
          <cell r="H529" t="str">
            <v>Frames</v>
          </cell>
          <cell r="I529" t="str">
            <v>Wks</v>
          </cell>
          <cell r="J529" t="str">
            <v>Days</v>
          </cell>
          <cell r="K529">
            <v>21</v>
          </cell>
          <cell r="L529">
            <v>0</v>
          </cell>
          <cell r="M529">
            <v>29</v>
          </cell>
          <cell r="N529">
            <v>0</v>
          </cell>
          <cell r="O529">
            <v>29</v>
          </cell>
          <cell r="P529">
            <v>0</v>
          </cell>
          <cell r="Q529">
            <v>29</v>
          </cell>
          <cell r="Y529">
            <v>17</v>
          </cell>
          <cell r="Z529">
            <v>114</v>
          </cell>
        </row>
        <row r="530">
          <cell r="A530">
            <v>12</v>
          </cell>
          <cell r="B530">
            <v>98</v>
          </cell>
          <cell r="C530">
            <v>0</v>
          </cell>
          <cell r="D530">
            <v>0</v>
          </cell>
          <cell r="E530">
            <v>0</v>
          </cell>
          <cell r="F530">
            <v>12</v>
          </cell>
          <cell r="G530">
            <v>114</v>
          </cell>
          <cell r="H530">
            <v>6000</v>
          </cell>
          <cell r="I530">
            <v>12</v>
          </cell>
          <cell r="J530">
            <v>98</v>
          </cell>
          <cell r="K530">
            <v>21</v>
          </cell>
          <cell r="L530">
            <v>0</v>
          </cell>
          <cell r="M530">
            <v>29</v>
          </cell>
          <cell r="N530">
            <v>0</v>
          </cell>
          <cell r="O530">
            <v>29</v>
          </cell>
          <cell r="P530">
            <v>0</v>
          </cell>
          <cell r="Q530">
            <v>29</v>
          </cell>
          <cell r="Y530">
            <v>14</v>
          </cell>
          <cell r="Z530">
            <v>98</v>
          </cell>
        </row>
        <row r="541">
          <cell r="Y541">
            <v>14</v>
          </cell>
          <cell r="Z541">
            <v>98</v>
          </cell>
        </row>
        <row r="542">
          <cell r="Y542">
            <v>161</v>
          </cell>
          <cell r="Z542">
            <v>84</v>
          </cell>
        </row>
        <row r="543">
          <cell r="Y543">
            <v>161</v>
          </cell>
          <cell r="Z543">
            <v>84</v>
          </cell>
        </row>
        <row r="545">
          <cell r="Y545">
            <v>161</v>
          </cell>
          <cell r="Z545">
            <v>84</v>
          </cell>
        </row>
        <row r="546">
          <cell r="N546" t="str">
            <v>ENGINEERING</v>
          </cell>
          <cell r="O546">
            <v>0</v>
          </cell>
          <cell r="P546">
            <v>0</v>
          </cell>
          <cell r="Q546">
            <v>0</v>
          </cell>
          <cell r="Y546" t="str">
            <v>WK Count</v>
          </cell>
          <cell r="Z546" t="str">
            <v>Total Days</v>
          </cell>
        </row>
        <row r="547">
          <cell r="N547" t="str">
            <v>ENGINEERING</v>
          </cell>
          <cell r="O547">
            <v>0</v>
          </cell>
          <cell r="P547">
            <v>0</v>
          </cell>
          <cell r="Q547">
            <v>0</v>
          </cell>
          <cell r="Y547" t="str">
            <v>WK Count</v>
          </cell>
          <cell r="Z547" t="str">
            <v>Total Days</v>
          </cell>
        </row>
        <row r="548">
          <cell r="A548" t="str">
            <v>PREP</v>
          </cell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 t="str">
            <v>ANIMATION</v>
          </cell>
          <cell r="G548">
            <v>0</v>
          </cell>
          <cell r="H548">
            <v>0</v>
          </cell>
          <cell r="I548" t="str">
            <v>INK &amp; PAINT</v>
          </cell>
          <cell r="J548">
            <v>0</v>
          </cell>
          <cell r="K548">
            <v>0</v>
          </cell>
          <cell r="L548" t="str">
            <v>ALPHA</v>
          </cell>
          <cell r="M548">
            <v>0</v>
          </cell>
          <cell r="N548" t="str">
            <v>BETA</v>
          </cell>
          <cell r="O548">
            <v>0</v>
          </cell>
          <cell r="P548" t="str">
            <v>RTM</v>
          </cell>
          <cell r="Q548">
            <v>0</v>
          </cell>
          <cell r="Y548">
            <v>6</v>
          </cell>
          <cell r="Z548">
            <v>36.435933333333338</v>
          </cell>
        </row>
        <row r="549">
          <cell r="A549" t="str">
            <v>PREP</v>
          </cell>
          <cell r="B549" t="str">
            <v>Days</v>
          </cell>
          <cell r="C549">
            <v>0</v>
          </cell>
          <cell r="D549">
            <v>0</v>
          </cell>
          <cell r="E549">
            <v>0</v>
          </cell>
          <cell r="F549" t="str">
            <v>ANIMATION</v>
          </cell>
          <cell r="G549" t="str">
            <v>Days</v>
          </cell>
          <cell r="H549" t="str">
            <v>Frames</v>
          </cell>
          <cell r="I549" t="str">
            <v>INK &amp; PAINT</v>
          </cell>
          <cell r="J549" t="str">
            <v>Days</v>
          </cell>
          <cell r="K549">
            <v>0</v>
          </cell>
          <cell r="L549" t="str">
            <v>ALPHA</v>
          </cell>
          <cell r="M549">
            <v>0</v>
          </cell>
          <cell r="N549" t="str">
            <v>BETA</v>
          </cell>
          <cell r="O549">
            <v>0</v>
          </cell>
          <cell r="P549" t="str">
            <v>RTM</v>
          </cell>
          <cell r="Q549">
            <v>0</v>
          </cell>
          <cell r="Y549">
            <v>6</v>
          </cell>
          <cell r="Z549">
            <v>36.435933333333338</v>
          </cell>
        </row>
        <row r="550">
          <cell r="A550" t="str">
            <v>Wks</v>
          </cell>
          <cell r="B550" t="str">
            <v>Days</v>
          </cell>
          <cell r="C550">
            <v>0</v>
          </cell>
          <cell r="D550">
            <v>0</v>
          </cell>
          <cell r="E550">
            <v>0</v>
          </cell>
          <cell r="F550" t="str">
            <v>Wks</v>
          </cell>
          <cell r="G550" t="str">
            <v>Days</v>
          </cell>
          <cell r="H550" t="str">
            <v>Frames</v>
          </cell>
          <cell r="I550" t="str">
            <v>Wks</v>
          </cell>
          <cell r="J550" t="str">
            <v>Days</v>
          </cell>
          <cell r="K550">
            <v>21</v>
          </cell>
          <cell r="L550">
            <v>0</v>
          </cell>
          <cell r="M550">
            <v>29</v>
          </cell>
          <cell r="N550">
            <v>0</v>
          </cell>
          <cell r="O550">
            <v>29</v>
          </cell>
          <cell r="P550">
            <v>0</v>
          </cell>
          <cell r="Q550">
            <v>29</v>
          </cell>
          <cell r="Y550">
            <v>8</v>
          </cell>
          <cell r="Z550">
            <v>52.435933333333338</v>
          </cell>
        </row>
        <row r="551">
          <cell r="A551">
            <v>3.2051333333333334</v>
          </cell>
          <cell r="B551">
            <v>36.435933333333338</v>
          </cell>
          <cell r="C551">
            <v>0</v>
          </cell>
          <cell r="D551">
            <v>0</v>
          </cell>
          <cell r="E551">
            <v>0</v>
          </cell>
          <cell r="F551">
            <v>3.2051333333333334</v>
          </cell>
          <cell r="G551">
            <v>52.435933333333338</v>
          </cell>
          <cell r="H551">
            <v>480.77</v>
          </cell>
          <cell r="I551">
            <v>3.2051333333333334</v>
          </cell>
          <cell r="J551">
            <v>36.435933333333338</v>
          </cell>
          <cell r="K551">
            <v>21</v>
          </cell>
          <cell r="L551">
            <v>0</v>
          </cell>
          <cell r="M551">
            <v>29</v>
          </cell>
          <cell r="N551">
            <v>0</v>
          </cell>
          <cell r="O551">
            <v>29</v>
          </cell>
          <cell r="P551">
            <v>0</v>
          </cell>
          <cell r="Q551">
            <v>29</v>
          </cell>
          <cell r="Y551">
            <v>5</v>
          </cell>
          <cell r="Z551">
            <v>36.435933333333338</v>
          </cell>
        </row>
        <row r="562">
          <cell r="Y562">
            <v>5</v>
          </cell>
          <cell r="Z562">
            <v>36.435933333333338</v>
          </cell>
        </row>
        <row r="563">
          <cell r="Y563">
            <v>98</v>
          </cell>
          <cell r="Z563">
            <v>22.435933333333338</v>
          </cell>
        </row>
        <row r="564">
          <cell r="Y564">
            <v>98</v>
          </cell>
          <cell r="Z564">
            <v>22.435933333333338</v>
          </cell>
        </row>
        <row r="566">
          <cell r="Y566">
            <v>98</v>
          </cell>
          <cell r="Z566">
            <v>22.435933333333338</v>
          </cell>
        </row>
        <row r="567">
          <cell r="N567" t="str">
            <v>ENGINEERING</v>
          </cell>
          <cell r="O567">
            <v>0</v>
          </cell>
          <cell r="P567">
            <v>0</v>
          </cell>
          <cell r="Q567">
            <v>0</v>
          </cell>
          <cell r="Y567" t="str">
            <v>WK Count</v>
          </cell>
          <cell r="Z567" t="str">
            <v>Total Days</v>
          </cell>
        </row>
        <row r="568">
          <cell r="N568" t="str">
            <v>ENGINEERING</v>
          </cell>
          <cell r="O568">
            <v>0</v>
          </cell>
          <cell r="P568">
            <v>0</v>
          </cell>
          <cell r="Q568">
            <v>0</v>
          </cell>
          <cell r="Y568" t="str">
            <v>WK Count</v>
          </cell>
          <cell r="Z568" t="str">
            <v>Total Days</v>
          </cell>
        </row>
        <row r="569">
          <cell r="A569" t="str">
            <v>PREP</v>
          </cell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 t="str">
            <v>ANIMATION</v>
          </cell>
          <cell r="G569">
            <v>0</v>
          </cell>
          <cell r="H569">
            <v>0</v>
          </cell>
          <cell r="I569" t="str">
            <v>INK &amp; PAINT</v>
          </cell>
          <cell r="J569">
            <v>0</v>
          </cell>
          <cell r="K569">
            <v>0</v>
          </cell>
          <cell r="L569" t="str">
            <v>ALPHA</v>
          </cell>
          <cell r="M569">
            <v>0</v>
          </cell>
          <cell r="N569" t="str">
            <v>BETA</v>
          </cell>
          <cell r="O569">
            <v>0</v>
          </cell>
          <cell r="P569" t="str">
            <v>RTM</v>
          </cell>
          <cell r="Q569">
            <v>0</v>
          </cell>
          <cell r="Y569">
            <v>25</v>
          </cell>
          <cell r="Z569">
            <v>175</v>
          </cell>
        </row>
        <row r="570">
          <cell r="A570" t="str">
            <v>PREP</v>
          </cell>
          <cell r="B570" t="str">
            <v>Days</v>
          </cell>
          <cell r="C570">
            <v>0</v>
          </cell>
          <cell r="D570">
            <v>0</v>
          </cell>
          <cell r="E570">
            <v>0</v>
          </cell>
          <cell r="F570" t="str">
            <v>ANIMATION</v>
          </cell>
          <cell r="G570" t="str">
            <v>Days</v>
          </cell>
          <cell r="H570" t="str">
            <v>Frames</v>
          </cell>
          <cell r="I570" t="str">
            <v>INK &amp; PAINT</v>
          </cell>
          <cell r="J570" t="str">
            <v>Days</v>
          </cell>
          <cell r="K570">
            <v>0</v>
          </cell>
          <cell r="L570" t="str">
            <v>ALPHA</v>
          </cell>
          <cell r="M570">
            <v>0</v>
          </cell>
          <cell r="N570" t="str">
            <v>BETA</v>
          </cell>
          <cell r="O570">
            <v>0</v>
          </cell>
          <cell r="P570" t="str">
            <v>RTM</v>
          </cell>
          <cell r="Q570">
            <v>0</v>
          </cell>
          <cell r="Y570">
            <v>25</v>
          </cell>
          <cell r="Z570">
            <v>175</v>
          </cell>
        </row>
        <row r="571">
          <cell r="A571" t="str">
            <v>Wks</v>
          </cell>
          <cell r="B571" t="str">
            <v>Days</v>
          </cell>
          <cell r="C571">
            <v>0</v>
          </cell>
          <cell r="D571">
            <v>0</v>
          </cell>
          <cell r="E571">
            <v>0</v>
          </cell>
          <cell r="F571" t="str">
            <v>Wks</v>
          </cell>
          <cell r="G571" t="str">
            <v>Days</v>
          </cell>
          <cell r="H571" t="str">
            <v>Frames</v>
          </cell>
          <cell r="I571" t="str">
            <v>Wks</v>
          </cell>
          <cell r="J571" t="str">
            <v>Days</v>
          </cell>
          <cell r="K571">
            <v>21</v>
          </cell>
          <cell r="L571">
            <v>0</v>
          </cell>
          <cell r="M571">
            <v>29</v>
          </cell>
          <cell r="N571">
            <v>0</v>
          </cell>
          <cell r="O571">
            <v>29</v>
          </cell>
          <cell r="P571">
            <v>0</v>
          </cell>
          <cell r="Q571">
            <v>29</v>
          </cell>
          <cell r="Y571">
            <v>29</v>
          </cell>
          <cell r="Z571">
            <v>201</v>
          </cell>
        </row>
        <row r="572">
          <cell r="A572">
            <v>23</v>
          </cell>
          <cell r="B572">
            <v>175</v>
          </cell>
          <cell r="C572">
            <v>0</v>
          </cell>
          <cell r="D572">
            <v>0</v>
          </cell>
          <cell r="E572">
            <v>0</v>
          </cell>
          <cell r="F572">
            <v>23</v>
          </cell>
          <cell r="G572">
            <v>201</v>
          </cell>
          <cell r="H572">
            <v>11500</v>
          </cell>
          <cell r="I572">
            <v>23</v>
          </cell>
          <cell r="J572">
            <v>175</v>
          </cell>
          <cell r="K572">
            <v>21</v>
          </cell>
          <cell r="L572">
            <v>0</v>
          </cell>
          <cell r="M572">
            <v>29</v>
          </cell>
          <cell r="N572">
            <v>0</v>
          </cell>
          <cell r="O572">
            <v>29</v>
          </cell>
          <cell r="P572">
            <v>0</v>
          </cell>
          <cell r="Q572">
            <v>29</v>
          </cell>
          <cell r="Y572">
            <v>25</v>
          </cell>
          <cell r="Z572">
            <v>175</v>
          </cell>
        </row>
        <row r="583">
          <cell r="Y583">
            <v>25</v>
          </cell>
          <cell r="Z583">
            <v>175</v>
          </cell>
        </row>
        <row r="584">
          <cell r="Y584">
            <v>245</v>
          </cell>
          <cell r="Z584">
            <v>161</v>
          </cell>
        </row>
        <row r="585">
          <cell r="Y585">
            <v>245</v>
          </cell>
          <cell r="Z585">
            <v>161</v>
          </cell>
        </row>
        <row r="586">
          <cell r="Y586">
            <v>245</v>
          </cell>
          <cell r="Z586">
            <v>161</v>
          </cell>
        </row>
        <row r="587">
          <cell r="Y587">
            <v>0</v>
          </cell>
          <cell r="Z587">
            <v>0</v>
          </cell>
        </row>
        <row r="588">
          <cell r="Y588">
            <v>0</v>
          </cell>
          <cell r="Z588">
            <v>0</v>
          </cell>
        </row>
        <row r="589">
          <cell r="Y589" t="e">
            <v>#REF!</v>
          </cell>
          <cell r="Z589" t="e">
            <v>#REF!</v>
          </cell>
        </row>
        <row r="590">
          <cell r="Y590">
            <v>0</v>
          </cell>
          <cell r="Z590">
            <v>0</v>
          </cell>
        </row>
        <row r="591">
          <cell r="Y591" t="e">
            <v>#REF!</v>
          </cell>
          <cell r="Z591" t="e">
            <v>#REF!</v>
          </cell>
        </row>
        <row r="592">
          <cell r="Y592" t="e">
            <v>#REF!</v>
          </cell>
          <cell r="Z592" t="e">
            <v>#REF!</v>
          </cell>
        </row>
        <row r="593">
          <cell r="Y593" t="e">
            <v>#REF!</v>
          </cell>
          <cell r="Z593" t="e">
            <v>#REF!</v>
          </cell>
        </row>
        <row r="594">
          <cell r="Y594" t="e">
            <v>#REF!</v>
          </cell>
          <cell r="Z594" t="e">
            <v>#REF!</v>
          </cell>
        </row>
        <row r="595">
          <cell r="Y595" t="e">
            <v>#REF!</v>
          </cell>
          <cell r="Z595" t="e">
            <v>#REF!</v>
          </cell>
        </row>
        <row r="596">
          <cell r="Y596" t="e">
            <v>#REF!</v>
          </cell>
          <cell r="Z596" t="e">
            <v>#REF!</v>
          </cell>
        </row>
        <row r="597">
          <cell r="Y597" t="e">
            <v>#REF!</v>
          </cell>
          <cell r="Z597" t="e">
            <v>#REF!</v>
          </cell>
        </row>
        <row r="598">
          <cell r="Y598" t="e">
            <v>#REF!</v>
          </cell>
          <cell r="Z598" t="e">
            <v>#REF!</v>
          </cell>
        </row>
        <row r="599">
          <cell r="Y599" t="e">
            <v>#REF!</v>
          </cell>
          <cell r="Z599" t="e">
            <v>#REF!</v>
          </cell>
        </row>
        <row r="600">
          <cell r="Y600" t="e">
            <v>#REF!</v>
          </cell>
          <cell r="Z600" t="e">
            <v>#REF!</v>
          </cell>
        </row>
        <row r="601">
          <cell r="Y601" t="e">
            <v>#REF!</v>
          </cell>
          <cell r="Z601" t="e">
            <v>#REF!</v>
          </cell>
        </row>
        <row r="602">
          <cell r="Y602" t="e">
            <v>#REF!</v>
          </cell>
          <cell r="Z602" t="e">
            <v>#REF!</v>
          </cell>
        </row>
        <row r="603">
          <cell r="Y603" t="e">
            <v>#REF!</v>
          </cell>
          <cell r="Z603" t="e">
            <v>#REF!</v>
          </cell>
        </row>
        <row r="604">
          <cell r="Y604" t="e">
            <v>#REF!</v>
          </cell>
          <cell r="Z604" t="e">
            <v>#REF!</v>
          </cell>
        </row>
        <row r="605">
          <cell r="Y605" t="e">
            <v>#REF!</v>
          </cell>
          <cell r="Z605" t="e">
            <v>#REF!</v>
          </cell>
        </row>
        <row r="606">
          <cell r="Y606" t="e">
            <v>#REF!</v>
          </cell>
          <cell r="Z606" t="e">
            <v>#REF!</v>
          </cell>
        </row>
        <row r="607">
          <cell r="Y607" t="e">
            <v>#REF!</v>
          </cell>
          <cell r="Z607" t="e">
            <v>#REF!</v>
          </cell>
        </row>
        <row r="608">
          <cell r="Y608" t="e">
            <v>#REF!</v>
          </cell>
          <cell r="Z608" t="e">
            <v>#REF!</v>
          </cell>
        </row>
        <row r="609">
          <cell r="Y609" t="e">
            <v>#REF!</v>
          </cell>
          <cell r="Z609" t="e">
            <v>#REF!</v>
          </cell>
        </row>
        <row r="610">
          <cell r="Y610">
            <v>0</v>
          </cell>
          <cell r="Z610">
            <v>0</v>
          </cell>
        </row>
        <row r="611">
          <cell r="Y611">
            <v>0</v>
          </cell>
          <cell r="Z611">
            <v>0</v>
          </cell>
        </row>
        <row r="612">
          <cell r="Y612" t="e">
            <v>#REF!</v>
          </cell>
          <cell r="Z612" t="e">
            <v>#REF!</v>
          </cell>
        </row>
        <row r="2972">
          <cell r="N2972">
            <v>122.93125999999801</v>
          </cell>
        </row>
        <row r="20513">
          <cell r="A20513" t="str">
            <v>PREP</v>
          </cell>
          <cell r="B20513" t="str">
            <v>Days</v>
          </cell>
        </row>
        <row r="65536">
          <cell r="A65536">
            <v>0</v>
          </cell>
          <cell r="N65536" t="str">
            <v>ENGINEERING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>
        <row r="1">
          <cell r="D1" t="str">
            <v>No BA Rekon:</v>
          </cell>
        </row>
      </sheetData>
      <sheetData sheetId="87">
        <row r="1">
          <cell r="D1" t="str">
            <v>No BA Rekon:</v>
          </cell>
        </row>
      </sheetData>
      <sheetData sheetId="88">
        <row r="1">
          <cell r="D1" t="str">
            <v>No BA Rekon:</v>
          </cell>
        </row>
      </sheetData>
      <sheetData sheetId="89">
        <row r="1">
          <cell r="D1" t="str">
            <v>No BA Rekon:</v>
          </cell>
        </row>
      </sheetData>
      <sheetData sheetId="90">
        <row r="1">
          <cell r="D1" t="str">
            <v>No BA Rekon:</v>
          </cell>
        </row>
      </sheetData>
      <sheetData sheetId="91">
        <row r="1">
          <cell r="D1" t="str">
            <v>No BA Rekon:</v>
          </cell>
        </row>
      </sheetData>
      <sheetData sheetId="92">
        <row r="1">
          <cell r="D1" t="str">
            <v>No BA Rekon:</v>
          </cell>
        </row>
      </sheetData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1">
          <cell r="D1" t="str">
            <v>No BA Rekon:</v>
          </cell>
        </row>
      </sheetData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>
        <row r="1">
          <cell r="D1" t="str">
            <v>No BA Rekon:</v>
          </cell>
        </row>
      </sheetData>
      <sheetData sheetId="326">
        <row r="1">
          <cell r="D1" t="str">
            <v>No BA Rekon:</v>
          </cell>
        </row>
      </sheetData>
      <sheetData sheetId="327">
        <row r="1">
          <cell r="D1" t="str">
            <v>No BA Rekon:</v>
          </cell>
        </row>
      </sheetData>
      <sheetData sheetId="328">
        <row r="1">
          <cell r="D1" t="str">
            <v>No BA Rekon:</v>
          </cell>
        </row>
      </sheetData>
      <sheetData sheetId="329">
        <row r="1">
          <cell r="D1" t="str">
            <v>No BA Rekon:</v>
          </cell>
        </row>
      </sheetData>
      <sheetData sheetId="330">
        <row r="1">
          <cell r="D1" t="str">
            <v>No BA Rekon:</v>
          </cell>
        </row>
      </sheetData>
      <sheetData sheetId="331">
        <row r="1">
          <cell r="D1" t="str">
            <v>No BA Rekon:</v>
          </cell>
        </row>
      </sheetData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>
        <row r="1">
          <cell r="D1" t="str">
            <v>No BA Rekon:</v>
          </cell>
        </row>
      </sheetData>
      <sheetData sheetId="374">
        <row r="1">
          <cell r="D1" t="str">
            <v>No BA Rekon:</v>
          </cell>
        </row>
      </sheetData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>
        <row r="1">
          <cell r="D1" t="str">
            <v>No BA Rekon:</v>
          </cell>
        </row>
      </sheetData>
      <sheetData sheetId="484">
        <row r="1">
          <cell r="D1" t="str">
            <v>No BA Rekon:</v>
          </cell>
        </row>
      </sheetData>
      <sheetData sheetId="485">
        <row r="1">
          <cell r="D1" t="str">
            <v>No BA Rekon:</v>
          </cell>
        </row>
      </sheetData>
      <sheetData sheetId="486">
        <row r="1">
          <cell r="D1" t="str">
            <v>No BA Rekon:</v>
          </cell>
        </row>
      </sheetData>
      <sheetData sheetId="487">
        <row r="1">
          <cell r="D1" t="str">
            <v>No BA Rekon:</v>
          </cell>
        </row>
      </sheetData>
      <sheetData sheetId="488">
        <row r="1">
          <cell r="D1" t="str">
            <v>No BA Rekon:</v>
          </cell>
        </row>
      </sheetData>
      <sheetData sheetId="489">
        <row r="1">
          <cell r="D1" t="str">
            <v>No BA Rekon:</v>
          </cell>
        </row>
      </sheetData>
      <sheetData sheetId="490">
        <row r="1">
          <cell r="D1" t="str">
            <v>No BA Rekon:</v>
          </cell>
        </row>
      </sheetData>
      <sheetData sheetId="491">
        <row r="1">
          <cell r="D1" t="str">
            <v>No BA Rekon:</v>
          </cell>
        </row>
      </sheetData>
      <sheetData sheetId="492">
        <row r="1">
          <cell r="D1" t="str">
            <v>No BA Rekon:</v>
          </cell>
        </row>
      </sheetData>
      <sheetData sheetId="493">
        <row r="1">
          <cell r="D1" t="str">
            <v>No BA Rekon:</v>
          </cell>
        </row>
      </sheetData>
      <sheetData sheetId="494">
        <row r="1">
          <cell r="D1" t="str">
            <v>No BA Rekon:</v>
          </cell>
        </row>
      </sheetData>
      <sheetData sheetId="495">
        <row r="1">
          <cell r="D1" t="str">
            <v>No BA Rekon:</v>
          </cell>
        </row>
      </sheetData>
      <sheetData sheetId="496">
        <row r="1">
          <cell r="D1" t="str">
            <v>No BA Rekon:</v>
          </cell>
        </row>
      </sheetData>
      <sheetData sheetId="497">
        <row r="1">
          <cell r="D1" t="str">
            <v>No BA Rekon:</v>
          </cell>
        </row>
      </sheetData>
      <sheetData sheetId="498">
        <row r="1">
          <cell r="D1" t="str">
            <v>No BA Rekon:</v>
          </cell>
        </row>
      </sheetData>
      <sheetData sheetId="499">
        <row r="1">
          <cell r="D1" t="str">
            <v>No BA Rekon:</v>
          </cell>
        </row>
      </sheetData>
      <sheetData sheetId="500">
        <row r="1">
          <cell r="D1" t="str">
            <v>No BA Rekon:</v>
          </cell>
        </row>
      </sheetData>
      <sheetData sheetId="501">
        <row r="1">
          <cell r="D1" t="str">
            <v>No BA Rekon:</v>
          </cell>
        </row>
      </sheetData>
      <sheetData sheetId="502">
        <row r="1">
          <cell r="D1" t="str">
            <v>No BA Rekon:</v>
          </cell>
        </row>
      </sheetData>
      <sheetData sheetId="503">
        <row r="1">
          <cell r="D1" t="str">
            <v>No BA Rekon:</v>
          </cell>
        </row>
      </sheetData>
      <sheetData sheetId="504">
        <row r="1">
          <cell r="D1" t="str">
            <v>No BA Rekon:</v>
          </cell>
        </row>
      </sheetData>
      <sheetData sheetId="505">
        <row r="1">
          <cell r="D1" t="str">
            <v>No BA Rekon:</v>
          </cell>
        </row>
      </sheetData>
      <sheetData sheetId="506">
        <row r="1">
          <cell r="D1" t="str">
            <v>No BA Rekon:</v>
          </cell>
        </row>
      </sheetData>
      <sheetData sheetId="507">
        <row r="1">
          <cell r="D1" t="str">
            <v>No BA Rekon:</v>
          </cell>
        </row>
      </sheetData>
      <sheetData sheetId="508">
        <row r="1">
          <cell r="D1" t="str">
            <v>No BA Rekon:</v>
          </cell>
        </row>
      </sheetData>
      <sheetData sheetId="509">
        <row r="1">
          <cell r="D1" t="str">
            <v>No BA Rekon:</v>
          </cell>
        </row>
      </sheetData>
      <sheetData sheetId="510">
        <row r="1">
          <cell r="D1" t="str">
            <v>No BA Rekon:</v>
          </cell>
        </row>
      </sheetData>
      <sheetData sheetId="511">
        <row r="1">
          <cell r="D1" t="str">
            <v>No BA Rekon:</v>
          </cell>
        </row>
      </sheetData>
      <sheetData sheetId="512">
        <row r="1">
          <cell r="D1" t="str">
            <v>No BA Rekon:</v>
          </cell>
        </row>
      </sheetData>
      <sheetData sheetId="513">
        <row r="1">
          <cell r="D1" t="str">
            <v>No BA Rekon:</v>
          </cell>
        </row>
      </sheetData>
      <sheetData sheetId="514">
        <row r="1">
          <cell r="D1" t="str">
            <v>No BA Rekon:</v>
          </cell>
        </row>
      </sheetData>
      <sheetData sheetId="515">
        <row r="1">
          <cell r="D1" t="str">
            <v>No BA Rekon:</v>
          </cell>
        </row>
      </sheetData>
      <sheetData sheetId="516">
        <row r="1">
          <cell r="D1" t="str">
            <v>No BA Rekon:</v>
          </cell>
        </row>
      </sheetData>
      <sheetData sheetId="517">
        <row r="1">
          <cell r="D1" t="str">
            <v>No BA Rekon:</v>
          </cell>
        </row>
      </sheetData>
      <sheetData sheetId="518">
        <row r="1">
          <cell r="D1" t="str">
            <v>No BA Rekon:</v>
          </cell>
        </row>
      </sheetData>
      <sheetData sheetId="519">
        <row r="1">
          <cell r="D1" t="str">
            <v>No BA Rekon:</v>
          </cell>
        </row>
      </sheetData>
      <sheetData sheetId="520">
        <row r="1">
          <cell r="D1" t="str">
            <v>No BA Rekon:</v>
          </cell>
        </row>
      </sheetData>
      <sheetData sheetId="521">
        <row r="1">
          <cell r="D1" t="str">
            <v>No BA Rekon:</v>
          </cell>
        </row>
      </sheetData>
      <sheetData sheetId="522">
        <row r="1">
          <cell r="D1" t="str">
            <v>No BA Rekon:</v>
          </cell>
        </row>
      </sheetData>
      <sheetData sheetId="523">
        <row r="1">
          <cell r="D1" t="str">
            <v>No BA Rekon:</v>
          </cell>
        </row>
      </sheetData>
      <sheetData sheetId="524">
        <row r="1">
          <cell r="D1" t="str">
            <v>No BA Rekon:</v>
          </cell>
        </row>
      </sheetData>
      <sheetData sheetId="525">
        <row r="1">
          <cell r="D1" t="str">
            <v>No BA Rekon:</v>
          </cell>
        </row>
      </sheetData>
      <sheetData sheetId="526">
        <row r="1">
          <cell r="D1" t="str">
            <v>No BA Rekon:</v>
          </cell>
        </row>
      </sheetData>
      <sheetData sheetId="527">
        <row r="1">
          <cell r="D1" t="str">
            <v>No BA Rekon:</v>
          </cell>
        </row>
      </sheetData>
      <sheetData sheetId="528">
        <row r="1">
          <cell r="D1" t="str">
            <v>No BA Rekon:</v>
          </cell>
        </row>
      </sheetData>
      <sheetData sheetId="529">
        <row r="1">
          <cell r="D1" t="str">
            <v>No BA Rekon:</v>
          </cell>
        </row>
      </sheetData>
      <sheetData sheetId="530">
        <row r="1">
          <cell r="D1" t="str">
            <v>No BA Rekon:</v>
          </cell>
        </row>
      </sheetData>
      <sheetData sheetId="531">
        <row r="1">
          <cell r="D1" t="str">
            <v>No BA Rekon:</v>
          </cell>
        </row>
      </sheetData>
      <sheetData sheetId="532">
        <row r="1">
          <cell r="D1" t="str">
            <v>No BA Rekon:</v>
          </cell>
        </row>
      </sheetData>
      <sheetData sheetId="533">
        <row r="1">
          <cell r="D1" t="str">
            <v>No BA Rekon:</v>
          </cell>
        </row>
      </sheetData>
      <sheetData sheetId="534">
        <row r="1">
          <cell r="D1" t="str">
            <v>No BA Rekon:</v>
          </cell>
        </row>
      </sheetData>
      <sheetData sheetId="535">
        <row r="1">
          <cell r="D1" t="str">
            <v>No BA Rekon:</v>
          </cell>
        </row>
      </sheetData>
      <sheetData sheetId="536">
        <row r="1">
          <cell r="D1" t="str">
            <v>No BA Rekon:</v>
          </cell>
        </row>
      </sheetData>
      <sheetData sheetId="537">
        <row r="1">
          <cell r="D1" t="str">
            <v>No BA Rekon:</v>
          </cell>
        </row>
      </sheetData>
      <sheetData sheetId="538">
        <row r="1">
          <cell r="D1" t="str">
            <v>No BA Rekon:</v>
          </cell>
        </row>
      </sheetData>
      <sheetData sheetId="539">
        <row r="1">
          <cell r="D1" t="str">
            <v>No BA Rekon:</v>
          </cell>
        </row>
      </sheetData>
      <sheetData sheetId="540">
        <row r="1">
          <cell r="D1" t="str">
            <v>No BA Rekon:</v>
          </cell>
        </row>
      </sheetData>
      <sheetData sheetId="541">
        <row r="1">
          <cell r="D1" t="str">
            <v>No BA Rekon:</v>
          </cell>
        </row>
      </sheetData>
      <sheetData sheetId="542">
        <row r="1">
          <cell r="D1" t="str">
            <v>No BA Rekon:</v>
          </cell>
        </row>
      </sheetData>
      <sheetData sheetId="543">
        <row r="1">
          <cell r="D1" t="str">
            <v>No BA Rekon:</v>
          </cell>
        </row>
      </sheetData>
      <sheetData sheetId="544">
        <row r="1">
          <cell r="D1" t="str">
            <v>No BA Rekon:</v>
          </cell>
        </row>
      </sheetData>
      <sheetData sheetId="545">
        <row r="1">
          <cell r="D1" t="str">
            <v>No BA Rekon:</v>
          </cell>
        </row>
      </sheetData>
      <sheetData sheetId="546">
        <row r="1">
          <cell r="D1" t="str">
            <v>No BA Rekon:</v>
          </cell>
        </row>
      </sheetData>
      <sheetData sheetId="547">
        <row r="1">
          <cell r="D1" t="str">
            <v>No BA Rekon:</v>
          </cell>
        </row>
      </sheetData>
      <sheetData sheetId="548">
        <row r="1">
          <cell r="D1" t="str">
            <v>No BA Rekon:</v>
          </cell>
        </row>
      </sheetData>
      <sheetData sheetId="549">
        <row r="1">
          <cell r="D1" t="str">
            <v>No BA Rekon:</v>
          </cell>
        </row>
      </sheetData>
      <sheetData sheetId="550">
        <row r="1">
          <cell r="D1" t="str">
            <v>No BA Rekon:</v>
          </cell>
        </row>
      </sheetData>
      <sheetData sheetId="551">
        <row r="1">
          <cell r="D1" t="str">
            <v>No BA Rekon:</v>
          </cell>
        </row>
      </sheetData>
      <sheetData sheetId="552">
        <row r="1">
          <cell r="D1" t="str">
            <v>No BA Rekon:</v>
          </cell>
        </row>
      </sheetData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>
        <row r="1">
          <cell r="D1" t="str">
            <v>No BA Rekon:</v>
          </cell>
        </row>
      </sheetData>
      <sheetData sheetId="570" refreshError="1"/>
      <sheetData sheetId="571">
        <row r="1">
          <cell r="D1" t="str">
            <v>No BA Rekon:</v>
          </cell>
        </row>
      </sheetData>
      <sheetData sheetId="572">
        <row r="1">
          <cell r="D1" t="str">
            <v>No BA Rekon:</v>
          </cell>
        </row>
      </sheetData>
      <sheetData sheetId="573">
        <row r="1">
          <cell r="D1" t="str">
            <v>No BA Rekon:</v>
          </cell>
        </row>
      </sheetData>
      <sheetData sheetId="574">
        <row r="1">
          <cell r="D1" t="str">
            <v>No BA Rekon:</v>
          </cell>
        </row>
      </sheetData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/>
      <sheetData sheetId="755"/>
      <sheetData sheetId="756"/>
      <sheetData sheetId="757"/>
      <sheetData sheetId="758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/>
      <sheetData sheetId="846" refreshError="1"/>
      <sheetData sheetId="847" refreshError="1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>
        <row r="1">
          <cell r="A1" t="str">
            <v>Item Code</v>
          </cell>
        </row>
      </sheetData>
      <sheetData sheetId="891">
        <row r="1">
          <cell r="A1" t="str">
            <v>Item Code</v>
          </cell>
        </row>
      </sheetData>
      <sheetData sheetId="892">
        <row r="1">
          <cell r="A1" t="str">
            <v>Item Code</v>
          </cell>
        </row>
      </sheetData>
      <sheetData sheetId="893">
        <row r="1">
          <cell r="A1" t="str">
            <v>Item Code</v>
          </cell>
        </row>
      </sheetData>
      <sheetData sheetId="894"/>
      <sheetData sheetId="895"/>
      <sheetData sheetId="896"/>
      <sheetData sheetId="897"/>
      <sheetData sheetId="898"/>
      <sheetData sheetId="899">
        <row r="1">
          <cell r="D1" t="str">
            <v>No BA Rekon:</v>
          </cell>
        </row>
      </sheetData>
      <sheetData sheetId="900">
        <row r="1">
          <cell r="D1" t="str">
            <v>No BA Rekon:</v>
          </cell>
        </row>
      </sheetData>
      <sheetData sheetId="901">
        <row r="1">
          <cell r="D1" t="str">
            <v>No BA Rekon:</v>
          </cell>
        </row>
      </sheetData>
      <sheetData sheetId="902">
        <row r="1">
          <cell r="D1" t="str">
            <v>No BA Rekon:</v>
          </cell>
        </row>
      </sheetData>
      <sheetData sheetId="903">
        <row r="1">
          <cell r="D1" t="str">
            <v>No BA Rekon:</v>
          </cell>
        </row>
      </sheetData>
      <sheetData sheetId="904"/>
      <sheetData sheetId="905">
        <row r="1">
          <cell r="A1" t="str">
            <v>Item Code</v>
          </cell>
        </row>
      </sheetData>
      <sheetData sheetId="906">
        <row r="1">
          <cell r="A1" t="str">
            <v>Item Code</v>
          </cell>
        </row>
      </sheetData>
      <sheetData sheetId="907">
        <row r="1">
          <cell r="A1" t="str">
            <v>Item Code</v>
          </cell>
        </row>
      </sheetData>
      <sheetData sheetId="908"/>
      <sheetData sheetId="909">
        <row r="1">
          <cell r="D1" t="str">
            <v>No BA Rekon:</v>
          </cell>
        </row>
      </sheetData>
      <sheetData sheetId="910">
        <row r="1">
          <cell r="A1" t="str">
            <v>Item Code</v>
          </cell>
        </row>
      </sheetData>
      <sheetData sheetId="911">
        <row r="1">
          <cell r="D1" t="str">
            <v>No BA Rekon:</v>
          </cell>
        </row>
      </sheetData>
      <sheetData sheetId="912">
        <row r="1">
          <cell r="D1" t="str">
            <v>No BA Rekon:</v>
          </cell>
        </row>
      </sheetData>
      <sheetData sheetId="913">
        <row r="1">
          <cell r="A1" t="str">
            <v>Item Code</v>
          </cell>
        </row>
      </sheetData>
      <sheetData sheetId="914">
        <row r="1">
          <cell r="D1" t="str">
            <v>No BA Rekon:</v>
          </cell>
        </row>
      </sheetData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>
        <row r="1">
          <cell r="D1" t="str">
            <v>No BA Rekon:</v>
          </cell>
        </row>
      </sheetData>
      <sheetData sheetId="924">
        <row r="1">
          <cell r="D1" t="str">
            <v>No BA Rekon:</v>
          </cell>
        </row>
      </sheetData>
      <sheetData sheetId="925">
        <row r="1">
          <cell r="D1" t="str">
            <v>No BA Rekon:</v>
          </cell>
        </row>
      </sheetData>
      <sheetData sheetId="926">
        <row r="1">
          <cell r="D1" t="str">
            <v>No BA Rekon:</v>
          </cell>
        </row>
      </sheetData>
      <sheetData sheetId="927">
        <row r="1">
          <cell r="D1" t="str">
            <v>No BA Rekon:</v>
          </cell>
        </row>
      </sheetData>
      <sheetData sheetId="928">
        <row r="1">
          <cell r="D1" t="str">
            <v>No BA Rekon:</v>
          </cell>
        </row>
      </sheetData>
      <sheetData sheetId="929">
        <row r="1">
          <cell r="D1" t="str">
            <v>No BA Rekon:</v>
          </cell>
        </row>
      </sheetData>
      <sheetData sheetId="930">
        <row r="1">
          <cell r="D1" t="str">
            <v>No BA Rekon:</v>
          </cell>
        </row>
      </sheetData>
      <sheetData sheetId="931">
        <row r="1">
          <cell r="D1" t="str">
            <v>No BA Rekon:</v>
          </cell>
        </row>
      </sheetData>
      <sheetData sheetId="932">
        <row r="1">
          <cell r="D1" t="str">
            <v>No BA Rekon:</v>
          </cell>
        </row>
      </sheetData>
      <sheetData sheetId="933">
        <row r="1">
          <cell r="D1" t="str">
            <v>No BA Rekon:</v>
          </cell>
        </row>
      </sheetData>
      <sheetData sheetId="934">
        <row r="1">
          <cell r="D1" t="str">
            <v>No BA Rekon:</v>
          </cell>
        </row>
      </sheetData>
      <sheetData sheetId="935">
        <row r="1">
          <cell r="D1" t="str">
            <v>No BA Rekon:</v>
          </cell>
        </row>
      </sheetData>
      <sheetData sheetId="936">
        <row r="1">
          <cell r="D1" t="str">
            <v>No BA Rekon:</v>
          </cell>
        </row>
      </sheetData>
      <sheetData sheetId="937">
        <row r="1">
          <cell r="D1" t="str">
            <v>No BA Rekon:</v>
          </cell>
        </row>
      </sheetData>
      <sheetData sheetId="938">
        <row r="1">
          <cell r="D1" t="str">
            <v>No BA Rekon:</v>
          </cell>
        </row>
      </sheetData>
      <sheetData sheetId="939">
        <row r="1">
          <cell r="D1" t="str">
            <v>No BA Rekon:</v>
          </cell>
        </row>
      </sheetData>
      <sheetData sheetId="940">
        <row r="1">
          <cell r="A1" t="str">
            <v>Item Code</v>
          </cell>
        </row>
      </sheetData>
      <sheetData sheetId="941">
        <row r="1">
          <cell r="A1" t="str">
            <v>Item Code</v>
          </cell>
        </row>
      </sheetData>
      <sheetData sheetId="942">
        <row r="1">
          <cell r="D1" t="str">
            <v>No BA Rekon:</v>
          </cell>
        </row>
      </sheetData>
      <sheetData sheetId="943">
        <row r="1">
          <cell r="D1" t="str">
            <v>No BA Rekon:</v>
          </cell>
        </row>
      </sheetData>
      <sheetData sheetId="944">
        <row r="1">
          <cell r="D1" t="str">
            <v>No BA Rekon:</v>
          </cell>
        </row>
      </sheetData>
      <sheetData sheetId="945">
        <row r="1">
          <cell r="D1" t="str">
            <v>No BA Rekon:</v>
          </cell>
        </row>
      </sheetData>
      <sheetData sheetId="946">
        <row r="1">
          <cell r="D1" t="str">
            <v>No BA Rekon:</v>
          </cell>
        </row>
      </sheetData>
      <sheetData sheetId="947">
        <row r="1">
          <cell r="D1" t="str">
            <v>No BA Rekon:</v>
          </cell>
        </row>
      </sheetData>
      <sheetData sheetId="948">
        <row r="1">
          <cell r="A1" t="str">
            <v>Item Code</v>
          </cell>
        </row>
      </sheetData>
      <sheetData sheetId="949">
        <row r="1">
          <cell r="D1" t="str">
            <v>No BA Rekon:</v>
          </cell>
        </row>
      </sheetData>
      <sheetData sheetId="950">
        <row r="1">
          <cell r="A1" t="str">
            <v>Item Code</v>
          </cell>
        </row>
      </sheetData>
      <sheetData sheetId="951">
        <row r="1">
          <cell r="A1" t="str">
            <v>Item Code</v>
          </cell>
        </row>
      </sheetData>
      <sheetData sheetId="952">
        <row r="1">
          <cell r="A1" t="str">
            <v>Item Code</v>
          </cell>
        </row>
      </sheetData>
      <sheetData sheetId="953">
        <row r="1">
          <cell r="A1" t="str">
            <v>Item Code</v>
          </cell>
        </row>
      </sheetData>
      <sheetData sheetId="954">
        <row r="1">
          <cell r="A1" t="str">
            <v>Item Code</v>
          </cell>
        </row>
      </sheetData>
      <sheetData sheetId="955">
        <row r="1">
          <cell r="D1" t="str">
            <v>No BA Rekon:</v>
          </cell>
        </row>
      </sheetData>
      <sheetData sheetId="956">
        <row r="1">
          <cell r="D1" t="str">
            <v>No BA Rekon:</v>
          </cell>
        </row>
      </sheetData>
      <sheetData sheetId="957">
        <row r="1">
          <cell r="D1" t="str">
            <v>No BA Rekon:</v>
          </cell>
        </row>
      </sheetData>
      <sheetData sheetId="958">
        <row r="1">
          <cell r="D1" t="str">
            <v>No BA Rekon:</v>
          </cell>
        </row>
      </sheetData>
      <sheetData sheetId="959">
        <row r="1">
          <cell r="A1" t="str">
            <v>Item Code</v>
          </cell>
        </row>
      </sheetData>
      <sheetData sheetId="960">
        <row r="1">
          <cell r="D1" t="str">
            <v>No BA Rekon:</v>
          </cell>
        </row>
      </sheetData>
      <sheetData sheetId="961">
        <row r="1">
          <cell r="D1" t="str">
            <v>No BA Rekon:</v>
          </cell>
        </row>
      </sheetData>
      <sheetData sheetId="962">
        <row r="1">
          <cell r="D1" t="str">
            <v>No BA Rekon:</v>
          </cell>
        </row>
      </sheetData>
      <sheetData sheetId="963">
        <row r="1">
          <cell r="A1" t="str">
            <v>Item Code</v>
          </cell>
        </row>
      </sheetData>
      <sheetData sheetId="964">
        <row r="1">
          <cell r="A1" t="str">
            <v>Item Code</v>
          </cell>
        </row>
      </sheetData>
      <sheetData sheetId="965">
        <row r="1">
          <cell r="D1" t="str">
            <v>No BA Rekon:</v>
          </cell>
        </row>
      </sheetData>
      <sheetData sheetId="966">
        <row r="1">
          <cell r="D1" t="str">
            <v>No BA Rekon:</v>
          </cell>
        </row>
      </sheetData>
      <sheetData sheetId="967">
        <row r="1">
          <cell r="D1" t="str">
            <v>No BA Rekon:</v>
          </cell>
        </row>
      </sheetData>
      <sheetData sheetId="968">
        <row r="1">
          <cell r="D1" t="str">
            <v>No BA Rekon:</v>
          </cell>
        </row>
      </sheetData>
      <sheetData sheetId="969">
        <row r="1">
          <cell r="A1" t="str">
            <v>Item Code</v>
          </cell>
        </row>
      </sheetData>
      <sheetData sheetId="970">
        <row r="1">
          <cell r="A1" t="str">
            <v>Item Code</v>
          </cell>
        </row>
      </sheetData>
      <sheetData sheetId="971">
        <row r="1">
          <cell r="A1" t="str">
            <v>Item Code</v>
          </cell>
        </row>
      </sheetData>
      <sheetData sheetId="972">
        <row r="1">
          <cell r="A1" t="str">
            <v>Item Code</v>
          </cell>
        </row>
      </sheetData>
      <sheetData sheetId="973">
        <row r="1">
          <cell r="A1" t="str">
            <v>Item Code</v>
          </cell>
        </row>
      </sheetData>
      <sheetData sheetId="974">
        <row r="1">
          <cell r="A1" t="str">
            <v>Item Code</v>
          </cell>
        </row>
      </sheetData>
      <sheetData sheetId="975">
        <row r="1">
          <cell r="A1" t="str">
            <v>Item Code</v>
          </cell>
        </row>
      </sheetData>
      <sheetData sheetId="976">
        <row r="1">
          <cell r="A1" t="str">
            <v>Item Code</v>
          </cell>
        </row>
      </sheetData>
      <sheetData sheetId="977">
        <row r="1">
          <cell r="A1" t="str">
            <v>Item Code</v>
          </cell>
        </row>
      </sheetData>
      <sheetData sheetId="978">
        <row r="1">
          <cell r="A1" t="str">
            <v>Item Code</v>
          </cell>
        </row>
      </sheetData>
      <sheetData sheetId="979">
        <row r="1">
          <cell r="A1" t="str">
            <v>Item Code</v>
          </cell>
        </row>
      </sheetData>
      <sheetData sheetId="980">
        <row r="1">
          <cell r="A1" t="str">
            <v>Item Code</v>
          </cell>
        </row>
      </sheetData>
      <sheetData sheetId="981">
        <row r="1">
          <cell r="A1" t="str">
            <v>Item Code</v>
          </cell>
        </row>
      </sheetData>
      <sheetData sheetId="982">
        <row r="1">
          <cell r="A1" t="str">
            <v>Item Code</v>
          </cell>
        </row>
      </sheetData>
      <sheetData sheetId="983">
        <row r="1">
          <cell r="A1" t="str">
            <v>Item Code</v>
          </cell>
        </row>
      </sheetData>
      <sheetData sheetId="984">
        <row r="1">
          <cell r="A1" t="str">
            <v>Item Code</v>
          </cell>
        </row>
      </sheetData>
      <sheetData sheetId="985">
        <row r="1">
          <cell r="A1" t="str">
            <v>Item Code</v>
          </cell>
        </row>
      </sheetData>
      <sheetData sheetId="986">
        <row r="1">
          <cell r="A1" t="str">
            <v>Item Code</v>
          </cell>
        </row>
      </sheetData>
      <sheetData sheetId="987">
        <row r="1">
          <cell r="A1" t="str">
            <v>Item Code</v>
          </cell>
        </row>
      </sheetData>
      <sheetData sheetId="988">
        <row r="1">
          <cell r="A1" t="str">
            <v>Item Code</v>
          </cell>
        </row>
      </sheetData>
      <sheetData sheetId="989">
        <row r="1">
          <cell r="A1" t="str">
            <v>Item Code</v>
          </cell>
        </row>
      </sheetData>
      <sheetData sheetId="990">
        <row r="1">
          <cell r="A1" t="str">
            <v>Item Code</v>
          </cell>
        </row>
      </sheetData>
      <sheetData sheetId="991">
        <row r="1">
          <cell r="A1" t="str">
            <v>Item Code</v>
          </cell>
        </row>
      </sheetData>
      <sheetData sheetId="992">
        <row r="1">
          <cell r="A1" t="str">
            <v>Item Code</v>
          </cell>
        </row>
      </sheetData>
      <sheetData sheetId="993">
        <row r="1">
          <cell r="A1" t="str">
            <v>Item Code</v>
          </cell>
        </row>
      </sheetData>
      <sheetData sheetId="994">
        <row r="1">
          <cell r="A1" t="str">
            <v>Item Code</v>
          </cell>
        </row>
      </sheetData>
      <sheetData sheetId="995">
        <row r="1">
          <cell r="A1" t="str">
            <v>Item Code</v>
          </cell>
        </row>
      </sheetData>
      <sheetData sheetId="996">
        <row r="1">
          <cell r="A1" t="str">
            <v>Item Code</v>
          </cell>
        </row>
      </sheetData>
      <sheetData sheetId="997">
        <row r="1">
          <cell r="A1" t="str">
            <v>Item Code</v>
          </cell>
        </row>
      </sheetData>
      <sheetData sheetId="998">
        <row r="1">
          <cell r="A1" t="str">
            <v>Item Code</v>
          </cell>
        </row>
      </sheetData>
      <sheetData sheetId="999">
        <row r="1">
          <cell r="A1" t="str">
            <v>Item Code</v>
          </cell>
        </row>
      </sheetData>
      <sheetData sheetId="1000">
        <row r="1">
          <cell r="A1" t="str">
            <v>Item Code</v>
          </cell>
        </row>
      </sheetData>
      <sheetData sheetId="1001">
        <row r="1">
          <cell r="A1" t="str">
            <v>Item Code</v>
          </cell>
        </row>
      </sheetData>
      <sheetData sheetId="1002">
        <row r="1">
          <cell r="A1" t="str">
            <v>Item Code</v>
          </cell>
        </row>
      </sheetData>
      <sheetData sheetId="1003">
        <row r="1">
          <cell r="A1" t="str">
            <v>Item Code</v>
          </cell>
        </row>
      </sheetData>
      <sheetData sheetId="1004">
        <row r="1">
          <cell r="A1" t="str">
            <v>Item Code</v>
          </cell>
        </row>
      </sheetData>
      <sheetData sheetId="1005">
        <row r="1">
          <cell r="A1" t="str">
            <v>Item Code</v>
          </cell>
        </row>
      </sheetData>
      <sheetData sheetId="1006">
        <row r="1">
          <cell r="A1" t="str">
            <v>Item Code</v>
          </cell>
        </row>
      </sheetData>
      <sheetData sheetId="1007">
        <row r="1">
          <cell r="A1" t="str">
            <v>Item Code</v>
          </cell>
        </row>
      </sheetData>
      <sheetData sheetId="1008">
        <row r="1">
          <cell r="A1" t="str">
            <v>Item Code</v>
          </cell>
        </row>
      </sheetData>
      <sheetData sheetId="1009">
        <row r="1">
          <cell r="A1" t="str">
            <v>Item Code</v>
          </cell>
        </row>
      </sheetData>
      <sheetData sheetId="1010">
        <row r="1">
          <cell r="A1" t="str">
            <v>Item Code</v>
          </cell>
        </row>
      </sheetData>
      <sheetData sheetId="1011">
        <row r="1">
          <cell r="A1" t="str">
            <v>Item Code</v>
          </cell>
        </row>
      </sheetData>
      <sheetData sheetId="1012">
        <row r="1">
          <cell r="A1" t="str">
            <v>Item Code</v>
          </cell>
        </row>
      </sheetData>
      <sheetData sheetId="1013">
        <row r="1">
          <cell r="A1" t="str">
            <v>Item Code</v>
          </cell>
        </row>
      </sheetData>
      <sheetData sheetId="1014">
        <row r="1">
          <cell r="A1" t="str">
            <v>Item Code</v>
          </cell>
        </row>
      </sheetData>
      <sheetData sheetId="1015">
        <row r="1">
          <cell r="A1" t="str">
            <v>Item Code</v>
          </cell>
        </row>
      </sheetData>
      <sheetData sheetId="1016"/>
      <sheetData sheetId="1017"/>
      <sheetData sheetId="1018"/>
      <sheetData sheetId="1019"/>
      <sheetData sheetId="1020"/>
      <sheetData sheetId="1021"/>
      <sheetData sheetId="1022"/>
      <sheetData sheetId="1023">
        <row r="1">
          <cell r="A1" t="str">
            <v>Item Code</v>
          </cell>
        </row>
      </sheetData>
      <sheetData sheetId="1024">
        <row r="1">
          <cell r="A1" t="str">
            <v>Item Code</v>
          </cell>
        </row>
      </sheetData>
      <sheetData sheetId="1025">
        <row r="1">
          <cell r="A1" t="str">
            <v>Item Code</v>
          </cell>
        </row>
      </sheetData>
      <sheetData sheetId="1026">
        <row r="1">
          <cell r="A1" t="str">
            <v>Item Code</v>
          </cell>
        </row>
      </sheetData>
      <sheetData sheetId="1027">
        <row r="1">
          <cell r="A1" t="str">
            <v>Item Code</v>
          </cell>
        </row>
      </sheetData>
      <sheetData sheetId="1028">
        <row r="1">
          <cell r="A1" t="str">
            <v>Item Code</v>
          </cell>
        </row>
      </sheetData>
      <sheetData sheetId="1029"/>
      <sheetData sheetId="1030">
        <row r="1">
          <cell r="D1" t="str">
            <v>No BA Rekon:</v>
          </cell>
        </row>
      </sheetData>
      <sheetData sheetId="1031">
        <row r="1">
          <cell r="D1" t="str">
            <v>No BA Rekon:</v>
          </cell>
        </row>
      </sheetData>
      <sheetData sheetId="1032">
        <row r="1">
          <cell r="A1" t="str">
            <v>Item Code</v>
          </cell>
        </row>
      </sheetData>
      <sheetData sheetId="1033">
        <row r="1">
          <cell r="A1" t="str">
            <v>Item Code</v>
          </cell>
        </row>
      </sheetData>
      <sheetData sheetId="1034">
        <row r="1">
          <cell r="A1" t="str">
            <v>Item Code</v>
          </cell>
        </row>
      </sheetData>
      <sheetData sheetId="1035">
        <row r="1">
          <cell r="A1" t="str">
            <v>Item Code</v>
          </cell>
        </row>
      </sheetData>
      <sheetData sheetId="1036">
        <row r="1">
          <cell r="A1" t="str">
            <v>Item Code</v>
          </cell>
        </row>
      </sheetData>
      <sheetData sheetId="1037">
        <row r="1">
          <cell r="A1" t="str">
            <v>Item Code</v>
          </cell>
        </row>
      </sheetData>
      <sheetData sheetId="1038">
        <row r="1">
          <cell r="A1" t="str">
            <v>Item Code</v>
          </cell>
        </row>
      </sheetData>
      <sheetData sheetId="1039">
        <row r="1">
          <cell r="D1" t="str">
            <v>No BA Rekon:</v>
          </cell>
        </row>
      </sheetData>
      <sheetData sheetId="1040">
        <row r="1">
          <cell r="D1" t="str">
            <v>No BA Rekon:</v>
          </cell>
        </row>
      </sheetData>
      <sheetData sheetId="1041">
        <row r="1">
          <cell r="A1" t="str">
            <v>Item Code</v>
          </cell>
        </row>
      </sheetData>
      <sheetData sheetId="1042">
        <row r="1">
          <cell r="D1" t="str">
            <v>No BA Rekon:</v>
          </cell>
        </row>
      </sheetData>
      <sheetData sheetId="1043">
        <row r="1">
          <cell r="D1" t="str">
            <v>No BA Rekon:</v>
          </cell>
        </row>
      </sheetData>
      <sheetData sheetId="1044">
        <row r="1">
          <cell r="A1" t="str">
            <v>Item Code</v>
          </cell>
        </row>
      </sheetData>
      <sheetData sheetId="1045">
        <row r="1">
          <cell r="A1" t="str">
            <v>Item Code</v>
          </cell>
        </row>
      </sheetData>
      <sheetData sheetId="1046">
        <row r="1">
          <cell r="A1" t="str">
            <v>Item Code</v>
          </cell>
        </row>
      </sheetData>
      <sheetData sheetId="1047">
        <row r="1">
          <cell r="A1" t="str">
            <v>Item Code</v>
          </cell>
        </row>
      </sheetData>
      <sheetData sheetId="1048">
        <row r="1">
          <cell r="A1" t="str">
            <v>Item Code</v>
          </cell>
        </row>
      </sheetData>
      <sheetData sheetId="1049">
        <row r="1">
          <cell r="A1" t="str">
            <v>Item Code</v>
          </cell>
        </row>
      </sheetData>
      <sheetData sheetId="1050">
        <row r="1">
          <cell r="A1" t="str">
            <v>Item Code</v>
          </cell>
        </row>
      </sheetData>
      <sheetData sheetId="1051">
        <row r="1">
          <cell r="A1" t="str">
            <v>Item Code</v>
          </cell>
        </row>
      </sheetData>
      <sheetData sheetId="1052">
        <row r="1">
          <cell r="A1" t="str">
            <v>Item Code</v>
          </cell>
        </row>
      </sheetData>
      <sheetData sheetId="1053">
        <row r="1">
          <cell r="A1" t="str">
            <v>Item Code</v>
          </cell>
        </row>
      </sheetData>
      <sheetData sheetId="1054">
        <row r="1">
          <cell r="A1" t="str">
            <v>Item Code</v>
          </cell>
        </row>
      </sheetData>
      <sheetData sheetId="1055">
        <row r="1">
          <cell r="A1" t="str">
            <v>Item Code</v>
          </cell>
        </row>
      </sheetData>
      <sheetData sheetId="1056">
        <row r="1">
          <cell r="A1" t="str">
            <v>Item Code</v>
          </cell>
        </row>
      </sheetData>
      <sheetData sheetId="1057">
        <row r="1">
          <cell r="A1" t="str">
            <v>Item Code</v>
          </cell>
        </row>
      </sheetData>
      <sheetData sheetId="1058">
        <row r="1">
          <cell r="A1" t="str">
            <v>Item Code</v>
          </cell>
        </row>
      </sheetData>
      <sheetData sheetId="1059">
        <row r="1">
          <cell r="A1" t="str">
            <v>Item Code</v>
          </cell>
        </row>
      </sheetData>
      <sheetData sheetId="1060">
        <row r="1">
          <cell r="A1" t="str">
            <v>Item Code</v>
          </cell>
        </row>
      </sheetData>
      <sheetData sheetId="1061">
        <row r="1">
          <cell r="A1" t="str">
            <v>Item Code</v>
          </cell>
        </row>
      </sheetData>
      <sheetData sheetId="1062">
        <row r="1">
          <cell r="A1" t="str">
            <v>Item Code</v>
          </cell>
        </row>
      </sheetData>
      <sheetData sheetId="1063">
        <row r="1">
          <cell r="A1" t="str">
            <v>Item Code</v>
          </cell>
        </row>
      </sheetData>
      <sheetData sheetId="1064">
        <row r="1">
          <cell r="A1" t="str">
            <v>Item Code</v>
          </cell>
        </row>
      </sheetData>
      <sheetData sheetId="1065">
        <row r="1">
          <cell r="A1" t="str">
            <v>Item Code</v>
          </cell>
        </row>
      </sheetData>
      <sheetData sheetId="1066">
        <row r="1">
          <cell r="A1" t="str">
            <v>Item Code</v>
          </cell>
        </row>
      </sheetData>
      <sheetData sheetId="1067">
        <row r="1">
          <cell r="A1" t="str">
            <v>Item Code</v>
          </cell>
        </row>
      </sheetData>
      <sheetData sheetId="1068">
        <row r="1">
          <cell r="A1" t="str">
            <v>Item Code</v>
          </cell>
        </row>
      </sheetData>
      <sheetData sheetId="1069">
        <row r="1">
          <cell r="A1" t="str">
            <v>Item Code</v>
          </cell>
        </row>
      </sheetData>
      <sheetData sheetId="1070">
        <row r="1">
          <cell r="A1" t="str">
            <v>Item Code</v>
          </cell>
        </row>
      </sheetData>
      <sheetData sheetId="1071">
        <row r="1">
          <cell r="A1" t="str">
            <v>Item Code</v>
          </cell>
        </row>
      </sheetData>
      <sheetData sheetId="1072">
        <row r="1">
          <cell r="A1" t="str">
            <v>Item Code</v>
          </cell>
        </row>
      </sheetData>
      <sheetData sheetId="1073">
        <row r="1">
          <cell r="A1" t="str">
            <v>Item Code</v>
          </cell>
        </row>
      </sheetData>
      <sheetData sheetId="1074">
        <row r="1">
          <cell r="A1" t="str">
            <v>Item Code</v>
          </cell>
        </row>
      </sheetData>
      <sheetData sheetId="1075">
        <row r="1">
          <cell r="A1" t="str">
            <v>Item Code</v>
          </cell>
        </row>
      </sheetData>
      <sheetData sheetId="1076">
        <row r="1">
          <cell r="A1" t="str">
            <v>Item Code</v>
          </cell>
        </row>
      </sheetData>
      <sheetData sheetId="1077">
        <row r="1">
          <cell r="A1" t="str">
            <v>Item Code</v>
          </cell>
        </row>
      </sheetData>
      <sheetData sheetId="1078">
        <row r="1">
          <cell r="A1" t="str">
            <v>Item Code</v>
          </cell>
        </row>
      </sheetData>
      <sheetData sheetId="1079">
        <row r="1">
          <cell r="A1" t="str">
            <v>Item Code</v>
          </cell>
        </row>
      </sheetData>
      <sheetData sheetId="1080">
        <row r="1">
          <cell r="A1" t="str">
            <v>Item Code</v>
          </cell>
        </row>
      </sheetData>
      <sheetData sheetId="1081">
        <row r="1">
          <cell r="A1" t="str">
            <v>Item Code</v>
          </cell>
        </row>
      </sheetData>
      <sheetData sheetId="1082">
        <row r="1">
          <cell r="A1" t="str">
            <v>Item Code</v>
          </cell>
        </row>
      </sheetData>
      <sheetData sheetId="1083">
        <row r="1">
          <cell r="A1" t="str">
            <v>Item Code</v>
          </cell>
        </row>
      </sheetData>
      <sheetData sheetId="1084">
        <row r="1">
          <cell r="A1" t="str">
            <v>Item Code</v>
          </cell>
        </row>
      </sheetData>
      <sheetData sheetId="1085">
        <row r="1">
          <cell r="A1" t="str">
            <v>Item Code</v>
          </cell>
        </row>
      </sheetData>
      <sheetData sheetId="1086">
        <row r="1">
          <cell r="A1" t="str">
            <v>Item Code</v>
          </cell>
        </row>
      </sheetData>
      <sheetData sheetId="1087">
        <row r="1">
          <cell r="A1" t="str">
            <v>Item Code</v>
          </cell>
        </row>
      </sheetData>
      <sheetData sheetId="1088">
        <row r="1">
          <cell r="A1" t="str">
            <v>Item Code</v>
          </cell>
        </row>
      </sheetData>
      <sheetData sheetId="1089">
        <row r="1">
          <cell r="A1" t="str">
            <v>Item Code</v>
          </cell>
        </row>
      </sheetData>
      <sheetData sheetId="1090">
        <row r="1">
          <cell r="A1" t="str">
            <v>Item Code</v>
          </cell>
        </row>
      </sheetData>
      <sheetData sheetId="1091">
        <row r="1">
          <cell r="A1" t="str">
            <v>Item Code</v>
          </cell>
        </row>
      </sheetData>
      <sheetData sheetId="1092">
        <row r="1">
          <cell r="A1" t="str">
            <v>Item Code</v>
          </cell>
        </row>
      </sheetData>
      <sheetData sheetId="1093">
        <row r="1">
          <cell r="A1" t="str">
            <v>Item Code</v>
          </cell>
        </row>
      </sheetData>
      <sheetData sheetId="1094">
        <row r="1">
          <cell r="A1" t="str">
            <v>Item Code</v>
          </cell>
        </row>
      </sheetData>
      <sheetData sheetId="1095">
        <row r="1">
          <cell r="A1" t="str">
            <v>Item Code</v>
          </cell>
        </row>
      </sheetData>
      <sheetData sheetId="1096">
        <row r="1">
          <cell r="A1" t="str">
            <v>Item Code</v>
          </cell>
        </row>
      </sheetData>
      <sheetData sheetId="1097">
        <row r="1">
          <cell r="A1" t="str">
            <v>Item Code</v>
          </cell>
        </row>
      </sheetData>
      <sheetData sheetId="1098">
        <row r="1">
          <cell r="A1" t="str">
            <v>Item Code</v>
          </cell>
        </row>
      </sheetData>
      <sheetData sheetId="1099">
        <row r="1">
          <cell r="A1" t="str">
            <v>Item Code</v>
          </cell>
        </row>
      </sheetData>
      <sheetData sheetId="1100"/>
      <sheetData sheetId="1101">
        <row r="1">
          <cell r="A1" t="str">
            <v>Item Code</v>
          </cell>
        </row>
      </sheetData>
      <sheetData sheetId="1102">
        <row r="1">
          <cell r="A1" t="str">
            <v>Item Code</v>
          </cell>
        </row>
      </sheetData>
      <sheetData sheetId="1103">
        <row r="1">
          <cell r="A1" t="str">
            <v>Item Code</v>
          </cell>
        </row>
      </sheetData>
      <sheetData sheetId="1104">
        <row r="1">
          <cell r="A1" t="str">
            <v>Item Code</v>
          </cell>
        </row>
      </sheetData>
      <sheetData sheetId="1105">
        <row r="1">
          <cell r="A1" t="str">
            <v>Item Code</v>
          </cell>
        </row>
      </sheetData>
      <sheetData sheetId="1106">
        <row r="1">
          <cell r="A1" t="str">
            <v>Item Code</v>
          </cell>
        </row>
      </sheetData>
      <sheetData sheetId="1107">
        <row r="1">
          <cell r="A1" t="str">
            <v>Item Code</v>
          </cell>
        </row>
      </sheetData>
      <sheetData sheetId="1108">
        <row r="1">
          <cell r="A1" t="str">
            <v>Item Code</v>
          </cell>
        </row>
      </sheetData>
      <sheetData sheetId="1109">
        <row r="1">
          <cell r="A1" t="str">
            <v>Item Code</v>
          </cell>
        </row>
      </sheetData>
      <sheetData sheetId="1110">
        <row r="1">
          <cell r="A1" t="str">
            <v>Item Code</v>
          </cell>
        </row>
      </sheetData>
      <sheetData sheetId="1111">
        <row r="1">
          <cell r="A1" t="str">
            <v>Item Code</v>
          </cell>
        </row>
      </sheetData>
      <sheetData sheetId="1112">
        <row r="1">
          <cell r="A1" t="str">
            <v>Item Code</v>
          </cell>
        </row>
      </sheetData>
      <sheetData sheetId="1113">
        <row r="1">
          <cell r="A1" t="str">
            <v>Item Code</v>
          </cell>
        </row>
      </sheetData>
      <sheetData sheetId="1114">
        <row r="1">
          <cell r="A1" t="str">
            <v>Item Code</v>
          </cell>
        </row>
      </sheetData>
      <sheetData sheetId="1115">
        <row r="1">
          <cell r="A1" t="str">
            <v>Item Code</v>
          </cell>
        </row>
      </sheetData>
      <sheetData sheetId="1116">
        <row r="1">
          <cell r="A1" t="str">
            <v>Item Code</v>
          </cell>
        </row>
      </sheetData>
      <sheetData sheetId="1117">
        <row r="1">
          <cell r="A1" t="str">
            <v>Item Code</v>
          </cell>
        </row>
      </sheetData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/>
      <sheetData sheetId="1137"/>
      <sheetData sheetId="1138" refreshError="1"/>
      <sheetData sheetId="1139" refreshError="1"/>
      <sheetData sheetId="1140"/>
      <sheetData sheetId="1141"/>
      <sheetData sheetId="1142">
        <row r="1">
          <cell r="A1" t="str">
            <v>Item Code</v>
          </cell>
        </row>
      </sheetData>
      <sheetData sheetId="1143">
        <row r="1">
          <cell r="A1" t="str">
            <v>Item Code</v>
          </cell>
        </row>
      </sheetData>
      <sheetData sheetId="1144"/>
      <sheetData sheetId="1145"/>
      <sheetData sheetId="1146">
        <row r="1">
          <cell r="A1" t="str">
            <v>Item Code</v>
          </cell>
        </row>
      </sheetData>
      <sheetData sheetId="1147">
        <row r="1">
          <cell r="A1" t="str">
            <v>Item Code</v>
          </cell>
        </row>
      </sheetData>
      <sheetData sheetId="1148">
        <row r="1">
          <cell r="A1" t="str">
            <v>Item Code</v>
          </cell>
        </row>
      </sheetData>
      <sheetData sheetId="1149">
        <row r="1">
          <cell r="A1" t="str">
            <v>Item Code</v>
          </cell>
        </row>
      </sheetData>
      <sheetData sheetId="1150">
        <row r="1">
          <cell r="A1" t="str">
            <v>Item Code</v>
          </cell>
        </row>
      </sheetData>
      <sheetData sheetId="1151">
        <row r="1">
          <cell r="A1" t="str">
            <v>Item Code</v>
          </cell>
        </row>
      </sheetData>
      <sheetData sheetId="1152">
        <row r="1">
          <cell r="A1" t="str">
            <v>Item Code</v>
          </cell>
        </row>
      </sheetData>
      <sheetData sheetId="1153">
        <row r="1">
          <cell r="A1" t="str">
            <v>Item Code</v>
          </cell>
        </row>
      </sheetData>
      <sheetData sheetId="1154">
        <row r="1">
          <cell r="A1" t="str">
            <v>Item Code</v>
          </cell>
        </row>
      </sheetData>
      <sheetData sheetId="1155">
        <row r="1">
          <cell r="A1" t="str">
            <v>Item Code</v>
          </cell>
        </row>
      </sheetData>
      <sheetData sheetId="1156">
        <row r="1">
          <cell r="A1" t="str">
            <v>Item Code</v>
          </cell>
        </row>
      </sheetData>
      <sheetData sheetId="1157">
        <row r="1">
          <cell r="A1" t="str">
            <v>Item Code</v>
          </cell>
        </row>
      </sheetData>
      <sheetData sheetId="1158">
        <row r="1">
          <cell r="A1" t="str">
            <v>Item Code</v>
          </cell>
        </row>
      </sheetData>
      <sheetData sheetId="1159">
        <row r="1">
          <cell r="A1" t="str">
            <v>Item Code</v>
          </cell>
        </row>
      </sheetData>
      <sheetData sheetId="1160">
        <row r="1">
          <cell r="A1" t="str">
            <v>Item Code</v>
          </cell>
        </row>
      </sheetData>
      <sheetData sheetId="1161">
        <row r="1">
          <cell r="A1" t="str">
            <v>Item Code</v>
          </cell>
        </row>
      </sheetData>
      <sheetData sheetId="1162">
        <row r="1">
          <cell r="A1" t="str">
            <v>Item Code</v>
          </cell>
        </row>
      </sheetData>
      <sheetData sheetId="1163">
        <row r="1">
          <cell r="A1" t="str">
            <v>Item Code</v>
          </cell>
        </row>
      </sheetData>
      <sheetData sheetId="1164">
        <row r="1">
          <cell r="A1" t="str">
            <v>Item Code</v>
          </cell>
        </row>
      </sheetData>
      <sheetData sheetId="1165">
        <row r="1">
          <cell r="A1" t="str">
            <v>Item Code</v>
          </cell>
        </row>
      </sheetData>
      <sheetData sheetId="1166">
        <row r="1">
          <cell r="A1" t="str">
            <v>Item Code</v>
          </cell>
        </row>
      </sheetData>
      <sheetData sheetId="1167">
        <row r="1">
          <cell r="A1" t="str">
            <v>Item Code</v>
          </cell>
        </row>
      </sheetData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/>
      <sheetData sheetId="1247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/>
      <sheetData sheetId="1255"/>
      <sheetData sheetId="1256"/>
      <sheetData sheetId="1257"/>
      <sheetData sheetId="1258">
        <row r="1">
          <cell r="A1" t="str">
            <v>Item Code</v>
          </cell>
        </row>
      </sheetData>
      <sheetData sheetId="1259" refreshError="1"/>
      <sheetData sheetId="1260" refreshError="1"/>
      <sheetData sheetId="1261">
        <row r="1">
          <cell r="A1" t="str">
            <v>Item Code</v>
          </cell>
        </row>
      </sheetData>
      <sheetData sheetId="1262">
        <row r="1">
          <cell r="A1" t="str">
            <v>Item Code</v>
          </cell>
        </row>
      </sheetData>
      <sheetData sheetId="1263"/>
      <sheetData sheetId="1264"/>
      <sheetData sheetId="1265">
        <row r="1">
          <cell r="A1" t="str">
            <v>Item Code</v>
          </cell>
        </row>
      </sheetData>
      <sheetData sheetId="1266">
        <row r="1">
          <cell r="A1" t="str">
            <v>Item Code</v>
          </cell>
        </row>
      </sheetData>
      <sheetData sheetId="1267">
        <row r="1">
          <cell r="A1" t="str">
            <v>Item Code</v>
          </cell>
        </row>
      </sheetData>
      <sheetData sheetId="1268">
        <row r="1">
          <cell r="A1" t="str">
            <v>Item Code</v>
          </cell>
        </row>
      </sheetData>
      <sheetData sheetId="1269">
        <row r="1">
          <cell r="A1" t="str">
            <v>Item Code</v>
          </cell>
        </row>
      </sheetData>
      <sheetData sheetId="1270">
        <row r="1">
          <cell r="A1" t="str">
            <v>Item Code</v>
          </cell>
        </row>
      </sheetData>
      <sheetData sheetId="1271">
        <row r="1">
          <cell r="A1" t="str">
            <v>Item Code</v>
          </cell>
        </row>
      </sheetData>
      <sheetData sheetId="1272">
        <row r="1">
          <cell r="A1" t="str">
            <v>Item Code</v>
          </cell>
        </row>
      </sheetData>
      <sheetData sheetId="1273">
        <row r="1">
          <cell r="A1" t="str">
            <v>Item Code</v>
          </cell>
        </row>
      </sheetData>
      <sheetData sheetId="1274">
        <row r="1">
          <cell r="A1" t="str">
            <v>Item Code</v>
          </cell>
        </row>
      </sheetData>
      <sheetData sheetId="1275">
        <row r="1">
          <cell r="A1" t="str">
            <v>Item Code</v>
          </cell>
        </row>
      </sheetData>
      <sheetData sheetId="1276">
        <row r="1">
          <cell r="A1" t="str">
            <v>Item Code</v>
          </cell>
        </row>
      </sheetData>
      <sheetData sheetId="1277">
        <row r="1">
          <cell r="A1" t="str">
            <v>Item Code</v>
          </cell>
        </row>
      </sheetData>
      <sheetData sheetId="1278">
        <row r="1">
          <cell r="A1" t="str">
            <v>Item Code</v>
          </cell>
        </row>
      </sheetData>
      <sheetData sheetId="1279">
        <row r="1">
          <cell r="A1" t="str">
            <v>Item Code</v>
          </cell>
        </row>
      </sheetData>
      <sheetData sheetId="1280">
        <row r="1">
          <cell r="A1" t="str">
            <v>Item Code</v>
          </cell>
        </row>
      </sheetData>
      <sheetData sheetId="1281">
        <row r="1">
          <cell r="A1" t="str">
            <v>Item Code</v>
          </cell>
        </row>
      </sheetData>
      <sheetData sheetId="1282">
        <row r="1">
          <cell r="A1" t="str">
            <v>Item Code</v>
          </cell>
        </row>
      </sheetData>
      <sheetData sheetId="1283">
        <row r="1">
          <cell r="A1" t="str">
            <v>Item Code</v>
          </cell>
        </row>
      </sheetData>
      <sheetData sheetId="1284">
        <row r="1">
          <cell r="A1" t="str">
            <v>Item Code</v>
          </cell>
        </row>
      </sheetData>
      <sheetData sheetId="1285">
        <row r="1">
          <cell r="A1" t="str">
            <v>Item Code</v>
          </cell>
        </row>
      </sheetData>
      <sheetData sheetId="1286">
        <row r="1">
          <cell r="A1" t="str">
            <v>Item Code</v>
          </cell>
        </row>
      </sheetData>
      <sheetData sheetId="1287">
        <row r="1">
          <cell r="A1" t="str">
            <v>Item Code</v>
          </cell>
        </row>
      </sheetData>
      <sheetData sheetId="1288">
        <row r="1">
          <cell r="A1" t="str">
            <v>Item Code</v>
          </cell>
        </row>
      </sheetData>
      <sheetData sheetId="1289">
        <row r="1">
          <cell r="A1" t="str">
            <v>Item Code</v>
          </cell>
        </row>
      </sheetData>
      <sheetData sheetId="1290">
        <row r="1">
          <cell r="A1" t="str">
            <v>Item Code</v>
          </cell>
        </row>
      </sheetData>
      <sheetData sheetId="1291">
        <row r="1">
          <cell r="A1" t="str">
            <v>Item Code</v>
          </cell>
        </row>
      </sheetData>
      <sheetData sheetId="1292">
        <row r="1">
          <cell r="A1" t="str">
            <v>Item Code</v>
          </cell>
        </row>
      </sheetData>
      <sheetData sheetId="1293">
        <row r="1">
          <cell r="A1" t="str">
            <v>Item Code</v>
          </cell>
        </row>
      </sheetData>
      <sheetData sheetId="1294">
        <row r="1">
          <cell r="A1" t="str">
            <v>Item Code</v>
          </cell>
        </row>
      </sheetData>
      <sheetData sheetId="1295">
        <row r="1">
          <cell r="A1" t="str">
            <v>Item Code</v>
          </cell>
        </row>
      </sheetData>
      <sheetData sheetId="1296">
        <row r="1">
          <cell r="A1" t="str">
            <v>Item Code</v>
          </cell>
        </row>
      </sheetData>
      <sheetData sheetId="1297">
        <row r="1">
          <cell r="A1" t="str">
            <v>Item Code</v>
          </cell>
        </row>
      </sheetData>
      <sheetData sheetId="1298">
        <row r="1">
          <cell r="A1" t="str">
            <v>Item Code</v>
          </cell>
        </row>
      </sheetData>
      <sheetData sheetId="1299">
        <row r="1">
          <cell r="A1" t="str">
            <v>Item Code</v>
          </cell>
        </row>
      </sheetData>
      <sheetData sheetId="1300">
        <row r="1">
          <cell r="A1" t="str">
            <v>Item Code</v>
          </cell>
        </row>
      </sheetData>
      <sheetData sheetId="1301">
        <row r="1">
          <cell r="A1" t="str">
            <v>Item Code</v>
          </cell>
        </row>
      </sheetData>
      <sheetData sheetId="1302">
        <row r="1">
          <cell r="A1" t="str">
            <v>Item Code</v>
          </cell>
        </row>
      </sheetData>
      <sheetData sheetId="1303">
        <row r="1">
          <cell r="A1" t="str">
            <v>Item Code</v>
          </cell>
        </row>
      </sheetData>
      <sheetData sheetId="1304">
        <row r="1">
          <cell r="A1" t="str">
            <v>Item Code</v>
          </cell>
        </row>
      </sheetData>
      <sheetData sheetId="1305">
        <row r="1">
          <cell r="A1" t="str">
            <v>Item Code</v>
          </cell>
        </row>
      </sheetData>
      <sheetData sheetId="1306">
        <row r="1">
          <cell r="A1" t="str">
            <v>Item Code</v>
          </cell>
        </row>
      </sheetData>
      <sheetData sheetId="1307">
        <row r="1">
          <cell r="A1" t="str">
            <v>Item Code</v>
          </cell>
        </row>
      </sheetData>
      <sheetData sheetId="1308">
        <row r="1">
          <cell r="A1" t="str">
            <v>Item Code</v>
          </cell>
        </row>
      </sheetData>
      <sheetData sheetId="1309">
        <row r="1">
          <cell r="A1" t="str">
            <v>Item Code</v>
          </cell>
        </row>
      </sheetData>
      <sheetData sheetId="1310">
        <row r="1">
          <cell r="A1" t="str">
            <v>Item Code</v>
          </cell>
        </row>
      </sheetData>
      <sheetData sheetId="1311">
        <row r="1">
          <cell r="A1" t="str">
            <v>Item Code</v>
          </cell>
        </row>
      </sheetData>
      <sheetData sheetId="1312">
        <row r="1">
          <cell r="A1" t="str">
            <v>Item Code</v>
          </cell>
        </row>
      </sheetData>
      <sheetData sheetId="1313">
        <row r="1">
          <cell r="A1" t="str">
            <v>Item Code</v>
          </cell>
        </row>
      </sheetData>
      <sheetData sheetId="1314">
        <row r="1">
          <cell r="A1" t="str">
            <v>Item Code</v>
          </cell>
        </row>
      </sheetData>
      <sheetData sheetId="1315">
        <row r="1">
          <cell r="A1" t="str">
            <v>Item Code</v>
          </cell>
        </row>
      </sheetData>
      <sheetData sheetId="1316">
        <row r="1">
          <cell r="A1" t="str">
            <v>Item Code</v>
          </cell>
        </row>
      </sheetData>
      <sheetData sheetId="1317">
        <row r="1">
          <cell r="A1" t="str">
            <v>Item Code</v>
          </cell>
        </row>
      </sheetData>
      <sheetData sheetId="1318">
        <row r="1">
          <cell r="A1" t="str">
            <v>Item Code</v>
          </cell>
        </row>
      </sheetData>
      <sheetData sheetId="1319">
        <row r="1">
          <cell r="A1" t="str">
            <v>Item Code</v>
          </cell>
        </row>
      </sheetData>
      <sheetData sheetId="1320">
        <row r="1">
          <cell r="A1" t="str">
            <v>Item Code</v>
          </cell>
        </row>
      </sheetData>
      <sheetData sheetId="1321">
        <row r="1">
          <cell r="A1" t="str">
            <v>Item Code</v>
          </cell>
        </row>
      </sheetData>
      <sheetData sheetId="1322">
        <row r="1">
          <cell r="A1" t="str">
            <v>Item Code</v>
          </cell>
        </row>
      </sheetData>
      <sheetData sheetId="1323">
        <row r="1">
          <cell r="A1" t="str">
            <v>Item Code</v>
          </cell>
        </row>
      </sheetData>
      <sheetData sheetId="1324">
        <row r="1">
          <cell r="A1" t="str">
            <v>Item Code</v>
          </cell>
        </row>
      </sheetData>
      <sheetData sheetId="1325">
        <row r="1">
          <cell r="A1" t="str">
            <v>Item Code</v>
          </cell>
        </row>
      </sheetData>
      <sheetData sheetId="1326">
        <row r="1">
          <cell r="A1" t="str">
            <v>Item Code</v>
          </cell>
        </row>
      </sheetData>
      <sheetData sheetId="1327">
        <row r="1">
          <cell r="A1" t="str">
            <v>Item Code</v>
          </cell>
        </row>
      </sheetData>
      <sheetData sheetId="1328">
        <row r="1">
          <cell r="A1" t="str">
            <v>Item Code</v>
          </cell>
        </row>
      </sheetData>
      <sheetData sheetId="1329">
        <row r="1">
          <cell r="A1" t="str">
            <v>Item Code</v>
          </cell>
        </row>
      </sheetData>
      <sheetData sheetId="1330">
        <row r="1">
          <cell r="A1" t="str">
            <v>Item Code</v>
          </cell>
        </row>
      </sheetData>
      <sheetData sheetId="1331">
        <row r="1">
          <cell r="A1" t="str">
            <v>Item Code</v>
          </cell>
        </row>
      </sheetData>
      <sheetData sheetId="1332">
        <row r="1">
          <cell r="A1" t="str">
            <v>Item Code</v>
          </cell>
        </row>
      </sheetData>
      <sheetData sheetId="1333">
        <row r="1">
          <cell r="A1" t="str">
            <v>Item Code</v>
          </cell>
        </row>
      </sheetData>
      <sheetData sheetId="1334">
        <row r="1">
          <cell r="A1" t="str">
            <v>Item Code</v>
          </cell>
        </row>
      </sheetData>
      <sheetData sheetId="1335">
        <row r="1">
          <cell r="A1" t="str">
            <v>Item Code</v>
          </cell>
        </row>
      </sheetData>
      <sheetData sheetId="1336">
        <row r="1">
          <cell r="A1" t="str">
            <v>Item Code</v>
          </cell>
        </row>
      </sheetData>
      <sheetData sheetId="1337">
        <row r="1">
          <cell r="A1" t="str">
            <v>Item Code</v>
          </cell>
        </row>
      </sheetData>
      <sheetData sheetId="1338">
        <row r="1">
          <cell r="A1" t="str">
            <v>Item Code</v>
          </cell>
        </row>
      </sheetData>
      <sheetData sheetId="1339">
        <row r="1">
          <cell r="A1" t="str">
            <v>Item Code</v>
          </cell>
        </row>
      </sheetData>
      <sheetData sheetId="1340">
        <row r="1">
          <cell r="A1" t="str">
            <v>Item Code</v>
          </cell>
        </row>
      </sheetData>
      <sheetData sheetId="1341">
        <row r="1">
          <cell r="A1" t="str">
            <v>Item Code</v>
          </cell>
        </row>
      </sheetData>
      <sheetData sheetId="1342">
        <row r="1">
          <cell r="A1" t="str">
            <v>Item Code</v>
          </cell>
        </row>
      </sheetData>
      <sheetData sheetId="1343">
        <row r="1">
          <cell r="A1" t="str">
            <v>Item Code</v>
          </cell>
        </row>
      </sheetData>
      <sheetData sheetId="1344">
        <row r="1">
          <cell r="A1" t="str">
            <v>Item Code</v>
          </cell>
        </row>
      </sheetData>
      <sheetData sheetId="1345">
        <row r="1">
          <cell r="A1" t="str">
            <v>Item Code</v>
          </cell>
        </row>
      </sheetData>
      <sheetData sheetId="1346">
        <row r="1">
          <cell r="A1" t="str">
            <v>Item Code</v>
          </cell>
        </row>
      </sheetData>
      <sheetData sheetId="1347">
        <row r="1">
          <cell r="A1" t="str">
            <v>Item Code</v>
          </cell>
        </row>
      </sheetData>
      <sheetData sheetId="1348">
        <row r="1">
          <cell r="A1" t="str">
            <v>Item Code</v>
          </cell>
        </row>
      </sheetData>
      <sheetData sheetId="1349">
        <row r="1">
          <cell r="A1" t="str">
            <v>Item Code</v>
          </cell>
        </row>
      </sheetData>
      <sheetData sheetId="1350">
        <row r="1">
          <cell r="A1" t="str">
            <v>Item Code</v>
          </cell>
        </row>
      </sheetData>
      <sheetData sheetId="1351">
        <row r="1">
          <cell r="A1" t="str">
            <v>Item Code</v>
          </cell>
        </row>
      </sheetData>
      <sheetData sheetId="1352">
        <row r="1">
          <cell r="A1" t="str">
            <v>Item Code</v>
          </cell>
        </row>
      </sheetData>
      <sheetData sheetId="1353">
        <row r="1">
          <cell r="A1" t="str">
            <v>Item Code</v>
          </cell>
        </row>
      </sheetData>
      <sheetData sheetId="1354">
        <row r="1">
          <cell r="A1" t="str">
            <v>Item Code</v>
          </cell>
        </row>
      </sheetData>
      <sheetData sheetId="1355">
        <row r="1">
          <cell r="A1" t="str">
            <v>Item Code</v>
          </cell>
        </row>
      </sheetData>
      <sheetData sheetId="1356">
        <row r="1">
          <cell r="A1" t="str">
            <v>Item Code</v>
          </cell>
        </row>
      </sheetData>
      <sheetData sheetId="1357">
        <row r="1">
          <cell r="A1" t="str">
            <v>Item Code</v>
          </cell>
        </row>
      </sheetData>
      <sheetData sheetId="1358">
        <row r="1">
          <cell r="A1" t="str">
            <v>Item Code</v>
          </cell>
        </row>
      </sheetData>
      <sheetData sheetId="1359">
        <row r="1">
          <cell r="A1" t="str">
            <v>Item Code</v>
          </cell>
        </row>
      </sheetData>
      <sheetData sheetId="1360">
        <row r="1">
          <cell r="A1" t="str">
            <v>Item Code</v>
          </cell>
        </row>
      </sheetData>
      <sheetData sheetId="1361">
        <row r="1">
          <cell r="A1" t="str">
            <v>Item Code</v>
          </cell>
        </row>
      </sheetData>
      <sheetData sheetId="1362">
        <row r="1">
          <cell r="A1" t="str">
            <v>Item Code</v>
          </cell>
        </row>
      </sheetData>
      <sheetData sheetId="1363">
        <row r="1">
          <cell r="A1" t="str">
            <v>Item Code</v>
          </cell>
        </row>
      </sheetData>
      <sheetData sheetId="1364">
        <row r="1">
          <cell r="A1" t="str">
            <v>Item Code</v>
          </cell>
        </row>
      </sheetData>
      <sheetData sheetId="1365">
        <row r="1">
          <cell r="A1" t="str">
            <v>Item Code</v>
          </cell>
        </row>
      </sheetData>
      <sheetData sheetId="1366">
        <row r="1">
          <cell r="A1" t="str">
            <v>Item Code</v>
          </cell>
        </row>
      </sheetData>
      <sheetData sheetId="1367">
        <row r="1">
          <cell r="A1" t="str">
            <v>Item Code</v>
          </cell>
        </row>
      </sheetData>
      <sheetData sheetId="1368">
        <row r="1">
          <cell r="A1" t="str">
            <v>Item Code</v>
          </cell>
        </row>
      </sheetData>
      <sheetData sheetId="1369">
        <row r="1">
          <cell r="A1" t="str">
            <v>Item Code</v>
          </cell>
        </row>
      </sheetData>
      <sheetData sheetId="1370">
        <row r="1">
          <cell r="A1" t="str">
            <v>Item Code</v>
          </cell>
        </row>
      </sheetData>
      <sheetData sheetId="1371">
        <row r="1">
          <cell r="A1" t="str">
            <v>Item Code</v>
          </cell>
        </row>
      </sheetData>
      <sheetData sheetId="1372">
        <row r="1">
          <cell r="A1" t="str">
            <v>Item Code</v>
          </cell>
        </row>
      </sheetData>
      <sheetData sheetId="1373">
        <row r="1">
          <cell r="A1" t="str">
            <v>Item Code</v>
          </cell>
        </row>
      </sheetData>
      <sheetData sheetId="1374">
        <row r="1">
          <cell r="A1" t="str">
            <v>Item Code</v>
          </cell>
        </row>
      </sheetData>
      <sheetData sheetId="1375">
        <row r="1">
          <cell r="A1" t="str">
            <v>Item Code</v>
          </cell>
        </row>
      </sheetData>
      <sheetData sheetId="1376">
        <row r="1">
          <cell r="A1" t="str">
            <v>Item Code</v>
          </cell>
        </row>
      </sheetData>
      <sheetData sheetId="1377">
        <row r="1">
          <cell r="A1" t="str">
            <v>Item Code</v>
          </cell>
        </row>
      </sheetData>
      <sheetData sheetId="1378">
        <row r="1">
          <cell r="A1" t="str">
            <v>Item Code</v>
          </cell>
        </row>
      </sheetData>
      <sheetData sheetId="1379">
        <row r="1">
          <cell r="A1" t="str">
            <v>Item Code</v>
          </cell>
        </row>
      </sheetData>
      <sheetData sheetId="1380">
        <row r="1">
          <cell r="A1" t="str">
            <v>Item Code</v>
          </cell>
        </row>
      </sheetData>
      <sheetData sheetId="1381">
        <row r="1">
          <cell r="A1" t="str">
            <v>Item Code</v>
          </cell>
        </row>
      </sheetData>
      <sheetData sheetId="1382">
        <row r="1">
          <cell r="A1" t="str">
            <v>Item Code</v>
          </cell>
        </row>
      </sheetData>
      <sheetData sheetId="1383">
        <row r="1">
          <cell r="A1" t="str">
            <v>Item Code</v>
          </cell>
        </row>
      </sheetData>
      <sheetData sheetId="1384">
        <row r="1">
          <cell r="A1" t="str">
            <v>Item Code</v>
          </cell>
        </row>
      </sheetData>
      <sheetData sheetId="1385">
        <row r="1">
          <cell r="A1" t="str">
            <v>Item Code</v>
          </cell>
        </row>
      </sheetData>
      <sheetData sheetId="1386">
        <row r="1">
          <cell r="A1" t="str">
            <v>Item Code</v>
          </cell>
        </row>
      </sheetData>
      <sheetData sheetId="1387">
        <row r="1">
          <cell r="A1" t="str">
            <v>Item Code</v>
          </cell>
        </row>
      </sheetData>
      <sheetData sheetId="1388">
        <row r="1">
          <cell r="A1" t="str">
            <v>Item Code</v>
          </cell>
        </row>
      </sheetData>
      <sheetData sheetId="1389">
        <row r="1">
          <cell r="A1" t="str">
            <v>Item Code</v>
          </cell>
        </row>
      </sheetData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/>
      <sheetData sheetId="1496"/>
      <sheetData sheetId="1497"/>
      <sheetData sheetId="1498"/>
      <sheetData sheetId="1499">
        <row r="1">
          <cell r="A1" t="str">
            <v>Item Code</v>
          </cell>
        </row>
      </sheetData>
      <sheetData sheetId="1500">
        <row r="1">
          <cell r="A1" t="str">
            <v>Item Code</v>
          </cell>
        </row>
      </sheetData>
      <sheetData sheetId="1501">
        <row r="1">
          <cell r="A1" t="str">
            <v>Item Code</v>
          </cell>
        </row>
      </sheetData>
      <sheetData sheetId="1502">
        <row r="1">
          <cell r="A1" t="str">
            <v>Item Code</v>
          </cell>
        </row>
      </sheetData>
      <sheetData sheetId="1503">
        <row r="1">
          <cell r="A1" t="str">
            <v>Item Code</v>
          </cell>
        </row>
      </sheetData>
      <sheetData sheetId="1504">
        <row r="1">
          <cell r="A1" t="str">
            <v>Item Code</v>
          </cell>
        </row>
      </sheetData>
      <sheetData sheetId="1505">
        <row r="1">
          <cell r="A1" t="str">
            <v>Item Code</v>
          </cell>
        </row>
      </sheetData>
      <sheetData sheetId="1506">
        <row r="1">
          <cell r="A1" t="str">
            <v>Item Code</v>
          </cell>
        </row>
      </sheetData>
      <sheetData sheetId="1507">
        <row r="1">
          <cell r="A1" t="str">
            <v>Item Code</v>
          </cell>
        </row>
      </sheetData>
      <sheetData sheetId="1508">
        <row r="1">
          <cell r="A1" t="str">
            <v>Item Code</v>
          </cell>
        </row>
      </sheetData>
      <sheetData sheetId="1509">
        <row r="1">
          <cell r="A1" t="str">
            <v>Item Code</v>
          </cell>
        </row>
      </sheetData>
      <sheetData sheetId="1510">
        <row r="1">
          <cell r="A1" t="str">
            <v>Item Code</v>
          </cell>
        </row>
      </sheetData>
      <sheetData sheetId="1511">
        <row r="1">
          <cell r="A1" t="str">
            <v>Item Code</v>
          </cell>
        </row>
      </sheetData>
      <sheetData sheetId="1512">
        <row r="1">
          <cell r="A1" t="str">
            <v>Item Code</v>
          </cell>
        </row>
      </sheetData>
      <sheetData sheetId="1513">
        <row r="1">
          <cell r="A1" t="str">
            <v>Item Code</v>
          </cell>
        </row>
      </sheetData>
      <sheetData sheetId="1514">
        <row r="1">
          <cell r="A1" t="str">
            <v>Item Code</v>
          </cell>
        </row>
      </sheetData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/>
      <sheetData sheetId="1622"/>
      <sheetData sheetId="1623"/>
      <sheetData sheetId="1624"/>
      <sheetData sheetId="1625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/>
      <sheetData sheetId="1662" refreshError="1"/>
      <sheetData sheetId="1663" refreshError="1"/>
      <sheetData sheetId="1664" refreshError="1"/>
      <sheetData sheetId="1665" refreshError="1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>
        <row r="1">
          <cell r="A1" t="str">
            <v>Item Code</v>
          </cell>
        </row>
      </sheetData>
      <sheetData sheetId="1716">
        <row r="1">
          <cell r="A1" t="str">
            <v>Item Code</v>
          </cell>
        </row>
      </sheetData>
      <sheetData sheetId="1717">
        <row r="1">
          <cell r="A1" t="str">
            <v>Item Code</v>
          </cell>
        </row>
      </sheetData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>
        <row r="1">
          <cell r="A1" t="str">
            <v>Item Code</v>
          </cell>
        </row>
      </sheetData>
      <sheetData sheetId="1855"/>
      <sheetData sheetId="1856">
        <row r="18">
          <cell r="N18" t="str">
            <v>ENGINEERING</v>
          </cell>
        </row>
      </sheetData>
      <sheetData sheetId="1857">
        <row r="1">
          <cell r="A1" t="str">
            <v>Item Code</v>
          </cell>
        </row>
      </sheetData>
      <sheetData sheetId="1858">
        <row r="1">
          <cell r="A1" t="str">
            <v>NO</v>
          </cell>
        </row>
      </sheetData>
      <sheetData sheetId="1859">
        <row r="1">
          <cell r="A1" t="str">
            <v>Item Code</v>
          </cell>
        </row>
      </sheetData>
      <sheetData sheetId="1860">
        <row r="1">
          <cell r="D1" t="str">
            <v>No BA Rekon:</v>
          </cell>
        </row>
      </sheetData>
      <sheetData sheetId="1861">
        <row r="1">
          <cell r="D1" t="str">
            <v>No BA Rekon:</v>
          </cell>
        </row>
      </sheetData>
      <sheetData sheetId="1862">
        <row r="1">
          <cell r="D1" t="str">
            <v>No BA Rekon:</v>
          </cell>
        </row>
      </sheetData>
      <sheetData sheetId="1863">
        <row r="1">
          <cell r="A1" t="str">
            <v>Item Code</v>
          </cell>
        </row>
      </sheetData>
      <sheetData sheetId="1864">
        <row r="1">
          <cell r="A1" t="str">
            <v>Item Code</v>
          </cell>
        </row>
      </sheetData>
      <sheetData sheetId="1865">
        <row r="1">
          <cell r="D1" t="str">
            <v>No BA Rekon:</v>
          </cell>
        </row>
      </sheetData>
      <sheetData sheetId="1866">
        <row r="1">
          <cell r="D1" t="str">
            <v>No BA Rekon:</v>
          </cell>
        </row>
      </sheetData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/>
      <sheetData sheetId="1938">
        <row r="1">
          <cell r="A1" t="str">
            <v>Item Code</v>
          </cell>
        </row>
      </sheetData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 refreshError="1"/>
      <sheetData sheetId="1948"/>
      <sheetData sheetId="1949">
        <row r="1">
          <cell r="A1" t="str">
            <v>MAP Listing Fees Propopsal 2019</v>
          </cell>
        </row>
      </sheetData>
      <sheetData sheetId="1950">
        <row r="1">
          <cell r="A1" t="str">
            <v>MAP Listing Fees Propopsal 2019</v>
          </cell>
        </row>
      </sheetData>
      <sheetData sheetId="1951">
        <row r="1">
          <cell r="A1" t="str">
            <v>MAP Listing Fees Propopsal 2019</v>
          </cell>
        </row>
      </sheetData>
      <sheetData sheetId="1952">
        <row r="1">
          <cell r="A1" t="str">
            <v>MAP Listing Fees Propopsal 2019</v>
          </cell>
        </row>
      </sheetData>
      <sheetData sheetId="1953">
        <row r="1">
          <cell r="A1" t="str">
            <v>MAP Listing Fees Propopsal 2019</v>
          </cell>
        </row>
      </sheetData>
      <sheetData sheetId="1954">
        <row r="1">
          <cell r="D1" t="str">
            <v>No BA Rekon:</v>
          </cell>
        </row>
      </sheetData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>
        <row r="1">
          <cell r="D1" t="str">
            <v>No BA Rekon:</v>
          </cell>
        </row>
      </sheetData>
      <sheetData sheetId="2025">
        <row r="1">
          <cell r="D1" t="str">
            <v>No BA Rekon:</v>
          </cell>
        </row>
      </sheetData>
      <sheetData sheetId="2026">
        <row r="1">
          <cell r="D1" t="str">
            <v>No BA Rekon:</v>
          </cell>
        </row>
      </sheetData>
      <sheetData sheetId="2027">
        <row r="1">
          <cell r="D1" t="str">
            <v>No BA Rekon:</v>
          </cell>
        </row>
      </sheetData>
      <sheetData sheetId="2028">
        <row r="1">
          <cell r="A1" t="str">
            <v>Item Code</v>
          </cell>
        </row>
      </sheetData>
      <sheetData sheetId="2029">
        <row r="1">
          <cell r="D1" t="str">
            <v>No BA Rekon:</v>
          </cell>
        </row>
      </sheetData>
      <sheetData sheetId="2030">
        <row r="1">
          <cell r="D1" t="str">
            <v>No BA Rekon:</v>
          </cell>
        </row>
      </sheetData>
      <sheetData sheetId="2031">
        <row r="1">
          <cell r="D1" t="str">
            <v>No BA Rekon:</v>
          </cell>
        </row>
      </sheetData>
      <sheetData sheetId="2032">
        <row r="1">
          <cell r="D1" t="str">
            <v>No BA Rekon:</v>
          </cell>
        </row>
      </sheetData>
      <sheetData sheetId="2033">
        <row r="1">
          <cell r="A1" t="str">
            <v>Item Code</v>
          </cell>
        </row>
      </sheetData>
      <sheetData sheetId="2034">
        <row r="1">
          <cell r="D1" t="str">
            <v>No BA Rekon:</v>
          </cell>
        </row>
      </sheetData>
      <sheetData sheetId="2035">
        <row r="1">
          <cell r="D1" t="str">
            <v>No BA Rekon:</v>
          </cell>
        </row>
      </sheetData>
      <sheetData sheetId="2036">
        <row r="1">
          <cell r="D1" t="str">
            <v>No BA Rekon:</v>
          </cell>
        </row>
      </sheetData>
      <sheetData sheetId="2037">
        <row r="1">
          <cell r="D1" t="str">
            <v>No BA Rekon:</v>
          </cell>
        </row>
      </sheetData>
      <sheetData sheetId="2038">
        <row r="1">
          <cell r="D1" t="str">
            <v>No BA Rekon:</v>
          </cell>
        </row>
      </sheetData>
      <sheetData sheetId="2039">
        <row r="1">
          <cell r="D1" t="str">
            <v>No BA Rekon:</v>
          </cell>
        </row>
      </sheetData>
      <sheetData sheetId="2040">
        <row r="1">
          <cell r="D1" t="str">
            <v>No BA Rekon:</v>
          </cell>
        </row>
      </sheetData>
      <sheetData sheetId="2041">
        <row r="1">
          <cell r="D1" t="str">
            <v>No BA Rekon:</v>
          </cell>
        </row>
      </sheetData>
      <sheetData sheetId="2042">
        <row r="1">
          <cell r="D1" t="str">
            <v>No BA Rekon:</v>
          </cell>
        </row>
      </sheetData>
      <sheetData sheetId="2043">
        <row r="1">
          <cell r="D1" t="str">
            <v>No BA Rekon:</v>
          </cell>
        </row>
      </sheetData>
      <sheetData sheetId="2044">
        <row r="1">
          <cell r="D1" t="str">
            <v>No BA Rekon:</v>
          </cell>
        </row>
      </sheetData>
      <sheetData sheetId="2045">
        <row r="1">
          <cell r="A1" t="str">
            <v>Item Code</v>
          </cell>
        </row>
      </sheetData>
      <sheetData sheetId="2046">
        <row r="1">
          <cell r="A1" t="str">
            <v>MAP Listing Fees Propopsal 2019</v>
          </cell>
        </row>
      </sheetData>
      <sheetData sheetId="2047">
        <row r="1">
          <cell r="A1" t="str">
            <v>Item Code</v>
          </cell>
        </row>
      </sheetData>
      <sheetData sheetId="2048">
        <row r="1">
          <cell r="A1" t="str">
            <v>Item Code</v>
          </cell>
        </row>
      </sheetData>
      <sheetData sheetId="2049">
        <row r="1">
          <cell r="D1" t="str">
            <v>No BA Rekon:</v>
          </cell>
        </row>
      </sheetData>
      <sheetData sheetId="2050">
        <row r="1">
          <cell r="D1" t="str">
            <v>No BA Rekon:</v>
          </cell>
        </row>
      </sheetData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/>
      <sheetData sheetId="2059"/>
      <sheetData sheetId="2060"/>
      <sheetData sheetId="2061"/>
      <sheetData sheetId="2062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>
        <row r="1">
          <cell r="A1" t="str">
            <v>NO</v>
          </cell>
        </row>
      </sheetData>
      <sheetData sheetId="2202"/>
      <sheetData sheetId="2203">
        <row r="18">
          <cell r="N18" t="str">
            <v>ENGINEERING</v>
          </cell>
        </row>
      </sheetData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>
        <row r="1">
          <cell r="D1" t="str">
            <v>No BA Rekon:</v>
          </cell>
        </row>
      </sheetData>
      <sheetData sheetId="2321">
        <row r="1">
          <cell r="D1" t="str">
            <v>No BA Rekon:</v>
          </cell>
        </row>
      </sheetData>
      <sheetData sheetId="2322">
        <row r="1">
          <cell r="A1" t="str">
            <v>MAP Listing Fees Propopsal 2019</v>
          </cell>
        </row>
      </sheetData>
      <sheetData sheetId="2323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>
        <row r="1">
          <cell r="A1" t="str">
            <v>Item Code</v>
          </cell>
        </row>
      </sheetData>
      <sheetData sheetId="2376">
        <row r="1">
          <cell r="A1" t="str">
            <v>Item Code</v>
          </cell>
        </row>
      </sheetData>
      <sheetData sheetId="2377">
        <row r="1">
          <cell r="A1" t="str">
            <v>Item Code</v>
          </cell>
        </row>
      </sheetData>
      <sheetData sheetId="2378">
        <row r="1">
          <cell r="A1" t="str">
            <v>Item Code</v>
          </cell>
        </row>
      </sheetData>
      <sheetData sheetId="2379">
        <row r="1">
          <cell r="A1" t="str">
            <v>Item Code</v>
          </cell>
        </row>
      </sheetData>
      <sheetData sheetId="2380">
        <row r="1">
          <cell r="A1" t="str">
            <v>Item Code</v>
          </cell>
        </row>
      </sheetData>
      <sheetData sheetId="2381">
        <row r="1">
          <cell r="A1" t="str">
            <v>Item Code</v>
          </cell>
        </row>
      </sheetData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>
        <row r="1">
          <cell r="A1" t="str">
            <v>Item Code</v>
          </cell>
        </row>
      </sheetData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>
        <row r="1">
          <cell r="D1" t="str">
            <v>No BA Rekon:</v>
          </cell>
        </row>
      </sheetData>
      <sheetData sheetId="2401">
        <row r="1">
          <cell r="D1" t="str">
            <v>No BA Rekon:</v>
          </cell>
        </row>
      </sheetData>
      <sheetData sheetId="2402">
        <row r="1">
          <cell r="A1" t="str">
            <v>Item Code</v>
          </cell>
        </row>
      </sheetData>
      <sheetData sheetId="2403">
        <row r="1">
          <cell r="D1" t="str">
            <v>No BA Rekon:</v>
          </cell>
        </row>
      </sheetData>
      <sheetData sheetId="2404">
        <row r="1">
          <cell r="D1" t="str">
            <v>No BA Rekon:</v>
          </cell>
        </row>
      </sheetData>
      <sheetData sheetId="2405">
        <row r="1">
          <cell r="D1" t="str">
            <v>No BA Rekon:</v>
          </cell>
        </row>
      </sheetData>
      <sheetData sheetId="2406">
        <row r="1">
          <cell r="D1" t="str">
            <v>No BA Rekon:</v>
          </cell>
        </row>
      </sheetData>
      <sheetData sheetId="2407">
        <row r="1">
          <cell r="D1" t="str">
            <v>No BA Rekon:</v>
          </cell>
        </row>
      </sheetData>
      <sheetData sheetId="2408">
        <row r="1">
          <cell r="D1" t="str">
            <v>No BA Rekon:</v>
          </cell>
        </row>
      </sheetData>
      <sheetData sheetId="2409">
        <row r="1">
          <cell r="D1" t="str">
            <v>No BA Rekon:</v>
          </cell>
        </row>
      </sheetData>
      <sheetData sheetId="2410">
        <row r="1">
          <cell r="D1" t="str">
            <v>No BA Rekon:</v>
          </cell>
        </row>
      </sheetData>
      <sheetData sheetId="2411">
        <row r="1">
          <cell r="D1" t="str">
            <v>No BA Rekon:</v>
          </cell>
        </row>
      </sheetData>
      <sheetData sheetId="2412">
        <row r="1">
          <cell r="D1" t="str">
            <v>No BA Rekon:</v>
          </cell>
        </row>
      </sheetData>
      <sheetData sheetId="2413">
        <row r="1">
          <cell r="A1" t="str">
            <v>Item Code</v>
          </cell>
        </row>
      </sheetData>
      <sheetData sheetId="2414">
        <row r="1">
          <cell r="A1" t="str">
            <v>Item Code</v>
          </cell>
        </row>
      </sheetData>
      <sheetData sheetId="2415">
        <row r="1">
          <cell r="A1" t="str">
            <v>Item Code</v>
          </cell>
        </row>
      </sheetData>
      <sheetData sheetId="2416">
        <row r="1">
          <cell r="A1" t="str">
            <v>Item Code</v>
          </cell>
        </row>
      </sheetData>
      <sheetData sheetId="2417">
        <row r="1">
          <cell r="A1" t="str">
            <v>Item Code</v>
          </cell>
        </row>
      </sheetData>
      <sheetData sheetId="2418">
        <row r="1">
          <cell r="A1" t="str">
            <v>Item Code</v>
          </cell>
        </row>
      </sheetData>
      <sheetData sheetId="2419">
        <row r="1">
          <cell r="A1" t="str">
            <v>MAP Listing Fees Propopsal 2019</v>
          </cell>
        </row>
      </sheetData>
      <sheetData sheetId="2420">
        <row r="1">
          <cell r="A1" t="str">
            <v>MAP Listing Fees Propopsal 2019</v>
          </cell>
        </row>
      </sheetData>
      <sheetData sheetId="2421">
        <row r="1">
          <cell r="D1" t="str">
            <v>No BA Rekon:</v>
          </cell>
        </row>
      </sheetData>
      <sheetData sheetId="2422">
        <row r="1">
          <cell r="D1" t="str">
            <v>No BA Rekon:</v>
          </cell>
        </row>
      </sheetData>
      <sheetData sheetId="2423">
        <row r="1">
          <cell r="D1" t="str">
            <v>No BA Rekon:</v>
          </cell>
        </row>
      </sheetData>
      <sheetData sheetId="2424">
        <row r="1">
          <cell r="D1" t="str">
            <v>No BA Rekon:</v>
          </cell>
        </row>
      </sheetData>
      <sheetData sheetId="2425">
        <row r="1">
          <cell r="D1" t="str">
            <v>No BA Rekon:</v>
          </cell>
        </row>
      </sheetData>
      <sheetData sheetId="2426">
        <row r="1">
          <cell r="A1" t="str">
            <v>Item Code</v>
          </cell>
        </row>
      </sheetData>
      <sheetData sheetId="2427">
        <row r="1">
          <cell r="A1" t="str">
            <v>Item Code</v>
          </cell>
        </row>
      </sheetData>
      <sheetData sheetId="2428">
        <row r="1">
          <cell r="A1" t="str">
            <v>Item Code</v>
          </cell>
        </row>
      </sheetData>
      <sheetData sheetId="2429">
        <row r="1">
          <cell r="A1" t="str">
            <v>Item Code</v>
          </cell>
        </row>
      </sheetData>
      <sheetData sheetId="2430" refreshError="1"/>
      <sheetData sheetId="2431" refreshError="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>
        <row r="1">
          <cell r="D1" t="str">
            <v>No BA Rekon:</v>
          </cell>
        </row>
      </sheetData>
      <sheetData sheetId="2446">
        <row r="1">
          <cell r="D1" t="str">
            <v>No BA Rekon:</v>
          </cell>
        </row>
      </sheetData>
      <sheetData sheetId="2447">
        <row r="1">
          <cell r="D1" t="str">
            <v>No BA Rekon:</v>
          </cell>
        </row>
      </sheetData>
      <sheetData sheetId="2448">
        <row r="1">
          <cell r="D1" t="str">
            <v>No BA Rekon:</v>
          </cell>
        </row>
      </sheetData>
      <sheetData sheetId="2449">
        <row r="1">
          <cell r="D1" t="str">
            <v>No BA Rekon:</v>
          </cell>
        </row>
      </sheetData>
      <sheetData sheetId="2450">
        <row r="1">
          <cell r="D1" t="str">
            <v>No BA Rekon:</v>
          </cell>
        </row>
      </sheetData>
      <sheetData sheetId="2451">
        <row r="1">
          <cell r="D1" t="str">
            <v>No BA Rekon:</v>
          </cell>
        </row>
      </sheetData>
      <sheetData sheetId="2452">
        <row r="1">
          <cell r="D1" t="str">
            <v>No BA Rekon:</v>
          </cell>
        </row>
      </sheetData>
      <sheetData sheetId="2453">
        <row r="1">
          <cell r="D1" t="str">
            <v>No BA Rekon:</v>
          </cell>
        </row>
      </sheetData>
      <sheetData sheetId="2454">
        <row r="1">
          <cell r="A1" t="str">
            <v>Item Code</v>
          </cell>
        </row>
      </sheetData>
      <sheetData sheetId="2455"/>
      <sheetData sheetId="2456">
        <row r="1">
          <cell r="A1" t="str">
            <v>Item Code</v>
          </cell>
        </row>
      </sheetData>
      <sheetData sheetId="2457">
        <row r="1">
          <cell r="A1" t="str">
            <v>Item Code</v>
          </cell>
        </row>
      </sheetData>
      <sheetData sheetId="2458">
        <row r="1">
          <cell r="A1" t="str">
            <v>Item Code</v>
          </cell>
        </row>
      </sheetData>
      <sheetData sheetId="2459">
        <row r="1">
          <cell r="A1" t="str">
            <v>Item Code</v>
          </cell>
        </row>
      </sheetData>
      <sheetData sheetId="2460">
        <row r="1">
          <cell r="A1" t="str">
            <v>Item Code</v>
          </cell>
        </row>
      </sheetData>
      <sheetData sheetId="2461">
        <row r="1">
          <cell r="A1" t="str">
            <v>Item Code</v>
          </cell>
        </row>
      </sheetData>
      <sheetData sheetId="2462">
        <row r="1">
          <cell r="A1" t="str">
            <v>Item Code</v>
          </cell>
        </row>
      </sheetData>
      <sheetData sheetId="2463">
        <row r="1">
          <cell r="A1" t="str">
            <v>Item Code</v>
          </cell>
        </row>
      </sheetData>
      <sheetData sheetId="2464">
        <row r="1">
          <cell r="D1" t="str">
            <v>No BA Rekon:</v>
          </cell>
        </row>
      </sheetData>
      <sheetData sheetId="2465">
        <row r="1">
          <cell r="D1" t="str">
            <v>No BA Rekon:</v>
          </cell>
        </row>
      </sheetData>
      <sheetData sheetId="2466">
        <row r="1">
          <cell r="D1" t="str">
            <v>No BA Rekon:</v>
          </cell>
        </row>
      </sheetData>
      <sheetData sheetId="2467">
        <row r="1">
          <cell r="D1" t="str">
            <v>No BA Rekon:</v>
          </cell>
        </row>
      </sheetData>
      <sheetData sheetId="2468">
        <row r="1">
          <cell r="A1" t="str">
            <v>Item Code</v>
          </cell>
        </row>
      </sheetData>
      <sheetData sheetId="2469">
        <row r="1">
          <cell r="A1" t="str">
            <v>Item Code</v>
          </cell>
        </row>
      </sheetData>
      <sheetData sheetId="2470">
        <row r="1">
          <cell r="A1" t="str">
            <v>Item Code</v>
          </cell>
        </row>
      </sheetData>
      <sheetData sheetId="2471">
        <row r="1">
          <cell r="A1" t="str">
            <v>Item Code</v>
          </cell>
        </row>
      </sheetData>
      <sheetData sheetId="2472">
        <row r="1">
          <cell r="A1" t="str">
            <v>Item Code</v>
          </cell>
        </row>
      </sheetData>
      <sheetData sheetId="2473">
        <row r="1">
          <cell r="A1" t="str">
            <v>Item Code</v>
          </cell>
        </row>
      </sheetData>
      <sheetData sheetId="2474">
        <row r="1">
          <cell r="A1" t="str">
            <v>Item Code</v>
          </cell>
        </row>
      </sheetData>
      <sheetData sheetId="2475">
        <row r="1">
          <cell r="A1" t="str">
            <v>Item Code</v>
          </cell>
        </row>
      </sheetData>
      <sheetData sheetId="2476">
        <row r="1">
          <cell r="A1" t="str">
            <v>Item Code</v>
          </cell>
        </row>
      </sheetData>
      <sheetData sheetId="2477">
        <row r="1">
          <cell r="A1" t="str">
            <v>Item Code</v>
          </cell>
        </row>
      </sheetData>
      <sheetData sheetId="2478">
        <row r="1">
          <cell r="A1" t="str">
            <v>Item Code</v>
          </cell>
        </row>
      </sheetData>
      <sheetData sheetId="2479">
        <row r="1">
          <cell r="A1" t="str">
            <v>Item Code</v>
          </cell>
        </row>
      </sheetData>
      <sheetData sheetId="2480">
        <row r="1">
          <cell r="A1" t="str">
            <v>Item Code</v>
          </cell>
        </row>
      </sheetData>
      <sheetData sheetId="2481">
        <row r="1">
          <cell r="A1" t="str">
            <v>Item Code</v>
          </cell>
        </row>
      </sheetData>
      <sheetData sheetId="2482">
        <row r="1">
          <cell r="A1" t="str">
            <v>MAP Listing Fees Propopsal 2019</v>
          </cell>
        </row>
      </sheetData>
      <sheetData sheetId="2483">
        <row r="1">
          <cell r="A1" t="str">
            <v>Item Code</v>
          </cell>
        </row>
      </sheetData>
      <sheetData sheetId="2484">
        <row r="1">
          <cell r="A1" t="str">
            <v>Item Code</v>
          </cell>
        </row>
      </sheetData>
      <sheetData sheetId="2485">
        <row r="1">
          <cell r="A1" t="str">
            <v>MAP Listing Fees Propopsal 2019</v>
          </cell>
        </row>
      </sheetData>
      <sheetData sheetId="2486">
        <row r="1">
          <cell r="A1" t="str">
            <v>NO</v>
          </cell>
        </row>
      </sheetData>
      <sheetData sheetId="2487">
        <row r="1">
          <cell r="A1" t="str">
            <v>Item Code</v>
          </cell>
        </row>
      </sheetData>
      <sheetData sheetId="2488">
        <row r="1">
          <cell r="A1" t="str">
            <v>Item Code</v>
          </cell>
        </row>
      </sheetData>
      <sheetData sheetId="2489">
        <row r="1">
          <cell r="A1" t="str">
            <v>Item Code</v>
          </cell>
        </row>
      </sheetData>
      <sheetData sheetId="2490">
        <row r="1">
          <cell r="A1" t="str">
            <v>NO</v>
          </cell>
        </row>
      </sheetData>
      <sheetData sheetId="2491">
        <row r="1">
          <cell r="D1" t="str">
            <v>No BA Rekon:</v>
          </cell>
        </row>
      </sheetData>
      <sheetData sheetId="2492">
        <row r="1">
          <cell r="A1" t="str">
            <v>NO</v>
          </cell>
        </row>
      </sheetData>
      <sheetData sheetId="2493">
        <row r="1">
          <cell r="D1" t="str">
            <v>No BA Rekon:</v>
          </cell>
        </row>
      </sheetData>
      <sheetData sheetId="2494">
        <row r="1">
          <cell r="A1" t="str">
            <v>Item Code</v>
          </cell>
        </row>
      </sheetData>
      <sheetData sheetId="2495">
        <row r="1">
          <cell r="A1" t="str">
            <v>Item Code</v>
          </cell>
        </row>
      </sheetData>
      <sheetData sheetId="2496">
        <row r="1">
          <cell r="A1" t="str">
            <v>Item Code</v>
          </cell>
        </row>
      </sheetData>
      <sheetData sheetId="2497">
        <row r="1">
          <cell r="A1" t="str">
            <v>Item Code</v>
          </cell>
        </row>
      </sheetData>
      <sheetData sheetId="2498">
        <row r="1">
          <cell r="A1" t="str">
            <v>Item Code</v>
          </cell>
        </row>
      </sheetData>
      <sheetData sheetId="2499">
        <row r="1">
          <cell r="A1" t="str">
            <v>Item Code</v>
          </cell>
        </row>
      </sheetData>
      <sheetData sheetId="2500">
        <row r="1">
          <cell r="D1" t="str">
            <v>No BA Rekon:</v>
          </cell>
        </row>
      </sheetData>
      <sheetData sheetId="2501">
        <row r="1">
          <cell r="D1" t="str">
            <v>No BA Rekon:</v>
          </cell>
        </row>
      </sheetData>
      <sheetData sheetId="2502">
        <row r="1">
          <cell r="D1" t="str">
            <v>No BA Rekon:</v>
          </cell>
        </row>
      </sheetData>
      <sheetData sheetId="2503">
        <row r="1">
          <cell r="D1" t="str">
            <v>No BA Rekon:</v>
          </cell>
        </row>
      </sheetData>
      <sheetData sheetId="2504">
        <row r="1">
          <cell r="D1" t="str">
            <v>No BA Rekon:</v>
          </cell>
        </row>
      </sheetData>
      <sheetData sheetId="2505">
        <row r="1">
          <cell r="D1" t="str">
            <v>No BA Rekon:</v>
          </cell>
        </row>
      </sheetData>
      <sheetData sheetId="2506">
        <row r="1">
          <cell r="D1" t="str">
            <v>No BA Rekon:</v>
          </cell>
        </row>
      </sheetData>
      <sheetData sheetId="2507">
        <row r="1">
          <cell r="A1" t="str">
            <v>Item Code</v>
          </cell>
        </row>
      </sheetData>
      <sheetData sheetId="2508">
        <row r="1">
          <cell r="A1" t="str">
            <v>Item Code</v>
          </cell>
        </row>
      </sheetData>
      <sheetData sheetId="2509">
        <row r="1">
          <cell r="A1" t="str">
            <v>Item Code</v>
          </cell>
        </row>
      </sheetData>
      <sheetData sheetId="2510">
        <row r="1">
          <cell r="A1" t="str">
            <v>Item Code</v>
          </cell>
        </row>
      </sheetData>
      <sheetData sheetId="2511">
        <row r="1">
          <cell r="D1" t="str">
            <v>No BA Rekon:</v>
          </cell>
        </row>
      </sheetData>
      <sheetData sheetId="2512">
        <row r="1">
          <cell r="D1" t="str">
            <v>No BA Rekon:</v>
          </cell>
        </row>
      </sheetData>
      <sheetData sheetId="2513">
        <row r="1">
          <cell r="D1" t="str">
            <v>No BA Rekon:</v>
          </cell>
        </row>
      </sheetData>
      <sheetData sheetId="2514">
        <row r="1">
          <cell r="A1" t="str">
            <v>Item Code</v>
          </cell>
        </row>
      </sheetData>
      <sheetData sheetId="2515"/>
      <sheetData sheetId="2516">
        <row r="1">
          <cell r="A1" t="str">
            <v>Item Code</v>
          </cell>
        </row>
      </sheetData>
      <sheetData sheetId="2517"/>
      <sheetData sheetId="2518">
        <row r="1">
          <cell r="D1" t="str">
            <v>No BA Rekon:</v>
          </cell>
        </row>
      </sheetData>
      <sheetData sheetId="2519">
        <row r="1">
          <cell r="D1" t="str">
            <v>No BA Rekon:</v>
          </cell>
        </row>
      </sheetData>
      <sheetData sheetId="2520"/>
      <sheetData sheetId="2521"/>
      <sheetData sheetId="2522"/>
      <sheetData sheetId="2523"/>
      <sheetData sheetId="2524"/>
      <sheetData sheetId="2525"/>
      <sheetData sheetId="2526"/>
      <sheetData sheetId="2527">
        <row r="1">
          <cell r="A1" t="str">
            <v>Item Code</v>
          </cell>
        </row>
      </sheetData>
      <sheetData sheetId="2528">
        <row r="1">
          <cell r="D1" t="str">
            <v>No BA Rekon:</v>
          </cell>
        </row>
      </sheetData>
      <sheetData sheetId="2529">
        <row r="1">
          <cell r="A1" t="str">
            <v>Item Code</v>
          </cell>
        </row>
      </sheetData>
      <sheetData sheetId="2530">
        <row r="1">
          <cell r="D1" t="str">
            <v>No BA Rekon:</v>
          </cell>
        </row>
      </sheetData>
      <sheetData sheetId="2531">
        <row r="1">
          <cell r="D1" t="str">
            <v>No BA Rekon:</v>
          </cell>
        </row>
      </sheetData>
      <sheetData sheetId="2532">
        <row r="1">
          <cell r="D1" t="str">
            <v>No BA Rekon:</v>
          </cell>
        </row>
      </sheetData>
      <sheetData sheetId="2533">
        <row r="1">
          <cell r="A1" t="str">
            <v>Item Code</v>
          </cell>
        </row>
      </sheetData>
      <sheetData sheetId="2534">
        <row r="1">
          <cell r="D1" t="str">
            <v>No BA Rekon:</v>
          </cell>
        </row>
      </sheetData>
      <sheetData sheetId="2535">
        <row r="1">
          <cell r="A1" t="str">
            <v>MAP Listing Fees Propopsal 2019</v>
          </cell>
        </row>
      </sheetData>
      <sheetData sheetId="2536">
        <row r="1">
          <cell r="D1" t="str">
            <v>No BA Rekon:</v>
          </cell>
        </row>
      </sheetData>
      <sheetData sheetId="2537">
        <row r="1">
          <cell r="D1" t="str">
            <v>No BA Rekon:</v>
          </cell>
        </row>
      </sheetData>
      <sheetData sheetId="2538">
        <row r="1">
          <cell r="D1" t="str">
            <v>No BA Rekon:</v>
          </cell>
        </row>
      </sheetData>
      <sheetData sheetId="2539">
        <row r="1">
          <cell r="D1" t="str">
            <v>No BA Rekon:</v>
          </cell>
        </row>
      </sheetData>
      <sheetData sheetId="2540">
        <row r="1">
          <cell r="D1" t="str">
            <v>No BA Rekon:</v>
          </cell>
        </row>
      </sheetData>
      <sheetData sheetId="2541">
        <row r="1">
          <cell r="D1" t="str">
            <v>No BA Rekon:</v>
          </cell>
        </row>
      </sheetData>
      <sheetData sheetId="2542">
        <row r="1">
          <cell r="D1" t="str">
            <v>No BA Rekon:</v>
          </cell>
        </row>
      </sheetData>
      <sheetData sheetId="2543">
        <row r="1">
          <cell r="D1" t="str">
            <v>No BA Rekon:</v>
          </cell>
        </row>
      </sheetData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/>
      <sheetData sheetId="2595"/>
      <sheetData sheetId="2596"/>
      <sheetData sheetId="2597"/>
      <sheetData sheetId="2598"/>
      <sheetData sheetId="2599">
        <row r="1">
          <cell r="A1" t="str">
            <v>Item Code</v>
          </cell>
        </row>
      </sheetData>
      <sheetData sheetId="2600">
        <row r="1">
          <cell r="A1" t="str">
            <v>Item Code</v>
          </cell>
        </row>
      </sheetData>
      <sheetData sheetId="2601">
        <row r="1">
          <cell r="A1" t="str">
            <v>Item Code</v>
          </cell>
        </row>
      </sheetData>
      <sheetData sheetId="2602"/>
      <sheetData sheetId="2603">
        <row r="1">
          <cell r="A1" t="str">
            <v>Item Code</v>
          </cell>
        </row>
      </sheetData>
      <sheetData sheetId="2604">
        <row r="1">
          <cell r="A1" t="str">
            <v>MAP Listing Fees Propopsal 2019</v>
          </cell>
        </row>
      </sheetData>
      <sheetData sheetId="2605"/>
      <sheetData sheetId="2606">
        <row r="1">
          <cell r="A1" t="str">
            <v>Item Code</v>
          </cell>
        </row>
      </sheetData>
      <sheetData sheetId="2607"/>
      <sheetData sheetId="2608"/>
      <sheetData sheetId="2609"/>
      <sheetData sheetId="2610"/>
      <sheetData sheetId="2611"/>
      <sheetData sheetId="2612">
        <row r="1">
          <cell r="D1" t="str">
            <v>No BA Rekon:</v>
          </cell>
        </row>
      </sheetData>
      <sheetData sheetId="2613">
        <row r="1">
          <cell r="D1" t="str">
            <v>No BA Rekon:</v>
          </cell>
        </row>
      </sheetData>
      <sheetData sheetId="2614">
        <row r="1">
          <cell r="D1" t="str">
            <v>No BA Rekon:</v>
          </cell>
        </row>
      </sheetData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/>
      <sheetData sheetId="2622"/>
      <sheetData sheetId="2623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/>
      <sheetData sheetId="2643"/>
      <sheetData sheetId="2644"/>
      <sheetData sheetId="2645"/>
      <sheetData sheetId="2646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>
        <row r="1">
          <cell r="D1" t="str">
            <v>No BA Rekon:</v>
          </cell>
        </row>
      </sheetData>
      <sheetData sheetId="2673">
        <row r="1">
          <cell r="A1" t="str">
            <v>Item Code</v>
          </cell>
        </row>
      </sheetData>
      <sheetData sheetId="2674">
        <row r="1">
          <cell r="A1" t="str">
            <v>Item Code</v>
          </cell>
        </row>
      </sheetData>
      <sheetData sheetId="2675">
        <row r="1">
          <cell r="A1" t="str">
            <v>Item Code</v>
          </cell>
        </row>
      </sheetData>
      <sheetData sheetId="2676">
        <row r="1">
          <cell r="A1" t="str">
            <v>Item Code</v>
          </cell>
        </row>
      </sheetData>
      <sheetData sheetId="2677">
        <row r="1">
          <cell r="A1" t="str">
            <v>Item Code</v>
          </cell>
        </row>
      </sheetData>
      <sheetData sheetId="2678">
        <row r="1">
          <cell r="A1" t="str">
            <v>Item Code</v>
          </cell>
        </row>
      </sheetData>
      <sheetData sheetId="2679">
        <row r="1">
          <cell r="A1" t="str">
            <v>Item Code</v>
          </cell>
        </row>
      </sheetData>
      <sheetData sheetId="2680">
        <row r="1">
          <cell r="A1" t="str">
            <v>Item Code</v>
          </cell>
        </row>
      </sheetData>
      <sheetData sheetId="2681">
        <row r="1">
          <cell r="A1" t="str">
            <v>Item Code</v>
          </cell>
        </row>
      </sheetData>
      <sheetData sheetId="2682">
        <row r="1">
          <cell r="A1" t="str">
            <v>Item Code</v>
          </cell>
        </row>
      </sheetData>
      <sheetData sheetId="2683">
        <row r="1">
          <cell r="A1" t="str">
            <v>Item Code</v>
          </cell>
        </row>
      </sheetData>
      <sheetData sheetId="2684">
        <row r="1">
          <cell r="D1" t="str">
            <v>No BA Rekon:</v>
          </cell>
        </row>
      </sheetData>
      <sheetData sheetId="2685">
        <row r="1">
          <cell r="D1" t="str">
            <v>No BA Rekon:</v>
          </cell>
        </row>
      </sheetData>
      <sheetData sheetId="2686">
        <row r="1">
          <cell r="D1" t="str">
            <v>No BA Rekon:</v>
          </cell>
        </row>
      </sheetData>
      <sheetData sheetId="2687">
        <row r="1">
          <cell r="D1" t="str">
            <v>No BA Rekon:</v>
          </cell>
        </row>
      </sheetData>
      <sheetData sheetId="2688">
        <row r="1">
          <cell r="A1" t="str">
            <v>Item Code</v>
          </cell>
        </row>
      </sheetData>
      <sheetData sheetId="2689">
        <row r="1">
          <cell r="A1" t="str">
            <v>Item Code</v>
          </cell>
        </row>
      </sheetData>
      <sheetData sheetId="2690">
        <row r="1">
          <cell r="D1" t="str">
            <v>No BA Rekon:</v>
          </cell>
        </row>
      </sheetData>
      <sheetData sheetId="2691">
        <row r="1">
          <cell r="D1" t="str">
            <v>No BA Rekon:</v>
          </cell>
        </row>
      </sheetData>
      <sheetData sheetId="2692">
        <row r="1">
          <cell r="A1" t="str">
            <v>Item Code</v>
          </cell>
        </row>
      </sheetData>
      <sheetData sheetId="2693">
        <row r="1">
          <cell r="A1" t="str">
            <v>Item Code</v>
          </cell>
        </row>
      </sheetData>
      <sheetData sheetId="2694">
        <row r="1">
          <cell r="A1" t="str">
            <v>Item Code</v>
          </cell>
        </row>
      </sheetData>
      <sheetData sheetId="2695">
        <row r="1">
          <cell r="A1" t="str">
            <v>Item Code</v>
          </cell>
        </row>
      </sheetData>
      <sheetData sheetId="2696">
        <row r="1">
          <cell r="A1" t="str">
            <v>Item Code</v>
          </cell>
        </row>
      </sheetData>
      <sheetData sheetId="2697">
        <row r="1">
          <cell r="A1" t="str">
            <v>Item Code</v>
          </cell>
        </row>
      </sheetData>
      <sheetData sheetId="2698">
        <row r="1">
          <cell r="A1" t="str">
            <v>Item Code</v>
          </cell>
        </row>
      </sheetData>
      <sheetData sheetId="2699">
        <row r="1">
          <cell r="A1" t="str">
            <v>Item Code</v>
          </cell>
        </row>
      </sheetData>
      <sheetData sheetId="2700">
        <row r="1">
          <cell r="A1" t="str">
            <v>Item Code</v>
          </cell>
        </row>
      </sheetData>
      <sheetData sheetId="2701">
        <row r="1">
          <cell r="A1" t="str">
            <v>Item Code</v>
          </cell>
        </row>
      </sheetData>
      <sheetData sheetId="2702">
        <row r="1">
          <cell r="A1" t="str">
            <v>Item Code</v>
          </cell>
        </row>
      </sheetData>
      <sheetData sheetId="2703">
        <row r="1">
          <cell r="A1" t="str">
            <v>Item Code</v>
          </cell>
        </row>
      </sheetData>
      <sheetData sheetId="2704">
        <row r="1">
          <cell r="A1" t="str">
            <v>Item Code</v>
          </cell>
        </row>
      </sheetData>
      <sheetData sheetId="2705">
        <row r="1">
          <cell r="A1" t="str">
            <v>Item Code</v>
          </cell>
        </row>
      </sheetData>
      <sheetData sheetId="2706">
        <row r="1">
          <cell r="A1" t="str">
            <v>Item Code</v>
          </cell>
        </row>
      </sheetData>
      <sheetData sheetId="2707">
        <row r="1">
          <cell r="A1" t="str">
            <v>Item Code</v>
          </cell>
        </row>
      </sheetData>
      <sheetData sheetId="2708">
        <row r="1">
          <cell r="A1" t="str">
            <v>Item Code</v>
          </cell>
        </row>
      </sheetData>
      <sheetData sheetId="2709">
        <row r="1">
          <cell r="A1" t="str">
            <v>Item Code</v>
          </cell>
        </row>
      </sheetData>
      <sheetData sheetId="2710">
        <row r="1">
          <cell r="A1" t="str">
            <v>Item Code</v>
          </cell>
        </row>
      </sheetData>
      <sheetData sheetId="2711">
        <row r="1">
          <cell r="A1" t="str">
            <v>Item Code</v>
          </cell>
        </row>
      </sheetData>
      <sheetData sheetId="2712">
        <row r="1">
          <cell r="A1" t="str">
            <v>Item Code</v>
          </cell>
        </row>
      </sheetData>
      <sheetData sheetId="2713">
        <row r="1">
          <cell r="A1" t="str">
            <v>Item Code</v>
          </cell>
        </row>
      </sheetData>
      <sheetData sheetId="2714">
        <row r="1">
          <cell r="A1" t="str">
            <v>Item Code</v>
          </cell>
        </row>
      </sheetData>
      <sheetData sheetId="2715">
        <row r="1">
          <cell r="A1" t="str">
            <v>Item Code</v>
          </cell>
        </row>
      </sheetData>
      <sheetData sheetId="2716">
        <row r="1">
          <cell r="A1" t="str">
            <v>Item Code</v>
          </cell>
        </row>
      </sheetData>
      <sheetData sheetId="2717">
        <row r="1">
          <cell r="A1" t="str">
            <v>Item Code</v>
          </cell>
        </row>
      </sheetData>
      <sheetData sheetId="2718">
        <row r="1">
          <cell r="A1" t="str">
            <v>Item Code</v>
          </cell>
        </row>
      </sheetData>
      <sheetData sheetId="2719">
        <row r="1">
          <cell r="A1" t="str">
            <v>Item Code</v>
          </cell>
        </row>
      </sheetData>
      <sheetData sheetId="2720">
        <row r="1">
          <cell r="A1" t="str">
            <v>Item Code</v>
          </cell>
        </row>
      </sheetData>
      <sheetData sheetId="2721">
        <row r="1">
          <cell r="A1" t="str">
            <v>Item Code</v>
          </cell>
        </row>
      </sheetData>
      <sheetData sheetId="2722">
        <row r="1">
          <cell r="A1" t="str">
            <v>Item Code</v>
          </cell>
        </row>
      </sheetData>
      <sheetData sheetId="2723">
        <row r="1">
          <cell r="A1" t="str">
            <v>Item Code</v>
          </cell>
        </row>
      </sheetData>
      <sheetData sheetId="2724">
        <row r="1">
          <cell r="A1" t="str">
            <v>Item Code</v>
          </cell>
        </row>
      </sheetData>
      <sheetData sheetId="2725">
        <row r="1">
          <cell r="A1" t="str">
            <v>Item Code</v>
          </cell>
        </row>
      </sheetData>
      <sheetData sheetId="2726">
        <row r="1">
          <cell r="A1" t="str">
            <v>Item Code</v>
          </cell>
        </row>
      </sheetData>
      <sheetData sheetId="2727">
        <row r="1">
          <cell r="A1" t="str">
            <v>Item Code</v>
          </cell>
        </row>
      </sheetData>
      <sheetData sheetId="2728">
        <row r="1">
          <cell r="A1" t="str">
            <v>Item Code</v>
          </cell>
        </row>
      </sheetData>
      <sheetData sheetId="2729">
        <row r="1">
          <cell r="A1" t="str">
            <v>Item Code</v>
          </cell>
        </row>
      </sheetData>
      <sheetData sheetId="2730">
        <row r="1">
          <cell r="A1" t="str">
            <v>Item Code</v>
          </cell>
        </row>
      </sheetData>
      <sheetData sheetId="2731">
        <row r="1">
          <cell r="A1" t="str">
            <v>Item Code</v>
          </cell>
        </row>
      </sheetData>
      <sheetData sheetId="2732">
        <row r="1">
          <cell r="A1" t="str">
            <v>Item Code</v>
          </cell>
        </row>
      </sheetData>
      <sheetData sheetId="2733">
        <row r="1">
          <cell r="A1" t="str">
            <v>Item Code</v>
          </cell>
        </row>
      </sheetData>
      <sheetData sheetId="2734">
        <row r="1">
          <cell r="A1" t="str">
            <v>Item Code</v>
          </cell>
        </row>
      </sheetData>
      <sheetData sheetId="2735">
        <row r="1">
          <cell r="A1" t="str">
            <v>Item Code</v>
          </cell>
        </row>
      </sheetData>
      <sheetData sheetId="2736">
        <row r="1">
          <cell r="A1" t="str">
            <v>Item Code</v>
          </cell>
        </row>
      </sheetData>
      <sheetData sheetId="2737">
        <row r="1">
          <cell r="A1" t="str">
            <v>Item Code</v>
          </cell>
        </row>
      </sheetData>
      <sheetData sheetId="2738">
        <row r="1">
          <cell r="A1" t="str">
            <v>Item Code</v>
          </cell>
        </row>
      </sheetData>
      <sheetData sheetId="2739">
        <row r="1">
          <cell r="A1" t="str">
            <v>Item Code</v>
          </cell>
        </row>
      </sheetData>
      <sheetData sheetId="2740">
        <row r="1">
          <cell r="A1" t="str">
            <v>Item Code</v>
          </cell>
        </row>
      </sheetData>
      <sheetData sheetId="2741">
        <row r="1">
          <cell r="A1" t="str">
            <v>Item Code</v>
          </cell>
        </row>
      </sheetData>
      <sheetData sheetId="2742">
        <row r="1">
          <cell r="A1" t="str">
            <v>Item Code</v>
          </cell>
        </row>
      </sheetData>
      <sheetData sheetId="2743">
        <row r="1">
          <cell r="D1" t="str">
            <v>No BA Rekon:</v>
          </cell>
        </row>
      </sheetData>
      <sheetData sheetId="2744">
        <row r="1">
          <cell r="D1" t="str">
            <v>No BA Rekon:</v>
          </cell>
        </row>
      </sheetData>
      <sheetData sheetId="2745">
        <row r="1">
          <cell r="D1" t="str">
            <v>No BA Rekon:</v>
          </cell>
        </row>
      </sheetData>
      <sheetData sheetId="2746"/>
      <sheetData sheetId="2747">
        <row r="1">
          <cell r="D1" t="str">
            <v>No BA Rekon:</v>
          </cell>
        </row>
      </sheetData>
      <sheetData sheetId="2748">
        <row r="1">
          <cell r="D1" t="str">
            <v>No BA Rekon:</v>
          </cell>
        </row>
      </sheetData>
      <sheetData sheetId="2749">
        <row r="1">
          <cell r="D1" t="str">
            <v>No BA Rekon:</v>
          </cell>
        </row>
      </sheetData>
      <sheetData sheetId="2750">
        <row r="1">
          <cell r="D1" t="str">
            <v>No BA Rekon:</v>
          </cell>
        </row>
      </sheetData>
      <sheetData sheetId="2751">
        <row r="1">
          <cell r="D1" t="str">
            <v>No BA Rekon:</v>
          </cell>
        </row>
      </sheetData>
      <sheetData sheetId="2752">
        <row r="1">
          <cell r="D1" t="str">
            <v>No BA Rekon:</v>
          </cell>
        </row>
      </sheetData>
      <sheetData sheetId="2753">
        <row r="1">
          <cell r="A1" t="str">
            <v>Item Code</v>
          </cell>
        </row>
      </sheetData>
      <sheetData sheetId="2754">
        <row r="1">
          <cell r="D1" t="str">
            <v>No BA Rekon:</v>
          </cell>
        </row>
      </sheetData>
      <sheetData sheetId="2755">
        <row r="1">
          <cell r="D1" t="str">
            <v>No BA Rekon:</v>
          </cell>
        </row>
      </sheetData>
      <sheetData sheetId="2756">
        <row r="1">
          <cell r="D1" t="str">
            <v>No BA Rekon:</v>
          </cell>
        </row>
      </sheetData>
      <sheetData sheetId="2757">
        <row r="1">
          <cell r="D1" t="str">
            <v>No BA Rekon:</v>
          </cell>
        </row>
      </sheetData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>
        <row r="1">
          <cell r="D1" t="str">
            <v>No BA Rekon:</v>
          </cell>
        </row>
      </sheetData>
      <sheetData sheetId="2768">
        <row r="1">
          <cell r="D1" t="str">
            <v>No BA Rekon:</v>
          </cell>
        </row>
      </sheetData>
      <sheetData sheetId="2769">
        <row r="1">
          <cell r="D1" t="str">
            <v>No BA Rekon:</v>
          </cell>
        </row>
      </sheetData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/>
      <sheetData sheetId="2803"/>
      <sheetData sheetId="2804" refreshError="1"/>
      <sheetData sheetId="2805" refreshError="1"/>
      <sheetData sheetId="2806" refreshError="1"/>
      <sheetData sheetId="2807">
        <row r="1">
          <cell r="A1" t="str">
            <v>Item Code</v>
          </cell>
        </row>
      </sheetData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>
        <row r="1">
          <cell r="A1" t="str">
            <v>Item Code</v>
          </cell>
        </row>
      </sheetData>
      <sheetData sheetId="2844">
        <row r="1">
          <cell r="A1" t="str">
            <v>Item Code</v>
          </cell>
        </row>
      </sheetData>
      <sheetData sheetId="2845">
        <row r="1">
          <cell r="A1" t="str">
            <v>Item Code</v>
          </cell>
        </row>
      </sheetData>
      <sheetData sheetId="2846">
        <row r="1">
          <cell r="A1" t="str">
            <v>Item Code</v>
          </cell>
        </row>
      </sheetData>
      <sheetData sheetId="2847">
        <row r="1">
          <cell r="A1" t="str">
            <v>Item Code</v>
          </cell>
        </row>
      </sheetData>
      <sheetData sheetId="2848">
        <row r="1">
          <cell r="A1" t="str">
            <v>Item Code</v>
          </cell>
        </row>
      </sheetData>
      <sheetData sheetId="2849">
        <row r="1">
          <cell r="A1" t="str">
            <v>Item Code</v>
          </cell>
        </row>
      </sheetData>
      <sheetData sheetId="2850">
        <row r="1">
          <cell r="A1" t="str">
            <v>Item Code</v>
          </cell>
        </row>
      </sheetData>
      <sheetData sheetId="2851">
        <row r="1">
          <cell r="A1" t="str">
            <v>Item Code</v>
          </cell>
        </row>
      </sheetData>
      <sheetData sheetId="2852">
        <row r="1">
          <cell r="A1" t="str">
            <v>Item Code</v>
          </cell>
        </row>
      </sheetData>
      <sheetData sheetId="2853">
        <row r="1">
          <cell r="A1" t="str">
            <v>MAP Listing Fees Propopsal 2019</v>
          </cell>
        </row>
      </sheetData>
      <sheetData sheetId="2854">
        <row r="1">
          <cell r="A1" t="str">
            <v>Item Code</v>
          </cell>
        </row>
      </sheetData>
      <sheetData sheetId="2855">
        <row r="1">
          <cell r="A1" t="str">
            <v>Item Code</v>
          </cell>
        </row>
      </sheetData>
      <sheetData sheetId="2856">
        <row r="1">
          <cell r="A1" t="str">
            <v>Item Code</v>
          </cell>
        </row>
      </sheetData>
      <sheetData sheetId="2857">
        <row r="1">
          <cell r="A1" t="str">
            <v>Item Code</v>
          </cell>
        </row>
      </sheetData>
      <sheetData sheetId="2858">
        <row r="1">
          <cell r="A1" t="str">
            <v>MAP Listing Fees Propopsal 2019</v>
          </cell>
        </row>
      </sheetData>
      <sheetData sheetId="2859">
        <row r="1">
          <cell r="D1" t="str">
            <v>No BA Rekon:</v>
          </cell>
        </row>
      </sheetData>
      <sheetData sheetId="2860">
        <row r="1">
          <cell r="D1" t="str">
            <v>No BA Rekon:</v>
          </cell>
        </row>
      </sheetData>
      <sheetData sheetId="2861">
        <row r="1">
          <cell r="A1" t="str">
            <v>Item Code</v>
          </cell>
        </row>
      </sheetData>
      <sheetData sheetId="2862">
        <row r="1">
          <cell r="D1" t="str">
            <v>No BA Rekon:</v>
          </cell>
        </row>
      </sheetData>
      <sheetData sheetId="2863">
        <row r="1">
          <cell r="D1" t="str">
            <v>No BA Rekon:</v>
          </cell>
        </row>
      </sheetData>
      <sheetData sheetId="2864">
        <row r="1">
          <cell r="D1" t="str">
            <v>No BA Rekon:</v>
          </cell>
        </row>
      </sheetData>
      <sheetData sheetId="2865">
        <row r="1">
          <cell r="A1" t="str">
            <v>Item Code</v>
          </cell>
        </row>
      </sheetData>
      <sheetData sheetId="2866">
        <row r="1">
          <cell r="D1" t="str">
            <v>No BA Rekon:</v>
          </cell>
        </row>
      </sheetData>
      <sheetData sheetId="2867">
        <row r="1">
          <cell r="A1" t="str">
            <v>Item Code</v>
          </cell>
        </row>
      </sheetData>
      <sheetData sheetId="2868">
        <row r="1">
          <cell r="A1" t="str">
            <v>Item Code</v>
          </cell>
        </row>
      </sheetData>
      <sheetData sheetId="2869">
        <row r="1">
          <cell r="D1" t="str">
            <v>No BA Rekon:</v>
          </cell>
        </row>
      </sheetData>
      <sheetData sheetId="2870">
        <row r="1">
          <cell r="A1" t="str">
            <v>Item Code</v>
          </cell>
        </row>
      </sheetData>
      <sheetData sheetId="2871">
        <row r="1">
          <cell r="A1" t="str">
            <v>Item Code</v>
          </cell>
        </row>
      </sheetData>
      <sheetData sheetId="2872">
        <row r="1">
          <cell r="A1" t="str">
            <v>Item Code</v>
          </cell>
        </row>
      </sheetData>
      <sheetData sheetId="2873">
        <row r="1">
          <cell r="A1" t="str">
            <v>MAP Listing Fees Propopsal 2019</v>
          </cell>
        </row>
      </sheetData>
      <sheetData sheetId="2874">
        <row r="1">
          <cell r="A1" t="str">
            <v>MAP Listing Fees Propopsal 2019</v>
          </cell>
        </row>
      </sheetData>
      <sheetData sheetId="2875">
        <row r="1">
          <cell r="A1" t="str">
            <v>Item Code</v>
          </cell>
        </row>
      </sheetData>
      <sheetData sheetId="2876">
        <row r="1">
          <cell r="A1" t="str">
            <v>Item Code</v>
          </cell>
        </row>
      </sheetData>
      <sheetData sheetId="2877">
        <row r="1">
          <cell r="A1" t="str">
            <v>Item Code</v>
          </cell>
        </row>
      </sheetData>
      <sheetData sheetId="2878">
        <row r="1">
          <cell r="A1" t="str">
            <v>Item Code</v>
          </cell>
        </row>
      </sheetData>
      <sheetData sheetId="2879">
        <row r="1">
          <cell r="D1" t="str">
            <v>No BA Rekon:</v>
          </cell>
        </row>
      </sheetData>
      <sheetData sheetId="2880">
        <row r="1">
          <cell r="A1" t="str">
            <v>Item Code</v>
          </cell>
        </row>
      </sheetData>
      <sheetData sheetId="2881">
        <row r="1">
          <cell r="A1" t="str">
            <v>Item Code</v>
          </cell>
        </row>
      </sheetData>
      <sheetData sheetId="2882">
        <row r="1">
          <cell r="A1" t="str">
            <v>Item Code</v>
          </cell>
        </row>
      </sheetData>
      <sheetData sheetId="2883">
        <row r="1">
          <cell r="A1" t="str">
            <v>Item Code</v>
          </cell>
        </row>
      </sheetData>
      <sheetData sheetId="2884">
        <row r="1">
          <cell r="A1" t="str">
            <v>NO</v>
          </cell>
        </row>
      </sheetData>
      <sheetData sheetId="2885">
        <row r="1">
          <cell r="A1" t="str">
            <v>Item Code</v>
          </cell>
        </row>
      </sheetData>
      <sheetData sheetId="2886">
        <row r="1">
          <cell r="A1" t="str">
            <v>Item Code</v>
          </cell>
        </row>
      </sheetData>
      <sheetData sheetId="2887">
        <row r="1">
          <cell r="A1" t="str">
            <v>Item Code</v>
          </cell>
        </row>
      </sheetData>
      <sheetData sheetId="2888">
        <row r="1">
          <cell r="A1" t="str">
            <v>Item Code</v>
          </cell>
        </row>
      </sheetData>
      <sheetData sheetId="2889">
        <row r="1">
          <cell r="A1" t="str">
            <v>Item Code</v>
          </cell>
        </row>
      </sheetData>
      <sheetData sheetId="2890">
        <row r="1">
          <cell r="D1" t="str">
            <v>No BA Rekon:</v>
          </cell>
        </row>
      </sheetData>
      <sheetData sheetId="2891">
        <row r="1">
          <cell r="D1" t="str">
            <v>No BA Rekon:</v>
          </cell>
        </row>
      </sheetData>
      <sheetData sheetId="2892">
        <row r="1">
          <cell r="A1" t="str">
            <v>Item Code</v>
          </cell>
        </row>
      </sheetData>
      <sheetData sheetId="2893">
        <row r="1">
          <cell r="A1" t="str">
            <v>Item Code</v>
          </cell>
        </row>
      </sheetData>
      <sheetData sheetId="2894">
        <row r="1">
          <cell r="A1" t="str">
            <v>Item Code</v>
          </cell>
        </row>
      </sheetData>
      <sheetData sheetId="2895">
        <row r="1">
          <cell r="A1" t="str">
            <v>Item Code</v>
          </cell>
        </row>
      </sheetData>
      <sheetData sheetId="2896">
        <row r="1">
          <cell r="A1" t="str">
            <v>Item Code</v>
          </cell>
        </row>
      </sheetData>
      <sheetData sheetId="2897">
        <row r="1">
          <cell r="A1" t="str">
            <v>Item Code</v>
          </cell>
        </row>
      </sheetData>
      <sheetData sheetId="2898">
        <row r="1">
          <cell r="A1" t="str">
            <v>Item Code</v>
          </cell>
        </row>
      </sheetData>
      <sheetData sheetId="2899">
        <row r="1">
          <cell r="A1" t="str">
            <v>Item Code</v>
          </cell>
        </row>
      </sheetData>
      <sheetData sheetId="2900">
        <row r="1">
          <cell r="A1" t="str">
            <v>Item Code</v>
          </cell>
        </row>
      </sheetData>
      <sheetData sheetId="2901">
        <row r="1">
          <cell r="A1" t="str">
            <v>Item Code</v>
          </cell>
        </row>
      </sheetData>
      <sheetData sheetId="2902">
        <row r="1">
          <cell r="A1" t="str">
            <v>Item Code</v>
          </cell>
        </row>
      </sheetData>
      <sheetData sheetId="2903">
        <row r="1">
          <cell r="A1" t="str">
            <v>Item Code</v>
          </cell>
        </row>
      </sheetData>
      <sheetData sheetId="2904">
        <row r="1">
          <cell r="A1" t="str">
            <v>Item Code</v>
          </cell>
        </row>
      </sheetData>
      <sheetData sheetId="2905">
        <row r="1">
          <cell r="A1" t="str">
            <v>Item Code</v>
          </cell>
        </row>
      </sheetData>
      <sheetData sheetId="2906">
        <row r="1">
          <cell r="A1" t="str">
            <v>Item Code</v>
          </cell>
        </row>
      </sheetData>
      <sheetData sheetId="2907">
        <row r="1">
          <cell r="A1" t="str">
            <v>Item Code</v>
          </cell>
        </row>
      </sheetData>
      <sheetData sheetId="2908">
        <row r="1">
          <cell r="A1" t="str">
            <v>Item Code</v>
          </cell>
        </row>
      </sheetData>
      <sheetData sheetId="2909">
        <row r="1">
          <cell r="A1" t="str">
            <v>Item Code</v>
          </cell>
        </row>
      </sheetData>
      <sheetData sheetId="2910">
        <row r="1">
          <cell r="A1" t="str">
            <v>Item Code</v>
          </cell>
        </row>
      </sheetData>
      <sheetData sheetId="2911">
        <row r="1">
          <cell r="A1" t="str">
            <v>Item Code</v>
          </cell>
        </row>
      </sheetData>
      <sheetData sheetId="2912">
        <row r="1">
          <cell r="A1" t="str">
            <v>Item Code</v>
          </cell>
        </row>
      </sheetData>
      <sheetData sheetId="2913">
        <row r="1">
          <cell r="A1" t="str">
            <v>Item Code</v>
          </cell>
        </row>
      </sheetData>
      <sheetData sheetId="2914">
        <row r="1">
          <cell r="A1" t="str">
            <v>Item Code</v>
          </cell>
        </row>
      </sheetData>
      <sheetData sheetId="2915">
        <row r="1">
          <cell r="A1" t="str">
            <v>Item Code</v>
          </cell>
        </row>
      </sheetData>
      <sheetData sheetId="2916">
        <row r="1">
          <cell r="A1" t="str">
            <v>Item Code</v>
          </cell>
        </row>
      </sheetData>
      <sheetData sheetId="2917">
        <row r="1">
          <cell r="A1" t="str">
            <v>Item Code</v>
          </cell>
        </row>
      </sheetData>
      <sheetData sheetId="2918">
        <row r="1">
          <cell r="A1" t="str">
            <v>Item Code</v>
          </cell>
        </row>
      </sheetData>
      <sheetData sheetId="2919">
        <row r="1">
          <cell r="A1" t="str">
            <v>Item Code</v>
          </cell>
        </row>
      </sheetData>
      <sheetData sheetId="2920">
        <row r="1">
          <cell r="A1" t="str">
            <v>Item Code</v>
          </cell>
        </row>
      </sheetData>
      <sheetData sheetId="2921">
        <row r="1">
          <cell r="A1" t="str">
            <v>Item Code</v>
          </cell>
        </row>
      </sheetData>
      <sheetData sheetId="2922">
        <row r="1">
          <cell r="A1" t="str">
            <v>Item Code</v>
          </cell>
        </row>
      </sheetData>
      <sheetData sheetId="2923">
        <row r="1">
          <cell r="A1" t="str">
            <v>Item Code</v>
          </cell>
        </row>
      </sheetData>
      <sheetData sheetId="2924">
        <row r="1">
          <cell r="A1" t="str">
            <v>Item Code</v>
          </cell>
        </row>
      </sheetData>
      <sheetData sheetId="2925">
        <row r="1">
          <cell r="A1" t="str">
            <v>Item Code</v>
          </cell>
        </row>
      </sheetData>
      <sheetData sheetId="2926">
        <row r="1">
          <cell r="A1" t="str">
            <v>Item Code</v>
          </cell>
        </row>
      </sheetData>
      <sheetData sheetId="2927">
        <row r="1">
          <cell r="A1" t="str">
            <v>Item Code</v>
          </cell>
        </row>
      </sheetData>
      <sheetData sheetId="2928">
        <row r="1">
          <cell r="A1" t="str">
            <v>Item Code</v>
          </cell>
        </row>
      </sheetData>
      <sheetData sheetId="2929">
        <row r="1">
          <cell r="A1" t="str">
            <v>Item Code</v>
          </cell>
        </row>
      </sheetData>
      <sheetData sheetId="2930">
        <row r="1">
          <cell r="A1" t="str">
            <v>Item Code</v>
          </cell>
        </row>
      </sheetData>
      <sheetData sheetId="2931">
        <row r="1">
          <cell r="A1" t="str">
            <v>Item Code</v>
          </cell>
        </row>
      </sheetData>
      <sheetData sheetId="2932">
        <row r="1">
          <cell r="A1" t="str">
            <v>Item Code</v>
          </cell>
        </row>
      </sheetData>
      <sheetData sheetId="2933">
        <row r="1">
          <cell r="A1" t="str">
            <v>Item Code</v>
          </cell>
        </row>
      </sheetData>
      <sheetData sheetId="2934">
        <row r="1">
          <cell r="A1" t="str">
            <v>Item Code</v>
          </cell>
        </row>
      </sheetData>
      <sheetData sheetId="2935">
        <row r="1">
          <cell r="A1" t="str">
            <v>Item Code</v>
          </cell>
        </row>
      </sheetData>
      <sheetData sheetId="2936">
        <row r="1">
          <cell r="A1" t="str">
            <v>Item Code</v>
          </cell>
        </row>
      </sheetData>
      <sheetData sheetId="2937">
        <row r="1">
          <cell r="A1" t="str">
            <v>Item Code</v>
          </cell>
        </row>
      </sheetData>
      <sheetData sheetId="2938">
        <row r="1">
          <cell r="A1" t="str">
            <v>Item Code</v>
          </cell>
        </row>
      </sheetData>
      <sheetData sheetId="2939">
        <row r="1">
          <cell r="A1" t="str">
            <v>Item Code</v>
          </cell>
        </row>
      </sheetData>
      <sheetData sheetId="2940">
        <row r="1">
          <cell r="A1" t="str">
            <v>Item Code</v>
          </cell>
        </row>
      </sheetData>
      <sheetData sheetId="2941">
        <row r="1">
          <cell r="A1" t="str">
            <v>Item Code</v>
          </cell>
        </row>
      </sheetData>
      <sheetData sheetId="2942">
        <row r="1">
          <cell r="A1" t="str">
            <v>Item Code</v>
          </cell>
        </row>
      </sheetData>
      <sheetData sheetId="2943">
        <row r="1">
          <cell r="A1" t="str">
            <v>Item Code</v>
          </cell>
        </row>
      </sheetData>
      <sheetData sheetId="2944">
        <row r="1">
          <cell r="A1" t="str">
            <v>Item Code</v>
          </cell>
        </row>
      </sheetData>
      <sheetData sheetId="2945">
        <row r="1">
          <cell r="A1" t="str">
            <v>Item Code</v>
          </cell>
        </row>
      </sheetData>
      <sheetData sheetId="2946">
        <row r="1">
          <cell r="A1" t="str">
            <v>Item Code</v>
          </cell>
        </row>
      </sheetData>
      <sheetData sheetId="2947">
        <row r="1">
          <cell r="A1" t="str">
            <v>Item Code</v>
          </cell>
        </row>
      </sheetData>
      <sheetData sheetId="2948">
        <row r="1">
          <cell r="A1" t="str">
            <v>Item Code</v>
          </cell>
        </row>
      </sheetData>
      <sheetData sheetId="2949">
        <row r="1">
          <cell r="A1" t="str">
            <v>Item Code</v>
          </cell>
        </row>
      </sheetData>
      <sheetData sheetId="2950">
        <row r="1">
          <cell r="A1" t="str">
            <v>Item Code</v>
          </cell>
        </row>
      </sheetData>
      <sheetData sheetId="2951">
        <row r="1">
          <cell r="A1" t="str">
            <v>Item Code</v>
          </cell>
        </row>
      </sheetData>
      <sheetData sheetId="2952">
        <row r="1">
          <cell r="A1" t="str">
            <v>Item Code</v>
          </cell>
        </row>
      </sheetData>
      <sheetData sheetId="2953">
        <row r="1">
          <cell r="A1" t="str">
            <v>Item Code</v>
          </cell>
        </row>
      </sheetData>
      <sheetData sheetId="2954">
        <row r="1">
          <cell r="A1" t="str">
            <v>Item Code</v>
          </cell>
        </row>
      </sheetData>
      <sheetData sheetId="2955">
        <row r="1">
          <cell r="A1" t="str">
            <v>Item Code</v>
          </cell>
        </row>
      </sheetData>
      <sheetData sheetId="2956">
        <row r="1">
          <cell r="A1" t="str">
            <v>Item Code</v>
          </cell>
        </row>
      </sheetData>
      <sheetData sheetId="2957"/>
      <sheetData sheetId="2958">
        <row r="1">
          <cell r="A1" t="str">
            <v>Item Code</v>
          </cell>
        </row>
      </sheetData>
      <sheetData sheetId="2959">
        <row r="1">
          <cell r="A1" t="str">
            <v>Item Code</v>
          </cell>
        </row>
      </sheetData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>
        <row r="1">
          <cell r="D1" t="str">
            <v>No BA Rekon:</v>
          </cell>
        </row>
      </sheetData>
      <sheetData sheetId="3117">
        <row r="1">
          <cell r="D1" t="str">
            <v>No BA Rekon:</v>
          </cell>
        </row>
      </sheetData>
      <sheetData sheetId="3118"/>
      <sheetData sheetId="3119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>
        <row r="1">
          <cell r="A1" t="str">
            <v>Item Code</v>
          </cell>
        </row>
      </sheetData>
      <sheetData sheetId="3133">
        <row r="1">
          <cell r="A1">
            <v>0</v>
          </cell>
        </row>
      </sheetData>
      <sheetData sheetId="3134">
        <row r="1">
          <cell r="A1" t="str">
            <v>Item Code</v>
          </cell>
        </row>
      </sheetData>
      <sheetData sheetId="3135">
        <row r="1">
          <cell r="A1" t="str">
            <v>Item Code</v>
          </cell>
        </row>
      </sheetData>
      <sheetData sheetId="3136">
        <row r="1">
          <cell r="A1" t="str">
            <v>Item Code</v>
          </cell>
        </row>
      </sheetData>
      <sheetData sheetId="3137">
        <row r="1">
          <cell r="A1" t="str">
            <v>Item Code</v>
          </cell>
        </row>
      </sheetData>
      <sheetData sheetId="3138">
        <row r="1">
          <cell r="A1" t="str">
            <v>Item Code</v>
          </cell>
        </row>
      </sheetData>
      <sheetData sheetId="3139">
        <row r="1">
          <cell r="A1" t="str">
            <v>Item Code</v>
          </cell>
        </row>
      </sheetData>
      <sheetData sheetId="3140"/>
      <sheetData sheetId="3141"/>
      <sheetData sheetId="3142"/>
      <sheetData sheetId="3143"/>
      <sheetData sheetId="3144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>
        <row r="1">
          <cell r="A1" t="str">
            <v>Item Code</v>
          </cell>
        </row>
      </sheetData>
      <sheetData sheetId="3256"/>
      <sheetData sheetId="3257"/>
      <sheetData sheetId="3258">
        <row r="1">
          <cell r="A1" t="str">
            <v>Item Code</v>
          </cell>
        </row>
      </sheetData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>
        <row r="1">
          <cell r="A1" t="str">
            <v>Item Code</v>
          </cell>
        </row>
      </sheetData>
      <sheetData sheetId="3296">
        <row r="1">
          <cell r="A1" t="str">
            <v>Item Code</v>
          </cell>
        </row>
      </sheetData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>
        <row r="1">
          <cell r="A1" t="str">
            <v>Item Code</v>
          </cell>
        </row>
      </sheetData>
      <sheetData sheetId="3306"/>
      <sheetData sheetId="3307"/>
      <sheetData sheetId="3308">
        <row r="1">
          <cell r="A1" t="str">
            <v>Item Code</v>
          </cell>
        </row>
      </sheetData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>
        <row r="1">
          <cell r="A1" t="str">
            <v>Item Code</v>
          </cell>
        </row>
      </sheetData>
      <sheetData sheetId="3356">
        <row r="1">
          <cell r="A1" t="str">
            <v>Item Code</v>
          </cell>
        </row>
      </sheetData>
      <sheetData sheetId="3357">
        <row r="1">
          <cell r="A1" t="str">
            <v>Item Code</v>
          </cell>
        </row>
      </sheetData>
      <sheetData sheetId="3358">
        <row r="1">
          <cell r="A1" t="str">
            <v>Item Code</v>
          </cell>
        </row>
      </sheetData>
      <sheetData sheetId="3359">
        <row r="1">
          <cell r="A1" t="str">
            <v>Item Code</v>
          </cell>
        </row>
      </sheetData>
      <sheetData sheetId="3360">
        <row r="1">
          <cell r="A1" t="str">
            <v>Item Code</v>
          </cell>
        </row>
      </sheetData>
      <sheetData sheetId="3361">
        <row r="1">
          <cell r="A1" t="str">
            <v>Item Code</v>
          </cell>
        </row>
      </sheetData>
      <sheetData sheetId="3362">
        <row r="1">
          <cell r="A1" t="str">
            <v>Item Code</v>
          </cell>
        </row>
      </sheetData>
      <sheetData sheetId="3363">
        <row r="1">
          <cell r="A1" t="str">
            <v>Item Code</v>
          </cell>
        </row>
      </sheetData>
      <sheetData sheetId="3364">
        <row r="1">
          <cell r="A1" t="str">
            <v>Item Code</v>
          </cell>
        </row>
      </sheetData>
      <sheetData sheetId="3365">
        <row r="1">
          <cell r="A1" t="str">
            <v>Item Code</v>
          </cell>
        </row>
      </sheetData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/>
      <sheetData sheetId="3467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>
        <row r="3">
          <cell r="C3" t="str">
            <v>Benoit BOUANCHAUD</v>
          </cell>
        </row>
      </sheetData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>
        <row r="1">
          <cell r="D1" t="str">
            <v>No BA Rekon:</v>
          </cell>
        </row>
      </sheetData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>
        <row r="1">
          <cell r="D1" t="str">
            <v>No BA Rekon:</v>
          </cell>
        </row>
      </sheetData>
      <sheetData sheetId="3687">
        <row r="1">
          <cell r="D1" t="str">
            <v>No BA Rekon:</v>
          </cell>
        </row>
      </sheetData>
      <sheetData sheetId="3688">
        <row r="1">
          <cell r="D1" t="str">
            <v>No BA Rekon:</v>
          </cell>
        </row>
      </sheetData>
      <sheetData sheetId="3689">
        <row r="1">
          <cell r="D1" t="str">
            <v>No BA Rekon:</v>
          </cell>
        </row>
      </sheetData>
      <sheetData sheetId="3690">
        <row r="1">
          <cell r="D1" t="str">
            <v>No BA Rekon:</v>
          </cell>
        </row>
      </sheetData>
      <sheetData sheetId="3691">
        <row r="1">
          <cell r="D1" t="str">
            <v>No BA Rekon:</v>
          </cell>
        </row>
      </sheetData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/>
      <sheetData sheetId="3925"/>
      <sheetData sheetId="3926" refreshError="1"/>
      <sheetData sheetId="3927" refreshError="1"/>
      <sheetData sheetId="3928" refreshError="1"/>
      <sheetData sheetId="3929" refreshError="1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>
        <row r="1">
          <cell r="A1" t="str">
            <v>Item Code</v>
          </cell>
        </row>
      </sheetData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 refreshError="1"/>
      <sheetData sheetId="4062" refreshError="1"/>
      <sheetData sheetId="4063" refreshError="1"/>
      <sheetData sheetId="4064"/>
      <sheetData sheetId="4065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utorial"/>
      <sheetName val="Daftar Aktiva"/>
      <sheetName val="Lembar Penolong (GL)"/>
      <sheetName val="Form Daft Penyusutan"/>
    </sheetNames>
    <sheetDataSet>
      <sheetData sheetId="0"/>
      <sheetData sheetId="1">
        <row r="1">
          <cell r="A1" t="str">
            <v>DAFTAR HARTA</v>
          </cell>
        </row>
        <row r="3">
          <cell r="A3" t="str">
            <v>No Urut</v>
          </cell>
          <cell r="B3" t="str">
            <v>Nama/Jenis Harta</v>
          </cell>
          <cell r="C3" t="str">
            <v>Kel.                   Harta</v>
          </cell>
          <cell r="D3" t="str">
            <v>Perolehan</v>
          </cell>
        </row>
        <row r="4">
          <cell r="D4" t="str">
            <v>Bulan</v>
          </cell>
          <cell r="E4" t="str">
            <v xml:space="preserve">Tahun </v>
          </cell>
          <cell r="F4" t="str">
            <v xml:space="preserve">Nilai </v>
          </cell>
        </row>
        <row r="5">
          <cell r="A5">
            <v>1</v>
          </cell>
          <cell r="B5" t="str">
            <v>Mesin Fax Panasonic KX FT 933</v>
          </cell>
          <cell r="C5">
            <v>1</v>
          </cell>
          <cell r="D5">
            <v>2</v>
          </cell>
          <cell r="E5">
            <v>2011</v>
          </cell>
          <cell r="F5">
            <v>1300000</v>
          </cell>
        </row>
        <row r="6">
          <cell r="A6">
            <v>2</v>
          </cell>
          <cell r="B6" t="str">
            <v>Sepeda Motor Honda</v>
          </cell>
          <cell r="C6">
            <v>1</v>
          </cell>
          <cell r="D6">
            <v>11</v>
          </cell>
          <cell r="E6">
            <v>2014</v>
          </cell>
          <cell r="F6">
            <v>12936000</v>
          </cell>
        </row>
        <row r="7">
          <cell r="A7">
            <v>3</v>
          </cell>
          <cell r="B7" t="str">
            <v xml:space="preserve">Mesin Potong </v>
          </cell>
          <cell r="C7">
            <v>2</v>
          </cell>
          <cell r="D7">
            <v>12</v>
          </cell>
          <cell r="E7">
            <v>2010</v>
          </cell>
          <cell r="F7">
            <v>107074000</v>
          </cell>
        </row>
        <row r="8">
          <cell r="A8">
            <v>4</v>
          </cell>
          <cell r="B8" t="str">
            <v>AC Panasonic</v>
          </cell>
          <cell r="C8">
            <v>2</v>
          </cell>
          <cell r="D8">
            <v>3</v>
          </cell>
          <cell r="E8">
            <v>2014</v>
          </cell>
          <cell r="F8">
            <v>6000000</v>
          </cell>
        </row>
        <row r="9">
          <cell r="A9">
            <v>5</v>
          </cell>
          <cell r="B9" t="str">
            <v>Brankas Besi Daichiban DS20CA</v>
          </cell>
          <cell r="C9">
            <v>2</v>
          </cell>
          <cell r="D9">
            <v>11</v>
          </cell>
          <cell r="E9">
            <v>2014</v>
          </cell>
          <cell r="F9">
            <v>2000000</v>
          </cell>
        </row>
        <row r="10">
          <cell r="A10">
            <v>6</v>
          </cell>
          <cell r="B10" t="str">
            <v>Truk Fuso 2000</v>
          </cell>
          <cell r="C10">
            <v>2</v>
          </cell>
          <cell r="D10">
            <v>9</v>
          </cell>
          <cell r="E10">
            <v>2011</v>
          </cell>
          <cell r="F10">
            <v>541680000</v>
          </cell>
        </row>
        <row r="11">
          <cell r="A11">
            <v>7</v>
          </cell>
          <cell r="B11" t="str">
            <v>Bangunan Pabrik</v>
          </cell>
          <cell r="C11" t="str">
            <v>BP</v>
          </cell>
          <cell r="D11">
            <v>11</v>
          </cell>
          <cell r="E11">
            <v>2010</v>
          </cell>
          <cell r="F11">
            <v>868576000</v>
          </cell>
        </row>
        <row r="12">
          <cell r="A12">
            <v>8</v>
          </cell>
          <cell r="B12" t="str">
            <v>Bangunan Kantor</v>
          </cell>
          <cell r="C12" t="str">
            <v>BP</v>
          </cell>
          <cell r="D12">
            <v>12</v>
          </cell>
          <cell r="E12">
            <v>2010</v>
          </cell>
          <cell r="F12">
            <v>629280000</v>
          </cell>
        </row>
        <row r="13">
          <cell r="A13">
            <v>9</v>
          </cell>
        </row>
        <row r="14">
          <cell r="A14">
            <v>10</v>
          </cell>
        </row>
        <row r="15">
          <cell r="A15">
            <v>11</v>
          </cell>
        </row>
        <row r="16">
          <cell r="A16">
            <v>12</v>
          </cell>
        </row>
        <row r="17">
          <cell r="A17">
            <v>13</v>
          </cell>
        </row>
        <row r="18">
          <cell r="A18">
            <v>14</v>
          </cell>
        </row>
        <row r="19">
          <cell r="A19">
            <v>15</v>
          </cell>
        </row>
        <row r="20">
          <cell r="A20">
            <v>16</v>
          </cell>
        </row>
        <row r="21">
          <cell r="A21">
            <v>17</v>
          </cell>
        </row>
        <row r="22">
          <cell r="A22">
            <v>18</v>
          </cell>
        </row>
        <row r="23">
          <cell r="A23">
            <v>19</v>
          </cell>
        </row>
        <row r="24">
          <cell r="A24">
            <v>20</v>
          </cell>
        </row>
        <row r="25">
          <cell r="A25">
            <v>21</v>
          </cell>
        </row>
        <row r="26">
          <cell r="A26">
            <v>22</v>
          </cell>
        </row>
        <row r="27">
          <cell r="A27">
            <v>23</v>
          </cell>
        </row>
        <row r="28">
          <cell r="A28">
            <v>24</v>
          </cell>
        </row>
        <row r="29">
          <cell r="A29">
            <v>25</v>
          </cell>
        </row>
        <row r="30">
          <cell r="A30">
            <v>26</v>
          </cell>
        </row>
        <row r="31">
          <cell r="A31">
            <v>27</v>
          </cell>
        </row>
        <row r="32">
          <cell r="A32">
            <v>28</v>
          </cell>
        </row>
        <row r="33">
          <cell r="A33">
            <v>29</v>
          </cell>
        </row>
        <row r="34">
          <cell r="A34">
            <v>30</v>
          </cell>
        </row>
        <row r="35">
          <cell r="A35">
            <v>31</v>
          </cell>
        </row>
        <row r="36">
          <cell r="A36">
            <v>32</v>
          </cell>
        </row>
        <row r="37">
          <cell r="A37">
            <v>33</v>
          </cell>
        </row>
        <row r="38">
          <cell r="A38">
            <v>34</v>
          </cell>
        </row>
        <row r="39">
          <cell r="A39">
            <v>35</v>
          </cell>
        </row>
        <row r="40">
          <cell r="A40">
            <v>36</v>
          </cell>
        </row>
        <row r="41">
          <cell r="A41">
            <v>37</v>
          </cell>
        </row>
        <row r="42">
          <cell r="A42">
            <v>38</v>
          </cell>
        </row>
        <row r="43">
          <cell r="A43">
            <v>39</v>
          </cell>
        </row>
        <row r="44">
          <cell r="A44">
            <v>40</v>
          </cell>
        </row>
        <row r="45">
          <cell r="A45">
            <v>41</v>
          </cell>
        </row>
        <row r="46">
          <cell r="A46">
            <v>42</v>
          </cell>
        </row>
        <row r="47">
          <cell r="A47">
            <v>43</v>
          </cell>
        </row>
        <row r="48">
          <cell r="A48">
            <v>44</v>
          </cell>
        </row>
        <row r="49">
          <cell r="A49">
            <v>45</v>
          </cell>
        </row>
        <row r="50">
          <cell r="A50">
            <v>46</v>
          </cell>
        </row>
        <row r="51">
          <cell r="A51">
            <v>47</v>
          </cell>
        </row>
        <row r="52">
          <cell r="A52">
            <v>48</v>
          </cell>
        </row>
        <row r="53">
          <cell r="A53">
            <v>49</v>
          </cell>
        </row>
        <row r="54">
          <cell r="A54">
            <v>50</v>
          </cell>
        </row>
        <row r="55">
          <cell r="A55">
            <v>51</v>
          </cell>
        </row>
        <row r="56">
          <cell r="A56">
            <v>52</v>
          </cell>
        </row>
        <row r="57">
          <cell r="A57">
            <v>53</v>
          </cell>
        </row>
        <row r="58">
          <cell r="A58">
            <v>54</v>
          </cell>
        </row>
        <row r="59">
          <cell r="A59">
            <v>55</v>
          </cell>
        </row>
        <row r="60">
          <cell r="A60">
            <v>56</v>
          </cell>
        </row>
        <row r="61">
          <cell r="A61">
            <v>57</v>
          </cell>
        </row>
        <row r="62">
          <cell r="A62">
            <v>58</v>
          </cell>
        </row>
        <row r="63">
          <cell r="A63">
            <v>59</v>
          </cell>
        </row>
        <row r="64">
          <cell r="A64">
            <v>60</v>
          </cell>
        </row>
        <row r="65">
          <cell r="A65">
            <v>61</v>
          </cell>
        </row>
        <row r="66">
          <cell r="A66">
            <v>62</v>
          </cell>
        </row>
        <row r="67">
          <cell r="A67">
            <v>63</v>
          </cell>
        </row>
        <row r="68">
          <cell r="A68">
            <v>64</v>
          </cell>
        </row>
        <row r="69">
          <cell r="A69">
            <v>65</v>
          </cell>
        </row>
        <row r="70">
          <cell r="A70">
            <v>66</v>
          </cell>
        </row>
        <row r="71">
          <cell r="A71">
            <v>67</v>
          </cell>
        </row>
        <row r="72">
          <cell r="A72">
            <v>68</v>
          </cell>
        </row>
        <row r="73">
          <cell r="A73">
            <v>69</v>
          </cell>
        </row>
        <row r="74">
          <cell r="A74">
            <v>70</v>
          </cell>
        </row>
        <row r="75">
          <cell r="A75">
            <v>71</v>
          </cell>
        </row>
        <row r="76">
          <cell r="A76">
            <v>72</v>
          </cell>
        </row>
        <row r="77">
          <cell r="A77">
            <v>73</v>
          </cell>
        </row>
        <row r="78">
          <cell r="A78">
            <v>74</v>
          </cell>
        </row>
        <row r="79">
          <cell r="A79">
            <v>75</v>
          </cell>
        </row>
        <row r="80">
          <cell r="A80">
            <v>76</v>
          </cell>
        </row>
        <row r="81">
          <cell r="A81">
            <v>77</v>
          </cell>
        </row>
        <row r="82">
          <cell r="A82">
            <v>78</v>
          </cell>
        </row>
        <row r="83">
          <cell r="A83">
            <v>79</v>
          </cell>
        </row>
        <row r="84">
          <cell r="A84">
            <v>80</v>
          </cell>
        </row>
        <row r="85">
          <cell r="A85">
            <v>81</v>
          </cell>
        </row>
        <row r="86">
          <cell r="A86">
            <v>82</v>
          </cell>
        </row>
        <row r="87">
          <cell r="A87">
            <v>83</v>
          </cell>
        </row>
        <row r="88">
          <cell r="A88">
            <v>84</v>
          </cell>
        </row>
        <row r="89">
          <cell r="A89">
            <v>85</v>
          </cell>
        </row>
        <row r="90">
          <cell r="A90">
            <v>86</v>
          </cell>
        </row>
        <row r="91">
          <cell r="A91">
            <v>87</v>
          </cell>
        </row>
        <row r="92">
          <cell r="A92">
            <v>88</v>
          </cell>
        </row>
        <row r="93">
          <cell r="A93">
            <v>89</v>
          </cell>
        </row>
        <row r="94">
          <cell r="A94">
            <v>90</v>
          </cell>
        </row>
        <row r="95">
          <cell r="A95">
            <v>91</v>
          </cell>
        </row>
        <row r="96">
          <cell r="A96">
            <v>92</v>
          </cell>
        </row>
        <row r="97">
          <cell r="A97">
            <v>93</v>
          </cell>
        </row>
        <row r="98">
          <cell r="A98">
            <v>94</v>
          </cell>
        </row>
        <row r="99">
          <cell r="A99">
            <v>95</v>
          </cell>
        </row>
        <row r="100">
          <cell r="A100">
            <v>96</v>
          </cell>
        </row>
        <row r="101">
          <cell r="A101">
            <v>97</v>
          </cell>
        </row>
        <row r="102">
          <cell r="A102">
            <v>98</v>
          </cell>
        </row>
        <row r="103">
          <cell r="A103">
            <v>99</v>
          </cell>
        </row>
        <row r="104">
          <cell r="A104">
            <v>100</v>
          </cell>
        </row>
        <row r="105">
          <cell r="A105">
            <v>101</v>
          </cell>
        </row>
        <row r="106">
          <cell r="A106">
            <v>102</v>
          </cell>
        </row>
        <row r="107">
          <cell r="A107">
            <v>103</v>
          </cell>
        </row>
        <row r="108">
          <cell r="A108">
            <v>104</v>
          </cell>
        </row>
        <row r="109">
          <cell r="A109">
            <v>105</v>
          </cell>
        </row>
        <row r="110">
          <cell r="A110">
            <v>106</v>
          </cell>
        </row>
        <row r="111">
          <cell r="A111">
            <v>107</v>
          </cell>
        </row>
        <row r="112">
          <cell r="A112">
            <v>108</v>
          </cell>
        </row>
        <row r="113">
          <cell r="A113">
            <v>109</v>
          </cell>
        </row>
        <row r="114">
          <cell r="A114">
            <v>110</v>
          </cell>
        </row>
        <row r="115">
          <cell r="A115">
            <v>111</v>
          </cell>
        </row>
        <row r="116">
          <cell r="A116">
            <v>112</v>
          </cell>
        </row>
        <row r="117">
          <cell r="A117">
            <v>113</v>
          </cell>
        </row>
        <row r="118">
          <cell r="A118">
            <v>114</v>
          </cell>
        </row>
        <row r="119">
          <cell r="A119">
            <v>115</v>
          </cell>
        </row>
        <row r="120">
          <cell r="A120">
            <v>116</v>
          </cell>
        </row>
        <row r="121">
          <cell r="A121">
            <v>117</v>
          </cell>
        </row>
        <row r="122">
          <cell r="A122">
            <v>118</v>
          </cell>
        </row>
        <row r="123">
          <cell r="A123">
            <v>119</v>
          </cell>
        </row>
        <row r="124">
          <cell r="A124">
            <v>120</v>
          </cell>
        </row>
        <row r="125">
          <cell r="A125">
            <v>121</v>
          </cell>
        </row>
        <row r="126">
          <cell r="A126">
            <v>122</v>
          </cell>
        </row>
        <row r="127">
          <cell r="A127">
            <v>123</v>
          </cell>
        </row>
        <row r="128">
          <cell r="A128">
            <v>124</v>
          </cell>
        </row>
        <row r="129">
          <cell r="A129">
            <v>125</v>
          </cell>
        </row>
        <row r="130">
          <cell r="A130">
            <v>126</v>
          </cell>
        </row>
        <row r="131">
          <cell r="A131">
            <v>127</v>
          </cell>
        </row>
        <row r="132">
          <cell r="A132">
            <v>128</v>
          </cell>
        </row>
        <row r="133">
          <cell r="A133">
            <v>129</v>
          </cell>
        </row>
        <row r="134">
          <cell r="A134">
            <v>130</v>
          </cell>
        </row>
        <row r="135">
          <cell r="A135">
            <v>131</v>
          </cell>
        </row>
        <row r="136">
          <cell r="A136">
            <v>132</v>
          </cell>
        </row>
        <row r="137">
          <cell r="A137">
            <v>133</v>
          </cell>
        </row>
        <row r="138">
          <cell r="A138">
            <v>134</v>
          </cell>
        </row>
        <row r="139">
          <cell r="A139">
            <v>135</v>
          </cell>
        </row>
        <row r="140">
          <cell r="A140">
            <v>136</v>
          </cell>
        </row>
        <row r="141">
          <cell r="A141">
            <v>137</v>
          </cell>
        </row>
        <row r="142">
          <cell r="A142">
            <v>138</v>
          </cell>
        </row>
        <row r="143">
          <cell r="A143">
            <v>139</v>
          </cell>
        </row>
        <row r="144">
          <cell r="A144">
            <v>140</v>
          </cell>
        </row>
        <row r="145">
          <cell r="A145">
            <v>141</v>
          </cell>
        </row>
        <row r="146">
          <cell r="A146">
            <v>142</v>
          </cell>
        </row>
        <row r="147">
          <cell r="A147">
            <v>143</v>
          </cell>
        </row>
        <row r="148">
          <cell r="A148">
            <v>144</v>
          </cell>
        </row>
        <row r="149">
          <cell r="A149">
            <v>145</v>
          </cell>
        </row>
        <row r="150">
          <cell r="A150">
            <v>146</v>
          </cell>
        </row>
        <row r="151">
          <cell r="A151">
            <v>147</v>
          </cell>
        </row>
        <row r="152">
          <cell r="A152">
            <v>148</v>
          </cell>
        </row>
        <row r="153">
          <cell r="A153">
            <v>149</v>
          </cell>
        </row>
        <row r="154">
          <cell r="A154">
            <v>150</v>
          </cell>
        </row>
        <row r="155">
          <cell r="A155">
            <v>151</v>
          </cell>
        </row>
        <row r="156">
          <cell r="A156">
            <v>152</v>
          </cell>
        </row>
        <row r="157">
          <cell r="A157">
            <v>153</v>
          </cell>
        </row>
        <row r="158">
          <cell r="A158">
            <v>154</v>
          </cell>
        </row>
        <row r="159">
          <cell r="A159">
            <v>155</v>
          </cell>
        </row>
        <row r="160">
          <cell r="A160">
            <v>156</v>
          </cell>
        </row>
        <row r="161">
          <cell r="A161">
            <v>157</v>
          </cell>
        </row>
        <row r="162">
          <cell r="A162">
            <v>158</v>
          </cell>
        </row>
        <row r="163">
          <cell r="A163">
            <v>159</v>
          </cell>
        </row>
        <row r="164">
          <cell r="A164">
            <v>160</v>
          </cell>
        </row>
        <row r="165">
          <cell r="A165">
            <v>161</v>
          </cell>
        </row>
        <row r="166">
          <cell r="A166">
            <v>162</v>
          </cell>
        </row>
        <row r="167">
          <cell r="A167">
            <v>163</v>
          </cell>
        </row>
        <row r="168">
          <cell r="A168">
            <v>164</v>
          </cell>
        </row>
        <row r="169">
          <cell r="A169">
            <v>165</v>
          </cell>
        </row>
        <row r="170">
          <cell r="A170">
            <v>166</v>
          </cell>
        </row>
        <row r="171">
          <cell r="A171">
            <v>167</v>
          </cell>
        </row>
        <row r="172">
          <cell r="A172">
            <v>168</v>
          </cell>
        </row>
        <row r="173">
          <cell r="A173">
            <v>169</v>
          </cell>
        </row>
        <row r="174">
          <cell r="A174">
            <v>170</v>
          </cell>
        </row>
        <row r="175">
          <cell r="A175">
            <v>171</v>
          </cell>
        </row>
        <row r="176">
          <cell r="A176">
            <v>172</v>
          </cell>
        </row>
        <row r="177">
          <cell r="A177">
            <v>173</v>
          </cell>
        </row>
        <row r="178">
          <cell r="A178">
            <v>174</v>
          </cell>
        </row>
        <row r="179">
          <cell r="A179">
            <v>175</v>
          </cell>
        </row>
        <row r="180">
          <cell r="A180">
            <v>176</v>
          </cell>
        </row>
        <row r="181">
          <cell r="A181">
            <v>177</v>
          </cell>
        </row>
        <row r="182">
          <cell r="A182">
            <v>178</v>
          </cell>
        </row>
        <row r="183">
          <cell r="A183">
            <v>179</v>
          </cell>
        </row>
        <row r="184">
          <cell r="A184">
            <v>180</v>
          </cell>
        </row>
        <row r="185">
          <cell r="A185">
            <v>181</v>
          </cell>
        </row>
        <row r="186">
          <cell r="A186">
            <v>182</v>
          </cell>
        </row>
        <row r="187">
          <cell r="A187">
            <v>183</v>
          </cell>
        </row>
        <row r="188">
          <cell r="A188">
            <v>184</v>
          </cell>
        </row>
        <row r="189">
          <cell r="A189">
            <v>185</v>
          </cell>
        </row>
        <row r="190">
          <cell r="A190">
            <v>186</v>
          </cell>
        </row>
        <row r="191">
          <cell r="A191">
            <v>187</v>
          </cell>
        </row>
        <row r="192">
          <cell r="A192">
            <v>188</v>
          </cell>
        </row>
        <row r="193">
          <cell r="A193">
            <v>189</v>
          </cell>
        </row>
        <row r="194">
          <cell r="A194">
            <v>190</v>
          </cell>
        </row>
        <row r="195">
          <cell r="A195">
            <v>191</v>
          </cell>
        </row>
        <row r="196">
          <cell r="A196">
            <v>192</v>
          </cell>
        </row>
        <row r="197">
          <cell r="A197">
            <v>193</v>
          </cell>
        </row>
        <row r="198">
          <cell r="A198">
            <v>194</v>
          </cell>
        </row>
        <row r="199">
          <cell r="A199">
            <v>195</v>
          </cell>
        </row>
        <row r="200">
          <cell r="A200">
            <v>196</v>
          </cell>
        </row>
        <row r="201">
          <cell r="A201">
            <v>197</v>
          </cell>
        </row>
        <row r="202">
          <cell r="A202">
            <v>198</v>
          </cell>
        </row>
        <row r="203">
          <cell r="A203">
            <v>199</v>
          </cell>
        </row>
        <row r="204">
          <cell r="A204">
            <v>200</v>
          </cell>
        </row>
        <row r="205">
          <cell r="A205">
            <v>201</v>
          </cell>
        </row>
        <row r="206">
          <cell r="A206">
            <v>202</v>
          </cell>
        </row>
        <row r="207">
          <cell r="A207">
            <v>203</v>
          </cell>
        </row>
        <row r="208">
          <cell r="A208">
            <v>204</v>
          </cell>
        </row>
        <row r="209">
          <cell r="A209">
            <v>205</v>
          </cell>
        </row>
        <row r="210">
          <cell r="A210">
            <v>206</v>
          </cell>
        </row>
        <row r="211">
          <cell r="A211">
            <v>207</v>
          </cell>
        </row>
        <row r="212">
          <cell r="A212">
            <v>208</v>
          </cell>
        </row>
        <row r="213">
          <cell r="A213">
            <v>209</v>
          </cell>
        </row>
        <row r="214">
          <cell r="A214">
            <v>210</v>
          </cell>
        </row>
        <row r="215">
          <cell r="A215">
            <v>211</v>
          </cell>
        </row>
        <row r="216">
          <cell r="A216">
            <v>212</v>
          </cell>
        </row>
        <row r="217">
          <cell r="A217">
            <v>213</v>
          </cell>
        </row>
        <row r="218">
          <cell r="A218">
            <v>214</v>
          </cell>
        </row>
        <row r="219">
          <cell r="A219">
            <v>215</v>
          </cell>
        </row>
        <row r="220">
          <cell r="A220">
            <v>216</v>
          </cell>
        </row>
        <row r="221">
          <cell r="A221">
            <v>217</v>
          </cell>
        </row>
        <row r="222">
          <cell r="A222">
            <v>218</v>
          </cell>
        </row>
        <row r="223">
          <cell r="A223">
            <v>219</v>
          </cell>
        </row>
        <row r="224">
          <cell r="A224">
            <v>220</v>
          </cell>
        </row>
        <row r="225">
          <cell r="A225">
            <v>221</v>
          </cell>
        </row>
        <row r="226">
          <cell r="A226">
            <v>222</v>
          </cell>
        </row>
        <row r="227">
          <cell r="A227">
            <v>223</v>
          </cell>
        </row>
        <row r="228">
          <cell r="A228">
            <v>224</v>
          </cell>
        </row>
        <row r="229">
          <cell r="A229">
            <v>225</v>
          </cell>
        </row>
        <row r="230">
          <cell r="A230">
            <v>226</v>
          </cell>
        </row>
        <row r="231">
          <cell r="A231">
            <v>227</v>
          </cell>
        </row>
        <row r="232">
          <cell r="A232">
            <v>228</v>
          </cell>
        </row>
        <row r="233">
          <cell r="A233">
            <v>229</v>
          </cell>
        </row>
        <row r="234">
          <cell r="A234">
            <v>230</v>
          </cell>
        </row>
        <row r="235">
          <cell r="A235">
            <v>231</v>
          </cell>
        </row>
        <row r="236">
          <cell r="A236">
            <v>232</v>
          </cell>
        </row>
        <row r="237">
          <cell r="A237">
            <v>233</v>
          </cell>
        </row>
        <row r="238">
          <cell r="A238">
            <v>234</v>
          </cell>
        </row>
        <row r="239">
          <cell r="A239">
            <v>235</v>
          </cell>
        </row>
        <row r="240">
          <cell r="A240">
            <v>236</v>
          </cell>
        </row>
        <row r="241">
          <cell r="A241">
            <v>237</v>
          </cell>
        </row>
        <row r="242">
          <cell r="A242">
            <v>238</v>
          </cell>
        </row>
        <row r="243">
          <cell r="A243">
            <v>239</v>
          </cell>
        </row>
        <row r="244">
          <cell r="A244">
            <v>240</v>
          </cell>
        </row>
        <row r="245">
          <cell r="A245">
            <v>241</v>
          </cell>
        </row>
        <row r="246">
          <cell r="A246">
            <v>242</v>
          </cell>
        </row>
        <row r="247">
          <cell r="A247">
            <v>243</v>
          </cell>
        </row>
        <row r="248">
          <cell r="A248">
            <v>244</v>
          </cell>
        </row>
        <row r="249">
          <cell r="A249">
            <v>245</v>
          </cell>
        </row>
        <row r="250">
          <cell r="A250">
            <v>246</v>
          </cell>
        </row>
        <row r="251">
          <cell r="A251">
            <v>247</v>
          </cell>
        </row>
        <row r="252">
          <cell r="A252">
            <v>248</v>
          </cell>
        </row>
        <row r="253">
          <cell r="A253">
            <v>249</v>
          </cell>
        </row>
        <row r="254">
          <cell r="A254">
            <v>250</v>
          </cell>
        </row>
      </sheetData>
      <sheetData sheetId="2"/>
      <sheetData sheetId="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utorial"/>
      <sheetName val="Daftar Aktiva"/>
      <sheetName val="Lembar Penolong (GL)"/>
      <sheetName val="Form Daft Penyusutan"/>
    </sheetNames>
    <sheetDataSet>
      <sheetData sheetId="0"/>
      <sheetData sheetId="1">
        <row r="1">
          <cell r="A1" t="str">
            <v>DAFTAR HARTA</v>
          </cell>
        </row>
        <row r="3">
          <cell r="A3" t="str">
            <v>No Urut</v>
          </cell>
          <cell r="B3" t="str">
            <v>Nama/Jenis Harta</v>
          </cell>
          <cell r="C3" t="str">
            <v>Kel.                   Harta</v>
          </cell>
          <cell r="D3" t="str">
            <v>Perolehan</v>
          </cell>
        </row>
        <row r="4">
          <cell r="D4" t="str">
            <v>Bulan</v>
          </cell>
          <cell r="E4" t="str">
            <v xml:space="preserve">Tahun </v>
          </cell>
          <cell r="F4" t="str">
            <v xml:space="preserve">Nilai </v>
          </cell>
        </row>
        <row r="5">
          <cell r="A5">
            <v>1</v>
          </cell>
          <cell r="C5">
            <v>1</v>
          </cell>
          <cell r="D5">
            <v>1</v>
          </cell>
          <cell r="E5">
            <v>2005</v>
          </cell>
          <cell r="F5">
            <v>204000000</v>
          </cell>
        </row>
        <row r="6">
          <cell r="A6">
            <v>2</v>
          </cell>
          <cell r="C6">
            <v>1</v>
          </cell>
          <cell r="D6">
            <v>1</v>
          </cell>
          <cell r="E6">
            <v>2005</v>
          </cell>
          <cell r="F6">
            <v>200000000</v>
          </cell>
        </row>
        <row r="7">
          <cell r="A7">
            <v>3</v>
          </cell>
          <cell r="C7">
            <v>1</v>
          </cell>
          <cell r="D7">
            <v>1</v>
          </cell>
          <cell r="E7">
            <v>2005</v>
          </cell>
          <cell r="F7">
            <v>47780000</v>
          </cell>
        </row>
        <row r="8">
          <cell r="A8">
            <v>4</v>
          </cell>
          <cell r="C8">
            <v>1</v>
          </cell>
          <cell r="D8">
            <v>1</v>
          </cell>
          <cell r="E8">
            <v>2005</v>
          </cell>
          <cell r="F8">
            <v>45855000</v>
          </cell>
        </row>
        <row r="9">
          <cell r="A9">
            <v>5</v>
          </cell>
          <cell r="C9">
            <v>1</v>
          </cell>
          <cell r="D9">
            <v>1</v>
          </cell>
          <cell r="E9">
            <v>2005</v>
          </cell>
          <cell r="F9">
            <v>6166000</v>
          </cell>
        </row>
        <row r="10">
          <cell r="A10">
            <v>6</v>
          </cell>
          <cell r="C10">
            <v>1</v>
          </cell>
          <cell r="D10">
            <v>1</v>
          </cell>
          <cell r="E10">
            <v>2005</v>
          </cell>
          <cell r="F10">
            <v>14635000</v>
          </cell>
        </row>
        <row r="11">
          <cell r="A11">
            <v>7</v>
          </cell>
          <cell r="C11">
            <v>1</v>
          </cell>
          <cell r="D11">
            <v>1</v>
          </cell>
          <cell r="E11">
            <v>2005</v>
          </cell>
          <cell r="F11">
            <v>1480000</v>
          </cell>
        </row>
        <row r="12">
          <cell r="A12">
            <v>8</v>
          </cell>
          <cell r="C12">
            <v>1</v>
          </cell>
          <cell r="D12">
            <v>1</v>
          </cell>
          <cell r="E12">
            <v>2006</v>
          </cell>
          <cell r="F12">
            <v>17300500</v>
          </cell>
        </row>
        <row r="13">
          <cell r="A13">
            <v>9</v>
          </cell>
          <cell r="C13">
            <v>1</v>
          </cell>
          <cell r="D13">
            <v>1</v>
          </cell>
          <cell r="E13">
            <v>2006</v>
          </cell>
          <cell r="F13">
            <v>17658000</v>
          </cell>
        </row>
        <row r="14">
          <cell r="A14">
            <v>10</v>
          </cell>
          <cell r="C14">
            <v>1</v>
          </cell>
          <cell r="D14">
            <v>1</v>
          </cell>
          <cell r="E14">
            <v>2006</v>
          </cell>
          <cell r="F14">
            <v>3545000</v>
          </cell>
        </row>
        <row r="15">
          <cell r="A15">
            <v>11</v>
          </cell>
          <cell r="C15">
            <v>1</v>
          </cell>
          <cell r="D15">
            <v>1</v>
          </cell>
          <cell r="E15">
            <v>2007</v>
          </cell>
          <cell r="F15">
            <v>31958375</v>
          </cell>
        </row>
        <row r="16">
          <cell r="A16">
            <v>12</v>
          </cell>
          <cell r="C16">
            <v>1</v>
          </cell>
          <cell r="D16">
            <v>1</v>
          </cell>
          <cell r="E16">
            <v>2007</v>
          </cell>
          <cell r="F16">
            <v>21747500</v>
          </cell>
        </row>
        <row r="17">
          <cell r="A17">
            <v>13</v>
          </cell>
          <cell r="C17">
            <v>1</v>
          </cell>
          <cell r="D17">
            <v>1</v>
          </cell>
          <cell r="E17">
            <v>2007</v>
          </cell>
          <cell r="F17">
            <v>9496400</v>
          </cell>
        </row>
        <row r="18">
          <cell r="A18">
            <v>14</v>
          </cell>
          <cell r="C18">
            <v>1</v>
          </cell>
          <cell r="D18">
            <v>1</v>
          </cell>
          <cell r="E18">
            <v>2008</v>
          </cell>
          <cell r="F18">
            <v>175000</v>
          </cell>
        </row>
        <row r="19">
          <cell r="A19">
            <v>15</v>
          </cell>
          <cell r="C19">
            <v>1</v>
          </cell>
          <cell r="D19">
            <v>1</v>
          </cell>
          <cell r="E19">
            <v>2008</v>
          </cell>
          <cell r="F19">
            <v>17259000</v>
          </cell>
        </row>
        <row r="20">
          <cell r="A20">
            <v>16</v>
          </cell>
          <cell r="C20">
            <v>1</v>
          </cell>
          <cell r="D20">
            <v>1</v>
          </cell>
          <cell r="E20">
            <v>2008</v>
          </cell>
          <cell r="F20">
            <v>30523575</v>
          </cell>
        </row>
        <row r="21">
          <cell r="A21">
            <v>17</v>
          </cell>
          <cell r="C21">
            <v>1</v>
          </cell>
          <cell r="D21">
            <v>1</v>
          </cell>
          <cell r="E21">
            <v>2008</v>
          </cell>
          <cell r="F21">
            <v>10592400</v>
          </cell>
        </row>
        <row r="22">
          <cell r="A22">
            <v>18</v>
          </cell>
          <cell r="C22">
            <v>1</v>
          </cell>
          <cell r="D22">
            <v>1</v>
          </cell>
          <cell r="E22">
            <v>2008</v>
          </cell>
          <cell r="F22">
            <v>5930000</v>
          </cell>
        </row>
        <row r="23">
          <cell r="A23">
            <v>19</v>
          </cell>
          <cell r="C23">
            <v>1</v>
          </cell>
          <cell r="D23">
            <v>1</v>
          </cell>
          <cell r="E23">
            <v>2008</v>
          </cell>
          <cell r="F23">
            <v>6150000</v>
          </cell>
        </row>
        <row r="24">
          <cell r="A24">
            <v>20</v>
          </cell>
          <cell r="C24">
            <v>1</v>
          </cell>
          <cell r="D24">
            <v>1</v>
          </cell>
          <cell r="E24">
            <v>2008</v>
          </cell>
          <cell r="F24">
            <v>2099000</v>
          </cell>
        </row>
        <row r="25">
          <cell r="A25">
            <v>21</v>
          </cell>
          <cell r="C25">
            <v>1</v>
          </cell>
          <cell r="D25">
            <v>1</v>
          </cell>
          <cell r="E25">
            <v>2008</v>
          </cell>
          <cell r="F25">
            <v>30874000</v>
          </cell>
        </row>
        <row r="26">
          <cell r="A26">
            <v>22</v>
          </cell>
          <cell r="C26">
            <v>1</v>
          </cell>
          <cell r="D26">
            <v>2</v>
          </cell>
          <cell r="E26">
            <v>2008</v>
          </cell>
          <cell r="F26">
            <v>225000</v>
          </cell>
        </row>
        <row r="27">
          <cell r="A27">
            <v>23</v>
          </cell>
          <cell r="C27">
            <v>1</v>
          </cell>
          <cell r="D27">
            <v>3</v>
          </cell>
          <cell r="E27">
            <v>2008</v>
          </cell>
          <cell r="F27">
            <v>840000</v>
          </cell>
        </row>
        <row r="28">
          <cell r="A28">
            <v>24</v>
          </cell>
          <cell r="C28">
            <v>1</v>
          </cell>
          <cell r="D28">
            <v>3</v>
          </cell>
          <cell r="E28">
            <v>2008</v>
          </cell>
          <cell r="F28">
            <v>495000</v>
          </cell>
        </row>
        <row r="29">
          <cell r="A29">
            <v>25</v>
          </cell>
          <cell r="C29">
            <v>1</v>
          </cell>
          <cell r="D29">
            <v>3</v>
          </cell>
          <cell r="E29">
            <v>2008</v>
          </cell>
          <cell r="F29">
            <v>2375000</v>
          </cell>
        </row>
        <row r="30">
          <cell r="A30">
            <v>26</v>
          </cell>
          <cell r="C30">
            <v>1</v>
          </cell>
          <cell r="D30">
            <v>4</v>
          </cell>
          <cell r="E30">
            <v>2008</v>
          </cell>
          <cell r="F30">
            <v>225000</v>
          </cell>
        </row>
        <row r="31">
          <cell r="A31">
            <v>27</v>
          </cell>
          <cell r="C31">
            <v>1</v>
          </cell>
          <cell r="D31">
            <v>4</v>
          </cell>
          <cell r="E31">
            <v>2008</v>
          </cell>
          <cell r="F31">
            <v>1755000</v>
          </cell>
        </row>
        <row r="32">
          <cell r="A32">
            <v>28</v>
          </cell>
          <cell r="C32">
            <v>1</v>
          </cell>
          <cell r="D32">
            <v>7</v>
          </cell>
          <cell r="E32">
            <v>2008</v>
          </cell>
          <cell r="F32">
            <v>2897400</v>
          </cell>
        </row>
        <row r="33">
          <cell r="A33">
            <v>29</v>
          </cell>
          <cell r="C33">
            <v>1</v>
          </cell>
          <cell r="D33">
            <v>7</v>
          </cell>
          <cell r="E33">
            <v>2008</v>
          </cell>
          <cell r="F33">
            <v>38609000</v>
          </cell>
        </row>
        <row r="34">
          <cell r="A34">
            <v>30</v>
          </cell>
          <cell r="C34">
            <v>1</v>
          </cell>
          <cell r="D34">
            <v>7</v>
          </cell>
          <cell r="E34">
            <v>2008</v>
          </cell>
          <cell r="F34">
            <v>1027500</v>
          </cell>
        </row>
        <row r="35">
          <cell r="A35">
            <v>31</v>
          </cell>
          <cell r="C35">
            <v>1</v>
          </cell>
          <cell r="D35">
            <v>8</v>
          </cell>
          <cell r="E35">
            <v>2008</v>
          </cell>
          <cell r="F35">
            <v>590000</v>
          </cell>
        </row>
        <row r="36">
          <cell r="A36">
            <v>32</v>
          </cell>
          <cell r="C36">
            <v>1</v>
          </cell>
          <cell r="D36">
            <v>8</v>
          </cell>
          <cell r="E36">
            <v>2008</v>
          </cell>
          <cell r="F36">
            <v>5730000</v>
          </cell>
        </row>
        <row r="37">
          <cell r="A37">
            <v>33</v>
          </cell>
          <cell r="C37">
            <v>1</v>
          </cell>
          <cell r="D37">
            <v>10</v>
          </cell>
          <cell r="E37">
            <v>2008</v>
          </cell>
          <cell r="F37">
            <v>2989700</v>
          </cell>
        </row>
        <row r="38">
          <cell r="A38">
            <v>34</v>
          </cell>
          <cell r="C38">
            <v>1</v>
          </cell>
          <cell r="D38">
            <v>10</v>
          </cell>
          <cell r="E38">
            <v>2008</v>
          </cell>
          <cell r="F38">
            <v>1207500</v>
          </cell>
        </row>
        <row r="39">
          <cell r="A39">
            <v>35</v>
          </cell>
          <cell r="C39">
            <v>1</v>
          </cell>
          <cell r="D39">
            <v>11</v>
          </cell>
          <cell r="E39">
            <v>2008</v>
          </cell>
          <cell r="F39">
            <v>2300000</v>
          </cell>
        </row>
        <row r="40">
          <cell r="A40">
            <v>36</v>
          </cell>
          <cell r="C40">
            <v>1</v>
          </cell>
          <cell r="D40">
            <v>11</v>
          </cell>
          <cell r="E40">
            <v>2008</v>
          </cell>
          <cell r="F40">
            <v>5094000</v>
          </cell>
        </row>
        <row r="41">
          <cell r="A41">
            <v>37</v>
          </cell>
          <cell r="C41">
            <v>1</v>
          </cell>
          <cell r="D41">
            <v>12</v>
          </cell>
          <cell r="E41">
            <v>2008</v>
          </cell>
          <cell r="F41">
            <v>725000</v>
          </cell>
        </row>
        <row r="42">
          <cell r="A42">
            <v>38</v>
          </cell>
          <cell r="C42">
            <v>1</v>
          </cell>
          <cell r="D42">
            <v>12</v>
          </cell>
          <cell r="E42">
            <v>2008</v>
          </cell>
          <cell r="F42">
            <v>2685000</v>
          </cell>
        </row>
        <row r="43">
          <cell r="A43">
            <v>39</v>
          </cell>
          <cell r="C43">
            <v>1</v>
          </cell>
          <cell r="D43">
            <v>1</v>
          </cell>
          <cell r="E43">
            <v>2009</v>
          </cell>
          <cell r="F43">
            <v>5825000</v>
          </cell>
        </row>
        <row r="44">
          <cell r="A44">
            <v>40</v>
          </cell>
          <cell r="C44">
            <v>1</v>
          </cell>
          <cell r="D44">
            <v>1</v>
          </cell>
          <cell r="E44">
            <v>2009</v>
          </cell>
          <cell r="F44">
            <v>950000</v>
          </cell>
        </row>
        <row r="45">
          <cell r="A45">
            <v>41</v>
          </cell>
          <cell r="C45">
            <v>1</v>
          </cell>
          <cell r="D45">
            <v>1</v>
          </cell>
          <cell r="E45">
            <v>2009</v>
          </cell>
          <cell r="F45">
            <v>41167000</v>
          </cell>
        </row>
        <row r="46">
          <cell r="A46">
            <v>42</v>
          </cell>
          <cell r="C46">
            <v>1</v>
          </cell>
          <cell r="D46">
            <v>2</v>
          </cell>
          <cell r="E46">
            <v>2009</v>
          </cell>
          <cell r="F46">
            <v>500000</v>
          </cell>
        </row>
        <row r="47">
          <cell r="A47">
            <v>43</v>
          </cell>
          <cell r="C47">
            <v>1</v>
          </cell>
          <cell r="D47">
            <v>2</v>
          </cell>
          <cell r="E47">
            <v>2009</v>
          </cell>
          <cell r="F47">
            <v>1758900</v>
          </cell>
        </row>
        <row r="48">
          <cell r="A48">
            <v>44</v>
          </cell>
          <cell r="C48">
            <v>1</v>
          </cell>
          <cell r="D48">
            <v>2</v>
          </cell>
          <cell r="E48">
            <v>2009</v>
          </cell>
          <cell r="F48">
            <v>260000</v>
          </cell>
        </row>
        <row r="49">
          <cell r="A49">
            <v>45</v>
          </cell>
          <cell r="C49">
            <v>1</v>
          </cell>
          <cell r="D49">
            <v>3</v>
          </cell>
          <cell r="E49">
            <v>2009</v>
          </cell>
          <cell r="F49">
            <v>6070000</v>
          </cell>
        </row>
        <row r="50">
          <cell r="A50">
            <v>46</v>
          </cell>
          <cell r="C50">
            <v>1</v>
          </cell>
          <cell r="D50">
            <v>3</v>
          </cell>
          <cell r="E50">
            <v>2009</v>
          </cell>
          <cell r="F50">
            <v>1906000</v>
          </cell>
        </row>
        <row r="51">
          <cell r="A51">
            <v>47</v>
          </cell>
          <cell r="C51">
            <v>1</v>
          </cell>
          <cell r="D51">
            <v>4</v>
          </cell>
          <cell r="E51">
            <v>2009</v>
          </cell>
          <cell r="F51">
            <v>5300000</v>
          </cell>
        </row>
        <row r="52">
          <cell r="A52">
            <v>48</v>
          </cell>
          <cell r="C52">
            <v>1</v>
          </cell>
          <cell r="D52">
            <v>4</v>
          </cell>
          <cell r="E52">
            <v>2009</v>
          </cell>
          <cell r="F52">
            <v>470000</v>
          </cell>
        </row>
        <row r="53">
          <cell r="A53">
            <v>49</v>
          </cell>
          <cell r="C53">
            <v>1</v>
          </cell>
          <cell r="D53">
            <v>6</v>
          </cell>
          <cell r="E53">
            <v>2009</v>
          </cell>
          <cell r="F53">
            <v>1420000</v>
          </cell>
        </row>
        <row r="54">
          <cell r="A54">
            <v>50</v>
          </cell>
          <cell r="C54">
            <v>1</v>
          </cell>
          <cell r="D54">
            <v>7</v>
          </cell>
          <cell r="E54">
            <v>2009</v>
          </cell>
          <cell r="F54">
            <v>2927500</v>
          </cell>
        </row>
        <row r="55">
          <cell r="A55">
            <v>51</v>
          </cell>
          <cell r="C55">
            <v>1</v>
          </cell>
          <cell r="D55">
            <v>7</v>
          </cell>
          <cell r="E55">
            <v>2009</v>
          </cell>
          <cell r="F55">
            <v>3045000</v>
          </cell>
        </row>
        <row r="56">
          <cell r="A56">
            <v>52</v>
          </cell>
          <cell r="C56">
            <v>1</v>
          </cell>
          <cell r="D56">
            <v>7</v>
          </cell>
          <cell r="E56">
            <v>2009</v>
          </cell>
          <cell r="F56">
            <v>948000</v>
          </cell>
        </row>
        <row r="57">
          <cell r="A57">
            <v>53</v>
          </cell>
          <cell r="C57">
            <v>1</v>
          </cell>
          <cell r="D57">
            <v>8</v>
          </cell>
          <cell r="E57">
            <v>2009</v>
          </cell>
          <cell r="F57">
            <v>650000</v>
          </cell>
        </row>
        <row r="58">
          <cell r="A58">
            <v>54</v>
          </cell>
          <cell r="C58">
            <v>1</v>
          </cell>
          <cell r="D58">
            <v>10</v>
          </cell>
          <cell r="E58">
            <v>2009</v>
          </cell>
          <cell r="F58">
            <v>2500000</v>
          </cell>
        </row>
        <row r="59">
          <cell r="A59">
            <v>55</v>
          </cell>
          <cell r="C59">
            <v>1</v>
          </cell>
          <cell r="D59">
            <v>12</v>
          </cell>
          <cell r="E59">
            <v>2009</v>
          </cell>
          <cell r="F59">
            <v>597000</v>
          </cell>
        </row>
        <row r="60">
          <cell r="A60">
            <v>56</v>
          </cell>
          <cell r="C60">
            <v>1</v>
          </cell>
          <cell r="D60">
            <v>12</v>
          </cell>
          <cell r="E60">
            <v>2009</v>
          </cell>
          <cell r="F60">
            <v>548000</v>
          </cell>
        </row>
        <row r="61">
          <cell r="A61">
            <v>57</v>
          </cell>
          <cell r="B61" t="str">
            <v>LCD (2 unit)</v>
          </cell>
          <cell r="C61">
            <v>1</v>
          </cell>
          <cell r="D61">
            <v>1</v>
          </cell>
          <cell r="E61">
            <v>2010</v>
          </cell>
          <cell r="F61">
            <v>5550000</v>
          </cell>
        </row>
        <row r="62">
          <cell r="A62">
            <v>58</v>
          </cell>
          <cell r="B62" t="str">
            <v>Samsung SCH, Iphone</v>
          </cell>
          <cell r="C62">
            <v>1</v>
          </cell>
          <cell r="D62">
            <v>1</v>
          </cell>
          <cell r="E62">
            <v>2010</v>
          </cell>
          <cell r="F62">
            <v>658000</v>
          </cell>
        </row>
        <row r="63">
          <cell r="A63">
            <v>59</v>
          </cell>
          <cell r="B63" t="str">
            <v>Sony CR SR 68 E</v>
          </cell>
          <cell r="C63">
            <v>1</v>
          </cell>
          <cell r="D63">
            <v>1</v>
          </cell>
          <cell r="E63">
            <v>2010</v>
          </cell>
          <cell r="F63">
            <v>3613125</v>
          </cell>
        </row>
        <row r="64">
          <cell r="A64">
            <v>60</v>
          </cell>
          <cell r="B64" t="str">
            <v>MONITOR</v>
          </cell>
          <cell r="C64">
            <v>1</v>
          </cell>
          <cell r="D64">
            <v>2</v>
          </cell>
          <cell r="E64">
            <v>2010</v>
          </cell>
          <cell r="F64">
            <v>375000</v>
          </cell>
        </row>
        <row r="65">
          <cell r="A65">
            <v>61</v>
          </cell>
          <cell r="B65" t="str">
            <v xml:space="preserve">HPW 710 </v>
          </cell>
          <cell r="C65">
            <v>1</v>
          </cell>
          <cell r="D65">
            <v>2</v>
          </cell>
          <cell r="E65">
            <v>2010</v>
          </cell>
          <cell r="F65">
            <v>750000</v>
          </cell>
        </row>
        <row r="66">
          <cell r="A66">
            <v>62</v>
          </cell>
          <cell r="B66" t="str">
            <v>Draket TV metal</v>
          </cell>
          <cell r="C66">
            <v>1</v>
          </cell>
          <cell r="D66">
            <v>2</v>
          </cell>
          <cell r="E66">
            <v>2010</v>
          </cell>
          <cell r="F66">
            <v>329000</v>
          </cell>
        </row>
        <row r="67">
          <cell r="A67">
            <v>63</v>
          </cell>
          <cell r="B67" t="str">
            <v>Peralatan kantor</v>
          </cell>
          <cell r="C67">
            <v>1</v>
          </cell>
          <cell r="D67">
            <v>3</v>
          </cell>
          <cell r="E67">
            <v>2010</v>
          </cell>
          <cell r="F67">
            <v>1108025</v>
          </cell>
        </row>
        <row r="68">
          <cell r="A68">
            <v>64</v>
          </cell>
          <cell r="B68" t="str">
            <v>Komputer</v>
          </cell>
          <cell r="C68">
            <v>1</v>
          </cell>
          <cell r="D68">
            <v>3</v>
          </cell>
          <cell r="E68">
            <v>2010</v>
          </cell>
          <cell r="F68">
            <v>5030000</v>
          </cell>
        </row>
        <row r="69">
          <cell r="A69">
            <v>65</v>
          </cell>
          <cell r="B69" t="str">
            <v xml:space="preserve">6 Pen genius </v>
          </cell>
          <cell r="C69">
            <v>1</v>
          </cell>
          <cell r="D69">
            <v>3</v>
          </cell>
          <cell r="E69">
            <v>2010</v>
          </cell>
          <cell r="F69">
            <v>980000</v>
          </cell>
        </row>
        <row r="70">
          <cell r="A70">
            <v>66</v>
          </cell>
          <cell r="B70" t="str">
            <v>Keyboard+meja</v>
          </cell>
          <cell r="C70">
            <v>1</v>
          </cell>
          <cell r="D70">
            <v>3</v>
          </cell>
          <cell r="E70">
            <v>2010</v>
          </cell>
          <cell r="F70">
            <v>600000</v>
          </cell>
        </row>
        <row r="71">
          <cell r="A71">
            <v>67</v>
          </cell>
          <cell r="B71" t="str">
            <v>6 Pen genius F 509</v>
          </cell>
          <cell r="C71">
            <v>1</v>
          </cell>
          <cell r="D71">
            <v>4</v>
          </cell>
          <cell r="E71">
            <v>2010</v>
          </cell>
          <cell r="F71">
            <v>750000</v>
          </cell>
        </row>
        <row r="72">
          <cell r="A72">
            <v>68</v>
          </cell>
          <cell r="B72" t="str">
            <v>Kespersky</v>
          </cell>
          <cell r="C72">
            <v>1</v>
          </cell>
          <cell r="D72">
            <v>4</v>
          </cell>
          <cell r="E72">
            <v>2010</v>
          </cell>
          <cell r="F72">
            <v>430000</v>
          </cell>
        </row>
        <row r="73">
          <cell r="A73">
            <v>69</v>
          </cell>
          <cell r="B73" t="str">
            <v>Komputer</v>
          </cell>
          <cell r="C73">
            <v>1</v>
          </cell>
          <cell r="D73">
            <v>8</v>
          </cell>
          <cell r="E73">
            <v>2010</v>
          </cell>
          <cell r="F73">
            <v>1850000</v>
          </cell>
        </row>
        <row r="74">
          <cell r="A74">
            <v>70</v>
          </cell>
          <cell r="B74" t="str">
            <v>Laptop</v>
          </cell>
          <cell r="C74">
            <v>1</v>
          </cell>
          <cell r="D74">
            <v>11</v>
          </cell>
          <cell r="E74">
            <v>2010</v>
          </cell>
          <cell r="F74">
            <v>7125000</v>
          </cell>
        </row>
        <row r="75">
          <cell r="A75">
            <v>71</v>
          </cell>
          <cell r="B75" t="str">
            <v>Samsung SCH</v>
          </cell>
          <cell r="C75">
            <v>1</v>
          </cell>
          <cell r="D75">
            <v>11</v>
          </cell>
          <cell r="E75">
            <v>2010</v>
          </cell>
          <cell r="F75">
            <v>359000</v>
          </cell>
        </row>
        <row r="76">
          <cell r="A76">
            <v>72</v>
          </cell>
          <cell r="B76" t="str">
            <v>Laptop</v>
          </cell>
          <cell r="C76">
            <v>1</v>
          </cell>
          <cell r="D76">
            <v>11</v>
          </cell>
          <cell r="E76">
            <v>2010</v>
          </cell>
          <cell r="F76">
            <v>3975000</v>
          </cell>
        </row>
        <row r="77">
          <cell r="A77">
            <v>73</v>
          </cell>
          <cell r="B77" t="str">
            <v>Laptop Compac</v>
          </cell>
          <cell r="C77">
            <v>1</v>
          </cell>
          <cell r="D77">
            <v>11</v>
          </cell>
          <cell r="E77">
            <v>2010</v>
          </cell>
          <cell r="F77">
            <v>3675000</v>
          </cell>
        </row>
        <row r="78">
          <cell r="A78">
            <v>74</v>
          </cell>
          <cell r="B78" t="str">
            <v>Nokia 6300</v>
          </cell>
          <cell r="C78">
            <v>1</v>
          </cell>
          <cell r="D78">
            <v>11</v>
          </cell>
          <cell r="E78">
            <v>2010</v>
          </cell>
          <cell r="F78">
            <v>1886000</v>
          </cell>
        </row>
        <row r="79">
          <cell r="A79">
            <v>75</v>
          </cell>
          <cell r="B79" t="str">
            <v>Kas Int SEC 3 User</v>
          </cell>
          <cell r="C79">
            <v>1</v>
          </cell>
          <cell r="D79">
            <v>12</v>
          </cell>
          <cell r="E79">
            <v>2010</v>
          </cell>
          <cell r="F79">
            <v>845000</v>
          </cell>
        </row>
        <row r="80">
          <cell r="A80">
            <v>76</v>
          </cell>
          <cell r="B80" t="str">
            <v>Connector to VGA Adaptor</v>
          </cell>
          <cell r="C80">
            <v>1</v>
          </cell>
          <cell r="D80">
            <v>12</v>
          </cell>
          <cell r="E80">
            <v>2010</v>
          </cell>
          <cell r="F80">
            <v>775000</v>
          </cell>
        </row>
        <row r="81">
          <cell r="A81">
            <v>77</v>
          </cell>
          <cell r="B81" t="str">
            <v>Laptop</v>
          </cell>
          <cell r="C81">
            <v>1</v>
          </cell>
          <cell r="D81">
            <v>12</v>
          </cell>
          <cell r="E81">
            <v>2010</v>
          </cell>
          <cell r="F81">
            <v>4000000</v>
          </cell>
        </row>
        <row r="82">
          <cell r="A82">
            <v>78</v>
          </cell>
          <cell r="B82" t="str">
            <v>TP Link</v>
          </cell>
          <cell r="C82">
            <v>1</v>
          </cell>
          <cell r="D82">
            <v>12</v>
          </cell>
          <cell r="E82">
            <v>2010</v>
          </cell>
          <cell r="F82">
            <v>424000</v>
          </cell>
        </row>
        <row r="83">
          <cell r="A83">
            <v>79</v>
          </cell>
          <cell r="B83" t="str">
            <v>Sytlis for Ipad</v>
          </cell>
          <cell r="C83">
            <v>1</v>
          </cell>
          <cell r="D83">
            <v>12</v>
          </cell>
          <cell r="E83">
            <v>2010</v>
          </cell>
          <cell r="F83">
            <v>109000</v>
          </cell>
        </row>
        <row r="84">
          <cell r="A84">
            <v>80</v>
          </cell>
          <cell r="B84" t="str">
            <v>PC Komputer set</v>
          </cell>
          <cell r="C84">
            <v>1</v>
          </cell>
          <cell r="D84">
            <v>1</v>
          </cell>
          <cell r="E84">
            <v>2011</v>
          </cell>
          <cell r="F84">
            <v>3650000</v>
          </cell>
        </row>
        <row r="85">
          <cell r="A85">
            <v>81</v>
          </cell>
          <cell r="B85" t="str">
            <v>LCD TV LG</v>
          </cell>
          <cell r="C85">
            <v>1</v>
          </cell>
          <cell r="D85">
            <v>2</v>
          </cell>
          <cell r="E85">
            <v>2011</v>
          </cell>
          <cell r="F85">
            <v>2488000</v>
          </cell>
        </row>
        <row r="86">
          <cell r="A86">
            <v>82</v>
          </cell>
          <cell r="B86" t="str">
            <v>LED Monitor</v>
          </cell>
          <cell r="C86">
            <v>1</v>
          </cell>
          <cell r="D86">
            <v>2</v>
          </cell>
          <cell r="E86">
            <v>2011</v>
          </cell>
          <cell r="F86">
            <v>1350000</v>
          </cell>
        </row>
        <row r="87">
          <cell r="A87">
            <v>83</v>
          </cell>
          <cell r="B87" t="str">
            <v>Wifi Router Set</v>
          </cell>
          <cell r="C87">
            <v>1</v>
          </cell>
          <cell r="D87">
            <v>2</v>
          </cell>
          <cell r="E87">
            <v>2011</v>
          </cell>
          <cell r="F87">
            <v>1488000</v>
          </cell>
        </row>
        <row r="88">
          <cell r="A88">
            <v>84</v>
          </cell>
          <cell r="B88" t="str">
            <v>LCD Projector Vivitek</v>
          </cell>
          <cell r="C88">
            <v>1</v>
          </cell>
          <cell r="D88">
            <v>2</v>
          </cell>
          <cell r="E88">
            <v>2011</v>
          </cell>
          <cell r="F88">
            <v>4300500</v>
          </cell>
        </row>
        <row r="89">
          <cell r="A89">
            <v>85</v>
          </cell>
          <cell r="B89" t="str">
            <v>Mini CPU</v>
          </cell>
          <cell r="C89">
            <v>1</v>
          </cell>
          <cell r="D89">
            <v>2</v>
          </cell>
          <cell r="E89">
            <v>2011</v>
          </cell>
          <cell r="F89">
            <v>2580000</v>
          </cell>
        </row>
        <row r="90">
          <cell r="A90">
            <v>86</v>
          </cell>
          <cell r="B90" t="str">
            <v>HP Flexi</v>
          </cell>
          <cell r="C90">
            <v>1</v>
          </cell>
          <cell r="D90">
            <v>2</v>
          </cell>
          <cell r="E90">
            <v>2011</v>
          </cell>
          <cell r="F90">
            <v>400000</v>
          </cell>
        </row>
        <row r="91">
          <cell r="A91">
            <v>87</v>
          </cell>
          <cell r="B91" t="str">
            <v>Notebook HP Probook</v>
          </cell>
          <cell r="C91">
            <v>1</v>
          </cell>
          <cell r="D91">
            <v>2</v>
          </cell>
          <cell r="E91">
            <v>2011</v>
          </cell>
          <cell r="F91">
            <v>5750000</v>
          </cell>
        </row>
        <row r="92">
          <cell r="A92">
            <v>88</v>
          </cell>
          <cell r="B92" t="str">
            <v>Furniture Kantor</v>
          </cell>
          <cell r="C92">
            <v>1</v>
          </cell>
          <cell r="D92">
            <v>3</v>
          </cell>
          <cell r="E92">
            <v>2011</v>
          </cell>
          <cell r="F92">
            <v>14735250</v>
          </cell>
        </row>
        <row r="93">
          <cell r="A93">
            <v>89</v>
          </cell>
          <cell r="B93" t="str">
            <v>Furniture Kantor</v>
          </cell>
          <cell r="C93">
            <v>1</v>
          </cell>
          <cell r="D93">
            <v>3</v>
          </cell>
          <cell r="E93">
            <v>2011</v>
          </cell>
          <cell r="F93">
            <v>593750</v>
          </cell>
        </row>
        <row r="94">
          <cell r="A94">
            <v>90</v>
          </cell>
          <cell r="B94" t="str">
            <v>AHA Modem Link</v>
          </cell>
          <cell r="C94">
            <v>1</v>
          </cell>
          <cell r="D94">
            <v>3</v>
          </cell>
          <cell r="E94">
            <v>2011</v>
          </cell>
          <cell r="F94">
            <v>1049000</v>
          </cell>
        </row>
        <row r="95">
          <cell r="A95">
            <v>91</v>
          </cell>
          <cell r="B95" t="str">
            <v>Dispenser</v>
          </cell>
          <cell r="C95">
            <v>1</v>
          </cell>
          <cell r="D95">
            <v>4</v>
          </cell>
          <cell r="E95">
            <v>2011</v>
          </cell>
          <cell r="F95">
            <v>468000</v>
          </cell>
        </row>
        <row r="96">
          <cell r="A96">
            <v>92</v>
          </cell>
          <cell r="B96" t="str">
            <v>White board</v>
          </cell>
          <cell r="C96">
            <v>1</v>
          </cell>
          <cell r="D96">
            <v>4</v>
          </cell>
          <cell r="E96">
            <v>2011</v>
          </cell>
          <cell r="F96">
            <v>910000</v>
          </cell>
        </row>
        <row r="97">
          <cell r="A97">
            <v>93</v>
          </cell>
          <cell r="B97" t="str">
            <v>Mini CPU</v>
          </cell>
          <cell r="C97">
            <v>1</v>
          </cell>
          <cell r="D97">
            <v>4</v>
          </cell>
          <cell r="E97">
            <v>2011</v>
          </cell>
          <cell r="F97">
            <v>2335000</v>
          </cell>
        </row>
        <row r="98">
          <cell r="A98">
            <v>94</v>
          </cell>
          <cell r="B98" t="str">
            <v>Furniture Kantor</v>
          </cell>
          <cell r="C98">
            <v>1</v>
          </cell>
          <cell r="D98">
            <v>5</v>
          </cell>
          <cell r="E98">
            <v>2011</v>
          </cell>
          <cell r="F98">
            <v>15369000</v>
          </cell>
        </row>
        <row r="99">
          <cell r="A99">
            <v>95</v>
          </cell>
          <cell r="B99" t="str">
            <v>PC Komputer set</v>
          </cell>
          <cell r="C99">
            <v>1</v>
          </cell>
          <cell r="D99">
            <v>5</v>
          </cell>
          <cell r="E99">
            <v>2011</v>
          </cell>
          <cell r="F99">
            <v>3570000</v>
          </cell>
        </row>
        <row r="100">
          <cell r="A100">
            <v>96</v>
          </cell>
          <cell r="B100" t="str">
            <v>Meja Tamu</v>
          </cell>
          <cell r="C100">
            <v>1</v>
          </cell>
          <cell r="D100">
            <v>1</v>
          </cell>
          <cell r="E100">
            <v>2012</v>
          </cell>
          <cell r="F100">
            <v>328000</v>
          </cell>
        </row>
        <row r="101">
          <cell r="A101">
            <v>97</v>
          </cell>
          <cell r="B101" t="str">
            <v>Modem</v>
          </cell>
          <cell r="C101">
            <v>1</v>
          </cell>
          <cell r="D101">
            <v>2</v>
          </cell>
          <cell r="E101">
            <v>2012</v>
          </cell>
          <cell r="F101">
            <v>402300</v>
          </cell>
        </row>
        <row r="102">
          <cell r="A102">
            <v>98</v>
          </cell>
          <cell r="B102" t="str">
            <v>Laptop HP</v>
          </cell>
          <cell r="C102">
            <v>1</v>
          </cell>
          <cell r="D102">
            <v>3</v>
          </cell>
          <cell r="E102">
            <v>2012</v>
          </cell>
          <cell r="F102">
            <v>6625000</v>
          </cell>
        </row>
        <row r="103">
          <cell r="A103">
            <v>99</v>
          </cell>
          <cell r="B103" t="str">
            <v>Komputer CPU (1 unit)</v>
          </cell>
          <cell r="C103">
            <v>1</v>
          </cell>
          <cell r="D103">
            <v>3</v>
          </cell>
          <cell r="E103">
            <v>2012</v>
          </cell>
          <cell r="F103">
            <v>4075000</v>
          </cell>
        </row>
        <row r="104">
          <cell r="A104">
            <v>100</v>
          </cell>
          <cell r="B104" t="str">
            <v>WIFI Router</v>
          </cell>
          <cell r="C104">
            <v>1</v>
          </cell>
          <cell r="D104">
            <v>4</v>
          </cell>
          <cell r="E104">
            <v>2012</v>
          </cell>
          <cell r="F104">
            <v>500000</v>
          </cell>
        </row>
        <row r="105">
          <cell r="A105">
            <v>101</v>
          </cell>
          <cell r="B105" t="str">
            <v>PABX Panasonic</v>
          </cell>
          <cell r="C105">
            <v>1</v>
          </cell>
          <cell r="D105">
            <v>4</v>
          </cell>
          <cell r="E105">
            <v>2012</v>
          </cell>
          <cell r="F105">
            <v>3190000</v>
          </cell>
        </row>
        <row r="106">
          <cell r="A106">
            <v>102</v>
          </cell>
          <cell r="B106" t="str">
            <v>LCD Proyektor</v>
          </cell>
          <cell r="C106">
            <v>1</v>
          </cell>
          <cell r="D106">
            <v>5</v>
          </cell>
          <cell r="E106">
            <v>2012</v>
          </cell>
          <cell r="F106">
            <v>1500000</v>
          </cell>
        </row>
        <row r="107">
          <cell r="A107">
            <v>103</v>
          </cell>
          <cell r="B107" t="str">
            <v>Interactive Board</v>
          </cell>
          <cell r="C107">
            <v>1</v>
          </cell>
          <cell r="D107">
            <v>5</v>
          </cell>
          <cell r="E107">
            <v>2012</v>
          </cell>
          <cell r="F107">
            <v>2355600</v>
          </cell>
        </row>
        <row r="108">
          <cell r="A108">
            <v>104</v>
          </cell>
          <cell r="B108" t="str">
            <v>LCD Proyektor</v>
          </cell>
          <cell r="C108">
            <v>1</v>
          </cell>
          <cell r="D108">
            <v>6</v>
          </cell>
          <cell r="E108">
            <v>2012</v>
          </cell>
          <cell r="F108">
            <v>3750000</v>
          </cell>
        </row>
        <row r="109">
          <cell r="A109">
            <v>105</v>
          </cell>
          <cell r="B109" t="str">
            <v>Kursi Siswa</v>
          </cell>
          <cell r="C109">
            <v>1</v>
          </cell>
          <cell r="D109">
            <v>9</v>
          </cell>
          <cell r="E109">
            <v>2012</v>
          </cell>
          <cell r="F109">
            <v>13620000</v>
          </cell>
        </row>
        <row r="110">
          <cell r="A110">
            <v>106</v>
          </cell>
          <cell r="B110" t="str">
            <v>Handycam Sony</v>
          </cell>
          <cell r="C110">
            <v>1</v>
          </cell>
          <cell r="D110">
            <v>9</v>
          </cell>
          <cell r="E110">
            <v>2012</v>
          </cell>
          <cell r="F110">
            <v>5175000</v>
          </cell>
        </row>
        <row r="111">
          <cell r="A111">
            <v>107</v>
          </cell>
          <cell r="B111" t="str">
            <v>Laptop Acer</v>
          </cell>
          <cell r="C111">
            <v>1</v>
          </cell>
          <cell r="D111">
            <v>10</v>
          </cell>
          <cell r="E111">
            <v>2012</v>
          </cell>
          <cell r="F111">
            <v>4050000</v>
          </cell>
        </row>
        <row r="112">
          <cell r="A112">
            <v>108</v>
          </cell>
          <cell r="B112" t="str">
            <v>WIFI Router</v>
          </cell>
          <cell r="C112">
            <v>1</v>
          </cell>
          <cell r="D112">
            <v>10</v>
          </cell>
          <cell r="E112">
            <v>2012</v>
          </cell>
          <cell r="F112">
            <v>229000</v>
          </cell>
        </row>
        <row r="113">
          <cell r="A113">
            <v>109</v>
          </cell>
          <cell r="B113" t="str">
            <v>Lemari Buku</v>
          </cell>
          <cell r="C113">
            <v>1</v>
          </cell>
          <cell r="D113">
            <v>11</v>
          </cell>
          <cell r="E113">
            <v>2012</v>
          </cell>
          <cell r="F113">
            <v>1700000</v>
          </cell>
        </row>
        <row r="114">
          <cell r="A114">
            <v>110</v>
          </cell>
          <cell r="B114" t="str">
            <v>Kursi Siswa</v>
          </cell>
          <cell r="C114">
            <v>1</v>
          </cell>
          <cell r="D114">
            <v>12</v>
          </cell>
          <cell r="E114">
            <v>2012</v>
          </cell>
          <cell r="F114">
            <v>3875000</v>
          </cell>
        </row>
        <row r="115">
          <cell r="A115">
            <v>111</v>
          </cell>
          <cell r="B115" t="str">
            <v>Meja Kerja</v>
          </cell>
          <cell r="C115">
            <v>1</v>
          </cell>
          <cell r="D115">
            <v>12</v>
          </cell>
          <cell r="E115">
            <v>2012</v>
          </cell>
          <cell r="F115">
            <v>835000</v>
          </cell>
        </row>
        <row r="116">
          <cell r="A116">
            <v>112</v>
          </cell>
          <cell r="B116" t="str">
            <v>Lemari Buku</v>
          </cell>
          <cell r="C116">
            <v>1</v>
          </cell>
          <cell r="D116">
            <v>12</v>
          </cell>
          <cell r="E116">
            <v>2012</v>
          </cell>
          <cell r="F116">
            <v>396000</v>
          </cell>
        </row>
        <row r="117">
          <cell r="A117">
            <v>113</v>
          </cell>
          <cell r="B117" t="str">
            <v>LCD Monitor</v>
          </cell>
          <cell r="C117">
            <v>1</v>
          </cell>
          <cell r="D117">
            <v>12</v>
          </cell>
          <cell r="E117">
            <v>2012</v>
          </cell>
          <cell r="F117">
            <v>1300000</v>
          </cell>
        </row>
        <row r="118">
          <cell r="A118">
            <v>114</v>
          </cell>
          <cell r="B118" t="str">
            <v>Kursi Siswa Chitose</v>
          </cell>
          <cell r="C118">
            <v>1</v>
          </cell>
          <cell r="D118">
            <v>7</v>
          </cell>
          <cell r="E118">
            <v>2013</v>
          </cell>
          <cell r="F118">
            <v>9250000</v>
          </cell>
        </row>
        <row r="119">
          <cell r="A119">
            <v>115</v>
          </cell>
          <cell r="B119" t="str">
            <v>Kendaraan</v>
          </cell>
          <cell r="C119">
            <v>1</v>
          </cell>
          <cell r="D119">
            <v>1</v>
          </cell>
          <cell r="E119">
            <v>2009</v>
          </cell>
          <cell r="F119">
            <v>49200000</v>
          </cell>
        </row>
        <row r="120">
          <cell r="A120">
            <v>116</v>
          </cell>
          <cell r="B120" t="str">
            <v>Sepeda motor vario</v>
          </cell>
          <cell r="C120">
            <v>1</v>
          </cell>
          <cell r="D120">
            <v>11</v>
          </cell>
          <cell r="E120">
            <v>2010</v>
          </cell>
          <cell r="F120">
            <v>13000000</v>
          </cell>
        </row>
        <row r="121">
          <cell r="A121">
            <v>117</v>
          </cell>
          <cell r="B121" t="str">
            <v>Sepeda motor vario</v>
          </cell>
          <cell r="C121">
            <v>1</v>
          </cell>
          <cell r="D121">
            <v>11</v>
          </cell>
          <cell r="E121">
            <v>2010</v>
          </cell>
          <cell r="F121">
            <v>7988000</v>
          </cell>
        </row>
        <row r="122">
          <cell r="A122">
            <v>118</v>
          </cell>
          <cell r="B122" t="str">
            <v>Honda Vario Techno</v>
          </cell>
          <cell r="C122">
            <v>1</v>
          </cell>
          <cell r="D122">
            <v>1</v>
          </cell>
          <cell r="E122">
            <v>2012</v>
          </cell>
          <cell r="F122">
            <v>15370000</v>
          </cell>
        </row>
        <row r="123">
          <cell r="A123">
            <v>119</v>
          </cell>
          <cell r="B123" t="str">
            <v>Yamaha Vixion</v>
          </cell>
          <cell r="C123">
            <v>1</v>
          </cell>
          <cell r="D123">
            <v>1</v>
          </cell>
          <cell r="E123">
            <v>2012</v>
          </cell>
          <cell r="F123">
            <v>16750000</v>
          </cell>
        </row>
        <row r="124">
          <cell r="A124">
            <v>120</v>
          </cell>
          <cell r="B124" t="str">
            <v>Honda Scoopy</v>
          </cell>
          <cell r="C124">
            <v>1</v>
          </cell>
          <cell r="D124">
            <v>1</v>
          </cell>
          <cell r="E124">
            <v>2012</v>
          </cell>
          <cell r="F124">
            <v>13740000</v>
          </cell>
        </row>
        <row r="125">
          <cell r="A125">
            <v>121</v>
          </cell>
          <cell r="B125" t="str">
            <v>Honda Revo</v>
          </cell>
          <cell r="C125">
            <v>1</v>
          </cell>
          <cell r="D125">
            <v>2</v>
          </cell>
          <cell r="E125">
            <v>2012</v>
          </cell>
          <cell r="F125">
            <v>12190000</v>
          </cell>
        </row>
        <row r="126">
          <cell r="A126">
            <v>122</v>
          </cell>
          <cell r="B126" t="str">
            <v>Honda Revo</v>
          </cell>
          <cell r="C126">
            <v>1</v>
          </cell>
          <cell r="D126">
            <v>3</v>
          </cell>
          <cell r="E126">
            <v>2012</v>
          </cell>
          <cell r="F126">
            <v>12240000</v>
          </cell>
        </row>
        <row r="127">
          <cell r="A127">
            <v>123</v>
          </cell>
          <cell r="B127" t="str">
            <v>Honda Vario</v>
          </cell>
          <cell r="C127">
            <v>1</v>
          </cell>
          <cell r="D127">
            <v>6</v>
          </cell>
          <cell r="E127">
            <v>2012</v>
          </cell>
          <cell r="F127">
            <v>14460000</v>
          </cell>
        </row>
        <row r="128">
          <cell r="A128">
            <v>124</v>
          </cell>
          <cell r="B128" t="str">
            <v>Honda Vario Techno</v>
          </cell>
          <cell r="C128">
            <v>1</v>
          </cell>
          <cell r="D128">
            <v>9</v>
          </cell>
          <cell r="E128">
            <v>2013</v>
          </cell>
          <cell r="F128">
            <v>16940000</v>
          </cell>
        </row>
        <row r="129">
          <cell r="A129">
            <v>125</v>
          </cell>
          <cell r="B129" t="str">
            <v>Honda Vario Techno</v>
          </cell>
          <cell r="C129">
            <v>1</v>
          </cell>
          <cell r="D129">
            <v>10</v>
          </cell>
          <cell r="E129">
            <v>2013</v>
          </cell>
          <cell r="F129">
            <v>16940000</v>
          </cell>
        </row>
        <row r="130">
          <cell r="A130">
            <v>126</v>
          </cell>
          <cell r="C130">
            <v>2</v>
          </cell>
          <cell r="D130">
            <v>1</v>
          </cell>
          <cell r="E130">
            <v>2008</v>
          </cell>
          <cell r="F130">
            <v>14600000</v>
          </cell>
        </row>
        <row r="131">
          <cell r="A131">
            <v>127</v>
          </cell>
          <cell r="C131">
            <v>2</v>
          </cell>
          <cell r="D131">
            <v>1</v>
          </cell>
          <cell r="E131">
            <v>2008</v>
          </cell>
          <cell r="F131">
            <v>15000000</v>
          </cell>
        </row>
        <row r="132">
          <cell r="A132">
            <v>128</v>
          </cell>
          <cell r="C132">
            <v>2</v>
          </cell>
          <cell r="D132">
            <v>1</v>
          </cell>
          <cell r="E132">
            <v>2008</v>
          </cell>
          <cell r="F132">
            <v>6000000</v>
          </cell>
        </row>
        <row r="133">
          <cell r="A133">
            <v>129</v>
          </cell>
          <cell r="B133" t="str">
            <v>AC LG 4 unit</v>
          </cell>
          <cell r="C133">
            <v>2</v>
          </cell>
          <cell r="D133">
            <v>3</v>
          </cell>
          <cell r="E133">
            <v>2011</v>
          </cell>
          <cell r="F133">
            <v>9120000</v>
          </cell>
        </row>
        <row r="134">
          <cell r="A134">
            <v>130</v>
          </cell>
          <cell r="B134" t="str">
            <v>AC LG 2 unit</v>
          </cell>
          <cell r="C134">
            <v>2</v>
          </cell>
          <cell r="D134">
            <v>3</v>
          </cell>
          <cell r="E134">
            <v>2011</v>
          </cell>
          <cell r="F134">
            <v>4560000</v>
          </cell>
        </row>
        <row r="135">
          <cell r="A135">
            <v>131</v>
          </cell>
          <cell r="B135" t="str">
            <v>AC LG 3 unit</v>
          </cell>
          <cell r="C135">
            <v>2</v>
          </cell>
          <cell r="D135">
            <v>7</v>
          </cell>
          <cell r="E135">
            <v>2011</v>
          </cell>
          <cell r="F135">
            <v>6450000</v>
          </cell>
        </row>
        <row r="136">
          <cell r="A136">
            <v>132</v>
          </cell>
          <cell r="B136" t="str">
            <v>AC LG 2 PK</v>
          </cell>
          <cell r="C136">
            <v>2</v>
          </cell>
          <cell r="D136">
            <v>7</v>
          </cell>
          <cell r="E136">
            <v>2012</v>
          </cell>
          <cell r="F136">
            <v>5541661</v>
          </cell>
        </row>
        <row r="137">
          <cell r="A137">
            <v>133</v>
          </cell>
          <cell r="B137" t="str">
            <v>Loker</v>
          </cell>
          <cell r="C137">
            <v>2</v>
          </cell>
          <cell r="D137">
            <v>7</v>
          </cell>
          <cell r="E137">
            <v>2012</v>
          </cell>
          <cell r="F137">
            <v>6077000</v>
          </cell>
        </row>
        <row r="138">
          <cell r="A138">
            <v>134</v>
          </cell>
          <cell r="B138" t="str">
            <v>AC LG 1/2 PK (2 unit)</v>
          </cell>
          <cell r="C138">
            <v>2</v>
          </cell>
          <cell r="D138">
            <v>9</v>
          </cell>
          <cell r="E138">
            <v>2012</v>
          </cell>
          <cell r="F138">
            <v>5963000</v>
          </cell>
        </row>
        <row r="139">
          <cell r="A139">
            <v>135</v>
          </cell>
          <cell r="B139" t="str">
            <v>AC LG 1 PK</v>
          </cell>
          <cell r="C139">
            <v>2</v>
          </cell>
          <cell r="D139">
            <v>9</v>
          </cell>
          <cell r="E139">
            <v>2012</v>
          </cell>
          <cell r="F139">
            <v>3000000</v>
          </cell>
        </row>
        <row r="140">
          <cell r="A140">
            <v>136</v>
          </cell>
          <cell r="B140" t="str">
            <v>Rak aluminium</v>
          </cell>
          <cell r="C140">
            <v>2</v>
          </cell>
          <cell r="D140">
            <v>10</v>
          </cell>
          <cell r="E140">
            <v>2012</v>
          </cell>
          <cell r="F140">
            <v>1279000</v>
          </cell>
        </row>
        <row r="141">
          <cell r="A141">
            <v>137</v>
          </cell>
          <cell r="B141" t="str">
            <v>Lemari Besi</v>
          </cell>
          <cell r="C141">
            <v>2</v>
          </cell>
          <cell r="D141">
            <v>11</v>
          </cell>
          <cell r="E141">
            <v>2012</v>
          </cell>
          <cell r="F141">
            <v>4286000</v>
          </cell>
        </row>
        <row r="142">
          <cell r="A142">
            <v>138</v>
          </cell>
          <cell r="B142" t="str">
            <v>Mobil</v>
          </cell>
          <cell r="C142">
            <v>2</v>
          </cell>
          <cell r="D142">
            <v>1</v>
          </cell>
          <cell r="E142">
            <v>2008</v>
          </cell>
          <cell r="F142">
            <v>87711930</v>
          </cell>
        </row>
        <row r="143">
          <cell r="A143">
            <v>139</v>
          </cell>
          <cell r="C143">
            <v>2</v>
          </cell>
          <cell r="D143">
            <v>1</v>
          </cell>
          <cell r="E143">
            <v>2008</v>
          </cell>
          <cell r="F143">
            <v>87711930</v>
          </cell>
        </row>
        <row r="144">
          <cell r="A144">
            <v>140</v>
          </cell>
          <cell r="B144" t="str">
            <v>Honda Jazz RS</v>
          </cell>
          <cell r="C144">
            <v>2</v>
          </cell>
          <cell r="D144">
            <v>1</v>
          </cell>
          <cell r="E144">
            <v>2012</v>
          </cell>
          <cell r="F144">
            <v>224800000</v>
          </cell>
        </row>
        <row r="145">
          <cell r="A145">
            <v>141</v>
          </cell>
          <cell r="B145" t="str">
            <v>Daihatsu Espass</v>
          </cell>
          <cell r="C145">
            <v>2</v>
          </cell>
          <cell r="D145">
            <v>3</v>
          </cell>
          <cell r="E145">
            <v>2013</v>
          </cell>
          <cell r="F145">
            <v>46000000</v>
          </cell>
        </row>
        <row r="146">
          <cell r="A146">
            <v>142</v>
          </cell>
        </row>
        <row r="147">
          <cell r="A147">
            <v>143</v>
          </cell>
        </row>
        <row r="148">
          <cell r="A148">
            <v>144</v>
          </cell>
        </row>
        <row r="149">
          <cell r="A149">
            <v>145</v>
          </cell>
        </row>
        <row r="150">
          <cell r="A150">
            <v>146</v>
          </cell>
        </row>
        <row r="151">
          <cell r="A151">
            <v>147</v>
          </cell>
        </row>
        <row r="152">
          <cell r="A152">
            <v>148</v>
          </cell>
        </row>
        <row r="153">
          <cell r="A153">
            <v>149</v>
          </cell>
        </row>
        <row r="154">
          <cell r="A154">
            <v>150</v>
          </cell>
        </row>
        <row r="155">
          <cell r="A155">
            <v>151</v>
          </cell>
        </row>
        <row r="156">
          <cell r="A156">
            <v>152</v>
          </cell>
        </row>
        <row r="157">
          <cell r="A157">
            <v>153</v>
          </cell>
        </row>
        <row r="158">
          <cell r="A158">
            <v>154</v>
          </cell>
        </row>
        <row r="159">
          <cell r="A159">
            <v>155</v>
          </cell>
        </row>
        <row r="160">
          <cell r="A160">
            <v>156</v>
          </cell>
        </row>
        <row r="161">
          <cell r="A161">
            <v>157</v>
          </cell>
        </row>
        <row r="162">
          <cell r="A162">
            <v>158</v>
          </cell>
        </row>
        <row r="163">
          <cell r="A163">
            <v>159</v>
          </cell>
        </row>
        <row r="164">
          <cell r="A164">
            <v>160</v>
          </cell>
        </row>
        <row r="165">
          <cell r="A165">
            <v>161</v>
          </cell>
        </row>
        <row r="166">
          <cell r="A166">
            <v>162</v>
          </cell>
        </row>
        <row r="167">
          <cell r="A167">
            <v>163</v>
          </cell>
        </row>
        <row r="168">
          <cell r="A168">
            <v>164</v>
          </cell>
        </row>
        <row r="169">
          <cell r="A169">
            <v>165</v>
          </cell>
        </row>
        <row r="170">
          <cell r="A170">
            <v>166</v>
          </cell>
        </row>
        <row r="171">
          <cell r="A171">
            <v>167</v>
          </cell>
        </row>
        <row r="172">
          <cell r="A172">
            <v>168</v>
          </cell>
        </row>
        <row r="173">
          <cell r="A173">
            <v>169</v>
          </cell>
        </row>
        <row r="174">
          <cell r="A174">
            <v>170</v>
          </cell>
        </row>
        <row r="175">
          <cell r="A175">
            <v>171</v>
          </cell>
        </row>
        <row r="176">
          <cell r="A176">
            <v>172</v>
          </cell>
        </row>
        <row r="177">
          <cell r="A177">
            <v>173</v>
          </cell>
        </row>
        <row r="178">
          <cell r="A178">
            <v>174</v>
          </cell>
        </row>
        <row r="179">
          <cell r="A179">
            <v>175</v>
          </cell>
        </row>
        <row r="180">
          <cell r="A180">
            <v>176</v>
          </cell>
        </row>
        <row r="181">
          <cell r="A181">
            <v>177</v>
          </cell>
        </row>
        <row r="182">
          <cell r="A182">
            <v>178</v>
          </cell>
        </row>
        <row r="183">
          <cell r="A183">
            <v>179</v>
          </cell>
        </row>
        <row r="184">
          <cell r="A184">
            <v>180</v>
          </cell>
        </row>
        <row r="185">
          <cell r="A185">
            <v>181</v>
          </cell>
        </row>
        <row r="186">
          <cell r="A186">
            <v>182</v>
          </cell>
        </row>
        <row r="187">
          <cell r="A187">
            <v>183</v>
          </cell>
        </row>
        <row r="188">
          <cell r="A188">
            <v>184</v>
          </cell>
        </row>
        <row r="189">
          <cell r="A189">
            <v>185</v>
          </cell>
        </row>
        <row r="190">
          <cell r="A190">
            <v>186</v>
          </cell>
        </row>
        <row r="191">
          <cell r="A191">
            <v>187</v>
          </cell>
        </row>
        <row r="192">
          <cell r="A192">
            <v>188</v>
          </cell>
        </row>
        <row r="193">
          <cell r="A193">
            <v>189</v>
          </cell>
        </row>
        <row r="194">
          <cell r="A194">
            <v>190</v>
          </cell>
        </row>
        <row r="195">
          <cell r="A195">
            <v>191</v>
          </cell>
        </row>
        <row r="196">
          <cell r="A196">
            <v>192</v>
          </cell>
        </row>
        <row r="197">
          <cell r="A197">
            <v>193</v>
          </cell>
        </row>
        <row r="198">
          <cell r="A198">
            <v>194</v>
          </cell>
        </row>
        <row r="199">
          <cell r="A199">
            <v>195</v>
          </cell>
        </row>
        <row r="200">
          <cell r="A200">
            <v>196</v>
          </cell>
        </row>
        <row r="201">
          <cell r="A201">
            <v>197</v>
          </cell>
        </row>
        <row r="202">
          <cell r="A202">
            <v>198</v>
          </cell>
        </row>
        <row r="203">
          <cell r="A203">
            <v>199</v>
          </cell>
        </row>
        <row r="204">
          <cell r="A204">
            <v>200</v>
          </cell>
        </row>
        <row r="205">
          <cell r="A205">
            <v>201</v>
          </cell>
        </row>
        <row r="206">
          <cell r="A206">
            <v>202</v>
          </cell>
        </row>
        <row r="207">
          <cell r="A207">
            <v>203</v>
          </cell>
        </row>
        <row r="208">
          <cell r="A208">
            <v>204</v>
          </cell>
        </row>
        <row r="209">
          <cell r="A209">
            <v>205</v>
          </cell>
        </row>
        <row r="210">
          <cell r="A210">
            <v>206</v>
          </cell>
        </row>
        <row r="211">
          <cell r="A211">
            <v>207</v>
          </cell>
        </row>
        <row r="212">
          <cell r="A212">
            <v>208</v>
          </cell>
        </row>
        <row r="213">
          <cell r="A213">
            <v>209</v>
          </cell>
        </row>
        <row r="214">
          <cell r="A214">
            <v>210</v>
          </cell>
        </row>
        <row r="215">
          <cell r="A215">
            <v>211</v>
          </cell>
        </row>
        <row r="216">
          <cell r="A216">
            <v>212</v>
          </cell>
        </row>
        <row r="217">
          <cell r="A217">
            <v>213</v>
          </cell>
        </row>
        <row r="218">
          <cell r="A218">
            <v>214</v>
          </cell>
        </row>
        <row r="219">
          <cell r="A219">
            <v>215</v>
          </cell>
        </row>
        <row r="220">
          <cell r="A220">
            <v>216</v>
          </cell>
        </row>
        <row r="221">
          <cell r="A221">
            <v>217</v>
          </cell>
        </row>
        <row r="222">
          <cell r="A222">
            <v>218</v>
          </cell>
        </row>
        <row r="223">
          <cell r="A223">
            <v>219</v>
          </cell>
        </row>
        <row r="224">
          <cell r="A224">
            <v>220</v>
          </cell>
        </row>
        <row r="225">
          <cell r="A225">
            <v>221</v>
          </cell>
        </row>
        <row r="226">
          <cell r="A226">
            <v>222</v>
          </cell>
        </row>
        <row r="227">
          <cell r="A227">
            <v>223</v>
          </cell>
        </row>
        <row r="228">
          <cell r="A228">
            <v>224</v>
          </cell>
        </row>
        <row r="229">
          <cell r="A229">
            <v>225</v>
          </cell>
        </row>
        <row r="230">
          <cell r="A230">
            <v>226</v>
          </cell>
        </row>
        <row r="231">
          <cell r="A231">
            <v>227</v>
          </cell>
        </row>
        <row r="232">
          <cell r="A232">
            <v>228</v>
          </cell>
        </row>
        <row r="233">
          <cell r="A233">
            <v>229</v>
          </cell>
        </row>
        <row r="234">
          <cell r="A234">
            <v>230</v>
          </cell>
        </row>
        <row r="235">
          <cell r="A235">
            <v>231</v>
          </cell>
        </row>
        <row r="236">
          <cell r="A236">
            <v>232</v>
          </cell>
        </row>
        <row r="237">
          <cell r="A237">
            <v>233</v>
          </cell>
        </row>
        <row r="238">
          <cell r="A238">
            <v>234</v>
          </cell>
        </row>
        <row r="239">
          <cell r="A239">
            <v>235</v>
          </cell>
        </row>
        <row r="240">
          <cell r="A240">
            <v>236</v>
          </cell>
        </row>
        <row r="241">
          <cell r="A241">
            <v>237</v>
          </cell>
        </row>
        <row r="242">
          <cell r="A242">
            <v>238</v>
          </cell>
        </row>
        <row r="243">
          <cell r="A243">
            <v>239</v>
          </cell>
        </row>
        <row r="244">
          <cell r="A244">
            <v>240</v>
          </cell>
        </row>
        <row r="245">
          <cell r="A245">
            <v>241</v>
          </cell>
        </row>
        <row r="246">
          <cell r="A246">
            <v>242</v>
          </cell>
        </row>
        <row r="247">
          <cell r="A247">
            <v>243</v>
          </cell>
        </row>
        <row r="248">
          <cell r="A248">
            <v>244</v>
          </cell>
        </row>
        <row r="249">
          <cell r="A249">
            <v>245</v>
          </cell>
        </row>
        <row r="250">
          <cell r="A250">
            <v>246</v>
          </cell>
        </row>
        <row r="251">
          <cell r="A251">
            <v>247</v>
          </cell>
        </row>
        <row r="252">
          <cell r="A252">
            <v>248</v>
          </cell>
        </row>
        <row r="253">
          <cell r="A253">
            <v>249</v>
          </cell>
        </row>
        <row r="254">
          <cell r="A254">
            <v>250</v>
          </cell>
        </row>
        <row r="255">
          <cell r="A255">
            <v>251</v>
          </cell>
        </row>
      </sheetData>
      <sheetData sheetId="2"/>
      <sheetData sheetId="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anak"/>
      <sheetName val="Cover"/>
      <sheetName val="Daft. isi"/>
      <sheetName val="opini anak"/>
      <sheetName val="opini 1"/>
      <sheetName val="PJtangguhan00"/>
      <sheetName val="NRC"/>
      <sheetName val="RL"/>
      <sheetName val="Arkas"/>
      <sheetName val="BOP"/>
      <sheetName val="PD"/>
      <sheetName val="HD"/>
      <sheetName val="BPjl"/>
      <sheetName val="bEBAN opERASI"/>
      <sheetName val="Ctt"/>
      <sheetName val="HPP"/>
      <sheetName val="RIncian B. Prod (2)"/>
      <sheetName val="Piut-JTP"/>
      <sheetName val="keliru1"/>
      <sheetName val="keliru2"/>
      <sheetName val="B. Prod Okt"/>
      <sheetName val="B.OPERASI Oktober "/>
      <sheetName val="wbs-coba"/>
      <sheetName val="Lap.Keu"/>
      <sheetName val="laba saham"/>
      <sheetName val="Catatan (2)"/>
      <sheetName val="Adjusment"/>
      <sheetName val="Ekuitas"/>
      <sheetName val="Sheet3"/>
      <sheetName val="WBS (2)benar"/>
      <sheetName val="Psh-Anak"/>
      <sheetName val="catatan2anak"/>
      <sheetName val="Sheet1"/>
      <sheetName val="balanceshet '01"/>
      <sheetName val="Sheet2"/>
      <sheetName val="piutang"/>
      <sheetName val="LAP-KEU anak"/>
      <sheetName val="WBS (2)salah"/>
      <sheetName val="Sheet2 (2)"/>
      <sheetName val="piut-jas"/>
      <sheetName val="00-99-98"/>
      <sheetName val="Hut. Bank (PJ)"/>
      <sheetName val="Hut.bank (PD)"/>
      <sheetName val="kurs"/>
      <sheetName val="ass-jas"/>
      <sheetName val="agustus"/>
      <sheetName val="Notes"/>
      <sheetName val="AT"/>
      <sheetName val="Reklas"/>
      <sheetName val="percobaan"/>
      <sheetName val="WBS _2_salah"/>
      <sheetName val="A.4.3"/>
      <sheetName val="A.4.2"/>
      <sheetName val="PREV"/>
      <sheetName val="Lapse LR GOE"/>
      <sheetName val="G&amp;A"/>
      <sheetName val="ASSETS"/>
      <sheetName val="TB-WP"/>
      <sheetName val="lamphp"/>
      <sheetName val="Rincian"/>
      <sheetName val="LABARUGI"/>
      <sheetName val="NERACA"/>
      <sheetName val="CRITERIA1"/>
      <sheetName val="NY ADMIN"/>
      <sheetName val="Reconciliation"/>
      <sheetName val="Menu"/>
      <sheetName val="Std-Industri"/>
      <sheetName val="IS"/>
      <sheetName val="cover_anak"/>
      <sheetName val="Daft__isi"/>
      <sheetName val="opini_anak"/>
      <sheetName val="opini_1"/>
      <sheetName val="bEBAN_opERASI"/>
      <sheetName val="RIncian_B__Prod_(2)"/>
      <sheetName val="B__Prod_Okt"/>
      <sheetName val="B_OPERASI_Oktober_"/>
      <sheetName val="Lap_Keu"/>
      <sheetName val="laba_saham"/>
      <sheetName val="Catatan_(2)"/>
      <sheetName val="WBS_(2)benar"/>
      <sheetName val="balanceshet_'01"/>
      <sheetName val="LAP-KEU_anak"/>
      <sheetName val="WBS_(2)salah"/>
      <sheetName val="Sheet2_(2)"/>
      <sheetName val="Hut__Bank_(PJ)"/>
      <sheetName val="Hut_bank_(PD)"/>
      <sheetName val="cover_anak1"/>
      <sheetName val="Daft__isi1"/>
      <sheetName val="opini_anak1"/>
      <sheetName val="opini_11"/>
      <sheetName val="bEBAN_opERASI1"/>
      <sheetName val="RIncian_B__Prod_(2)1"/>
      <sheetName val="B__Prod_Okt1"/>
      <sheetName val="B_OPERASI_Oktober_1"/>
      <sheetName val="Lap_Keu1"/>
      <sheetName val="laba_saham1"/>
      <sheetName val="Catatan_(2)1"/>
      <sheetName val="WBS_(2)benar1"/>
      <sheetName val="balanceshet_'011"/>
      <sheetName val="LAP-KEU_anak1"/>
      <sheetName val="WBS_(2)salah1"/>
      <sheetName val="Sheet2_(2)1"/>
      <sheetName val="Hut__Bank_(PJ)1"/>
      <sheetName val="Hut_bank_(PD)1"/>
      <sheetName val="Income Statement-May 2004"/>
      <sheetName val="WBS__2_salah1"/>
      <sheetName val="WBS__2_salah"/>
      <sheetName val="tb"/>
      <sheetName val="SDE"/>
      <sheetName val="BLE"/>
      <sheetName val="BLF"/>
      <sheetName val="Ex-Rate"/>
      <sheetName val="ALLOC"/>
      <sheetName val="LEADSCHEDULE"/>
      <sheetName val="LN"/>
      <sheetName val="NONNRC"/>
      <sheetName val="LRK"/>
      <sheetName val="GABUNGAN"/>
      <sheetName val="ALL KD"/>
      <sheetName val="EQUIPMENT"/>
      <sheetName val="Fas-1,5M"/>
      <sheetName val="Fas-5M"/>
      <sheetName val="constants"/>
      <sheetName val="summary training"/>
      <sheetName val="chemcal"/>
      <sheetName val="FEB 07"/>
      <sheetName val="GeneralInfo"/>
      <sheetName val="DAF.INVEN U.O"/>
      <sheetName val="Sandi laba rugi"/>
      <sheetName val="Data"/>
      <sheetName val="COMBINE"/>
      <sheetName val="asset"/>
      <sheetName val="AdjustmentClient"/>
      <sheetName val="Gmd3"/>
      <sheetName val="Parameter"/>
      <sheetName val="tks-bmpk"/>
      <sheetName val="LTLGroup-Trans"/>
      <sheetName val="SPI"/>
      <sheetName val="AUDIT"/>
      <sheetName val="Accounts Payable (AA)"/>
      <sheetName val="10-1-1"/>
      <sheetName val="POMALAA"/>
      <sheetName val="at02"/>
      <sheetName val="NY_ADMIN"/>
      <sheetName val="Accounts_Payable_(AA)"/>
      <sheetName val="NY_ADMIN1"/>
      <sheetName val="Accounts_Payable_(AA)1"/>
      <sheetName val="WBS__2_salah2"/>
      <sheetName val="cover_anak2"/>
      <sheetName val="Daft__isi2"/>
      <sheetName val="opini_anak2"/>
      <sheetName val="opini_12"/>
      <sheetName val="bEBAN_opERASI2"/>
      <sheetName val="RIncian_B__Prod_(2)2"/>
      <sheetName val="B__Prod_Okt2"/>
      <sheetName val="B_OPERASI_Oktober_2"/>
      <sheetName val="Lap_Keu2"/>
      <sheetName val="laba_saham2"/>
      <sheetName val="Catatan_(2)2"/>
      <sheetName val="WBS_(2)benar2"/>
      <sheetName val="balanceshet_'012"/>
      <sheetName val="LAP-KEU_anak2"/>
      <sheetName val="WBS_(2)salah2"/>
      <sheetName val="Sheet2_(2)2"/>
      <sheetName val="Hut__Bank_(PJ)2"/>
      <sheetName val="Hut_bank_(PD)2"/>
      <sheetName val="NY_ADMIN2"/>
      <sheetName val="Accounts_Payable_(AA)2"/>
      <sheetName val="Sept"/>
      <sheetName val="Listes de Sélection"/>
      <sheetName val="Test Depre."/>
      <sheetName val="Mutation"/>
      <sheetName val="Harga Satuan"/>
      <sheetName val="har-sat"/>
      <sheetName val="UPH,BHN,ALT"/>
      <sheetName val="Analis harga"/>
      <sheetName val="spesifikasi"/>
      <sheetName val="sudut"/>
      <sheetName val="BAHAN"/>
      <sheetName val="Piutang Normal Psrt"/>
      <sheetName val="BBM-03"/>
      <sheetName val="Sst02BBng&lt;95 (Dep123)"/>
      <sheetName val="Sst02&gt;=95 (Dep123)"/>
      <sheetName val="ANLKL"/>
      <sheetName val="Worksheet-03"/>
      <sheetName val="Belmera"/>
      <sheetName val="Cawang Tomang Cengkareng"/>
      <sheetName val="Checker"/>
      <sheetName val="Jakarta Cikampek"/>
      <sheetName val="Citarum"/>
      <sheetName val="April"/>
      <sheetName val="BS-PL Komersil and Fiskal"/>
      <sheetName val="Jagorawi"/>
      <sheetName val="budget per type"/>
      <sheetName val="A1_ Income Statement Projection"/>
      <sheetName val="Jakarta Merak"/>
      <sheetName val="Padalarang Cileunyi"/>
      <sheetName val="Palikanci"/>
      <sheetName val="Rates"/>
      <sheetName val="Semarang"/>
      <sheetName val="Surabaya Gempol Mojokerto"/>
      <sheetName val="ALL_KD"/>
      <sheetName val="BS"/>
      <sheetName val="CF"/>
      <sheetName val="SC_"/>
      <sheetName val="WBS__2_salah3"/>
      <sheetName val="cover_anak3"/>
      <sheetName val="Daft__isi3"/>
      <sheetName val="opini_anak3"/>
      <sheetName val="opini_13"/>
      <sheetName val="bEBAN_opERASI3"/>
      <sheetName val="RIncian_B__Prod_(2)3"/>
      <sheetName val="B__Prod_Okt3"/>
      <sheetName val="B_OPERASI_Oktober_3"/>
      <sheetName val="Lap_Keu3"/>
      <sheetName val="laba_saham3"/>
      <sheetName val="Catatan_(2)3"/>
      <sheetName val="WBS_(2)benar3"/>
      <sheetName val="balanceshet_'013"/>
      <sheetName val="LAP-KEU_anak3"/>
      <sheetName val="WBS_(2)salah3"/>
      <sheetName val="Sheet2_(2)3"/>
      <sheetName val="Hut__Bank_(PJ)3"/>
      <sheetName val="Hut_bank_(PD)3"/>
      <sheetName val="NY_ADMIN3"/>
      <sheetName val="Accounts_Payable_(AA)3"/>
      <sheetName val="Listes_de_Sélection"/>
      <sheetName val="Test_Depre_"/>
      <sheetName val="FA2006"/>
      <sheetName val="INVES"/>
      <sheetName val="Data WP"/>
      <sheetName val="Marshal"/>
      <sheetName val="Permanent info"/>
      <sheetName val="HARGA ALAT"/>
      <sheetName val="NTB"/>
      <sheetName val="CP"/>
      <sheetName val="L&amp;D S"/>
      <sheetName val="DV"/>
      <sheetName val="Base"/>
      <sheetName val="DETANAL-AUG"/>
      <sheetName val="YRACCT"/>
      <sheetName val="CA-sort"/>
      <sheetName val="PAJE"/>
      <sheetName val="PC_1"/>
      <sheetName val="PC_2"/>
      <sheetName val="Rate"/>
      <sheetName val="Tanah"/>
      <sheetName val="Rekap Per Cab"/>
      <sheetName val="Notes 08"/>
      <sheetName val="SE-C"/>
      <sheetName val="%tase"/>
      <sheetName val="PBR"/>
      <sheetName val="PB"/>
      <sheetName val="RP-BAL"/>
      <sheetName val="USD-BAL"/>
      <sheetName val="S e p"/>
      <sheetName val="M a r"/>
      <sheetName val="M a y"/>
      <sheetName val="J u l"/>
      <sheetName val="A p r"/>
      <sheetName val="A u g"/>
      <sheetName val="O c t"/>
      <sheetName val="J u n"/>
      <sheetName val="N o v"/>
      <sheetName val="F e b"/>
      <sheetName val="J a n"/>
      <sheetName val="00 received in 01"/>
      <sheetName val="CPC"/>
      <sheetName val="ACTUAL 2001"/>
      <sheetName val="PT. Jasuindo. coba-coba"/>
      <sheetName val="KODE AKUN"/>
      <sheetName val="Assump"/>
      <sheetName val="05_2003-compute"/>
      <sheetName val="2.P&amp;LALLCLUBS"/>
      <sheetName val="Ex_Rate"/>
      <sheetName val="DUTK-SKU"/>
      <sheetName val="altsewa"/>
      <sheetName val="MAP"/>
      <sheetName val="Balance Sheet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ISP Opex"/>
      <sheetName val="ISP Revenue"/>
      <sheetName val="TR Opex"/>
      <sheetName val="Opex"/>
      <sheetName val="note"/>
      <sheetName val="WBS__2_salah4"/>
      <sheetName val="cover_anak4"/>
      <sheetName val="Daft__isi4"/>
      <sheetName val="opini_anak4"/>
      <sheetName val="opini_14"/>
      <sheetName val="bEBAN_opERASI4"/>
      <sheetName val="RIncian_B__Prod_(2)4"/>
      <sheetName val="B__Prod_Okt4"/>
      <sheetName val="B_OPERASI_Oktober_4"/>
      <sheetName val="Lap_Keu4"/>
      <sheetName val="laba_saham4"/>
      <sheetName val="Catatan_(2)4"/>
      <sheetName val="WBS_(2)benar4"/>
      <sheetName val="balanceshet_'014"/>
      <sheetName val="LAP-KEU_anak4"/>
      <sheetName val="WBS_(2)salah4"/>
      <sheetName val="Sheet2_(2)4"/>
      <sheetName val="Hut__Bank_(PJ)4"/>
      <sheetName val="Hut_bank_(PD)4"/>
      <sheetName val="NY_ADMIN4"/>
      <sheetName val="Accounts_Payable_(AA)4"/>
      <sheetName val="Listes_de_Sélection1"/>
      <sheetName val="Test_Depre_1"/>
      <sheetName val="Piutang_Normal_Psrt"/>
      <sheetName val="Sst02BBng&lt;95_(Dep123)"/>
      <sheetName val="Sst02&gt;=95_(Dep123)"/>
      <sheetName val="Cawang_Tomang_Cengkareng"/>
      <sheetName val="Jakarta_Cikampek"/>
      <sheetName val="BS-PL_Komersil_and_Fiskal"/>
      <sheetName val="budget_per_type"/>
      <sheetName val="A1__Income_Statement_Projection"/>
      <sheetName val="Jakarta_Merak"/>
      <sheetName val="Padalarang_Cileunyi"/>
      <sheetName val="Surabaya_Gempol_Mojokerto"/>
      <sheetName val="A_4_3"/>
      <sheetName val="A_4_2"/>
      <sheetName val="DAF_INVEN_U_O"/>
      <sheetName val="Permanent_info"/>
      <sheetName val="HARGA_ALAT"/>
      <sheetName val="L&amp;D_S"/>
      <sheetName val="Data_WP"/>
      <sheetName val="Lapse_LR_GOE"/>
      <sheetName val="Harga_Satuan"/>
      <sheetName val="Analis_harga"/>
      <sheetName val="Rekap_Per_Cab"/>
      <sheetName val="Notes_08"/>
      <sheetName val="S_e_p"/>
      <sheetName val="M_a_r"/>
      <sheetName val="M_a_y"/>
      <sheetName val="J_u_l"/>
      <sheetName val="A_p_r"/>
      <sheetName val="A_u_g"/>
      <sheetName val="O_c_t"/>
      <sheetName val="J_u_n"/>
      <sheetName val="N_o_v"/>
      <sheetName val="F_e_b"/>
      <sheetName val="J_a_n"/>
      <sheetName val="00_received_in_01"/>
      <sheetName val="ACTUAL_2001"/>
      <sheetName val="PT__Jasuindo__coba-coba"/>
      <sheetName val="KODE_AKUN"/>
      <sheetName val="2_P&amp;LALLCLUBS"/>
      <sheetName val="WBS__2_salah5"/>
      <sheetName val="cover_anak5"/>
      <sheetName val="Daft__isi5"/>
      <sheetName val="opini_anak5"/>
      <sheetName val="opini_15"/>
      <sheetName val="bEBAN_opERASI5"/>
      <sheetName val="RIncian_B__Prod_(2)5"/>
      <sheetName val="B__Prod_Okt5"/>
      <sheetName val="B_OPERASI_Oktober_5"/>
      <sheetName val="Lap_Keu5"/>
      <sheetName val="laba_saham5"/>
      <sheetName val="Catatan_(2)5"/>
      <sheetName val="WBS_(2)benar5"/>
      <sheetName val="balanceshet_'015"/>
      <sheetName val="LAP-KEU_anak5"/>
      <sheetName val="WBS_(2)salah5"/>
      <sheetName val="Sheet2_(2)5"/>
      <sheetName val="Hut__Bank_(PJ)5"/>
      <sheetName val="Hut_bank_(PD)5"/>
      <sheetName val="NY_ADMIN5"/>
      <sheetName val="Accounts_Payable_(AA)5"/>
      <sheetName val="Listes_de_Sélection2"/>
      <sheetName val="Test_Depre_2"/>
      <sheetName val="Piutang_Normal_Psrt1"/>
      <sheetName val="Sst02BBng&lt;95_(Dep123)1"/>
      <sheetName val="Sst02&gt;=95_(Dep123)1"/>
      <sheetName val="Cawang_Tomang_Cengkareng1"/>
      <sheetName val="Jakarta_Cikampek1"/>
      <sheetName val="BS-PL_Komersil_and_Fiskal1"/>
      <sheetName val="budget_per_type1"/>
      <sheetName val="A1__Income_Statement_Projectio1"/>
      <sheetName val="Jakarta_Merak1"/>
      <sheetName val="Padalarang_Cileunyi1"/>
      <sheetName val="Surabaya_Gempol_Mojokerto1"/>
      <sheetName val="A_4_31"/>
      <sheetName val="A_4_21"/>
      <sheetName val="DAF_INVEN_U_O1"/>
      <sheetName val="Permanent_info1"/>
      <sheetName val="HARGA_ALAT1"/>
      <sheetName val="L&amp;D_S1"/>
      <sheetName val="Data_WP1"/>
      <sheetName val="Lapse_LR_GOE1"/>
      <sheetName val="Harga_Satuan1"/>
      <sheetName val="Analis_harga1"/>
      <sheetName val="Rekap_Per_Cab1"/>
      <sheetName val="Notes_081"/>
      <sheetName val="S_e_p1"/>
      <sheetName val="M_a_r1"/>
      <sheetName val="M_a_y1"/>
      <sheetName val="J_u_l1"/>
      <sheetName val="A_p_r1"/>
      <sheetName val="A_u_g1"/>
      <sheetName val="O_c_t1"/>
      <sheetName val="J_u_n1"/>
      <sheetName val="N_o_v1"/>
      <sheetName val="F_e_b1"/>
      <sheetName val="J_a_n1"/>
      <sheetName val="00_received_in_011"/>
      <sheetName val="ACTUAL_20011"/>
      <sheetName val="PT__Jasuindo__coba-coba1"/>
      <sheetName val="KODE_AKUN1"/>
      <sheetName val="2_P&amp;LALLCLUB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>
        <row r="2">
          <cell r="L2">
            <v>66291790</v>
          </cell>
          <cell r="N2">
            <v>-66291790</v>
          </cell>
        </row>
        <row r="3">
          <cell r="A3" t="str">
            <v>Nomor</v>
          </cell>
          <cell r="D3" t="str">
            <v>Perbook's</v>
          </cell>
          <cell r="F3" t="str">
            <v>ADJUSTMENT</v>
          </cell>
          <cell r="I3" t="str">
            <v>Peraudit</v>
          </cell>
          <cell r="O3" t="str">
            <v>Peraudit</v>
          </cell>
        </row>
        <row r="4">
          <cell r="A4" t="str">
            <v>Rek</v>
          </cell>
          <cell r="D4">
            <v>37164</v>
          </cell>
          <cell r="F4" t="str">
            <v>Debet</v>
          </cell>
          <cell r="H4" t="str">
            <v>Credit</v>
          </cell>
          <cell r="I4">
            <v>37164</v>
          </cell>
          <cell r="O4">
            <v>37072</v>
          </cell>
        </row>
      </sheetData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2">
          <cell r="L2">
            <v>66291790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>
        <row r="2">
          <cell r="L2">
            <v>66291790</v>
          </cell>
        </row>
      </sheetData>
      <sheetData sheetId="310"/>
      <sheetData sheetId="311">
        <row r="2">
          <cell r="L2">
            <v>66291790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>
        <row r="2">
          <cell r="L2">
            <v>66291790</v>
          </cell>
        </row>
      </sheetData>
      <sheetData sheetId="372"/>
      <sheetData sheetId="373">
        <row r="2">
          <cell r="L2">
            <v>66291790</v>
          </cell>
        </row>
      </sheetData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Perusahaan"/>
      <sheetName val="Perhitungan Pegawai Tetap"/>
      <sheetName val="Rekap PP 21  (Resign)"/>
      <sheetName val="Selain Pegawai Tetap"/>
      <sheetName val="Induk"/>
      <sheetName val="L-IA"/>
      <sheetName val="L-IB"/>
      <sheetName val="L-II"/>
      <sheetName val="L-III"/>
      <sheetName val="BP A1"/>
      <sheetName val="BP A1 (2)"/>
      <sheetName val="BP 21"/>
      <sheetName val="BP 21 (2)"/>
      <sheetName val="BP 21 (3)"/>
      <sheetName val="BP 26"/>
      <sheetName val="Catatan"/>
      <sheetName val="Referensi"/>
      <sheetName val="Kategory"/>
      <sheetName val="TARIF TE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wSP2DK"/>
      <sheetName val="apwPelanggan"/>
      <sheetName val="apwPemasok"/>
      <sheetName val="apwPemegangSaham"/>
      <sheetName val="apwPengurus"/>
      <sheetName val="apwPemeriksaan"/>
      <sheetName val="apwIdentitas"/>
      <sheetName val="apwKomp42-Data"/>
      <sheetName val="apwKomp23-Data"/>
      <sheetName val="apwKompP21-Data"/>
      <sheetName val="apwKompPPN-Data"/>
      <sheetName val="apwKompBadan-Data"/>
      <sheetName val="apwKompBadan"/>
      <sheetName val="apwToko"/>
      <sheetName val="apwOSBM"/>
      <sheetName val="apwFPKBLLTL"/>
      <sheetName val="apwFPMTBK"/>
      <sheetName val="apwB2NOEFAKTUR"/>
      <sheetName val="apwLA2TE"/>
      <sheetName val="apwFPSATBL"/>
      <sheetName val="LogDonloadSPT"/>
      <sheetName val="BPS"/>
      <sheetName val="Help"/>
      <sheetName val="Laporan Visit"/>
      <sheetName val="TA B1"/>
      <sheetName val="dbLabaRugi"/>
      <sheetName val="dbNeraca"/>
      <sheetName val="REF"/>
      <sheetName val="MAIN"/>
      <sheetName val="Summary"/>
      <sheetName val="Index-Report"/>
      <sheetName val="Report"/>
      <sheetName val="Komparatif"/>
      <sheetName val="Setoran"/>
      <sheetName val="Penjualan"/>
      <sheetName val="Pembelian"/>
      <sheetName val="Barang"/>
      <sheetName val="Kategori Barang"/>
      <sheetName val="WP Terkait"/>
      <sheetName val="Rekap PPN"/>
      <sheetName val="Pivot LK1A"/>
      <sheetName val="Pivot LK1A Crosstab"/>
      <sheetName val="Pelaporan"/>
      <sheetName val="Pivot Bupot Lawan Belum Lapor"/>
      <sheetName val="Pivot Bupot Lawan"/>
      <sheetName val="jmlDetileFaktur"/>
      <sheetName val="detil eFaktur"/>
      <sheetName val="CABANG"/>
      <sheetName val="dbPemegangSaham"/>
      <sheetName val="MPN"/>
      <sheetName val="TUNGGAKAN"/>
      <sheetName val="dbALPP"/>
      <sheetName val="MawasSummary"/>
      <sheetName val="MawasBupot"/>
      <sheetName val="MawasPEB"/>
      <sheetName val="MawasPIB"/>
      <sheetName val="MawasTranskripLapkeu"/>
      <sheetName val="MawaseFaktur"/>
      <sheetName val="db1770n"/>
      <sheetName val="dbM"/>
      <sheetName val="dbLI"/>
      <sheetName val="dbLII"/>
      <sheetName val="dbLIII"/>
      <sheetName val="dbLIV"/>
      <sheetName val="dbLV"/>
      <sheetName val="dbLK1A"/>
      <sheetName val="dbP42"/>
      <sheetName val="dbP42Lamp"/>
      <sheetName val="dbP15"/>
      <sheetName val="dbP22"/>
      <sheetName val="dbP22Lamp"/>
      <sheetName val="dbP23"/>
      <sheetName val="dbP23Lamp23"/>
      <sheetName val="dbP23Lamp26"/>
      <sheetName val="dbP21Per32"/>
      <sheetName val="dbP21Per14"/>
      <sheetName val="dbP21Per14_Tahunan"/>
      <sheetName val="dbP21Per14_Masa"/>
      <sheetName val="dbP21Per14_Lamp2"/>
      <sheetName val="dbP21Per14_Lamp3"/>
      <sheetName val="dbP21Per14_Lamp4"/>
      <sheetName val="dbP21Per14_Lamp5"/>
      <sheetName val="dbPKPKPM"/>
      <sheetName val="dbPMPKPM"/>
      <sheetName val="dbPPNINDUK"/>
      <sheetName val="dbPPNAB"/>
      <sheetName val="dbPPNb1"/>
      <sheetName val="dbPPNb2"/>
      <sheetName val="dbPPNb3"/>
      <sheetName val="dbPPNa1"/>
      <sheetName val="dbPPNa2"/>
      <sheetName val="Kertas Xerja - 0.3.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3">
          <cell r="Z3">
            <v>0</v>
          </cell>
        </row>
        <row r="6">
          <cell r="BK6" t="str">
            <v>idcabang=7013825</v>
          </cell>
        </row>
        <row r="8">
          <cell r="C8">
            <v>2019</v>
          </cell>
        </row>
        <row r="9">
          <cell r="BK9">
            <v>43942.325173611112</v>
          </cell>
        </row>
        <row r="10">
          <cell r="C10">
            <v>1</v>
          </cell>
          <cell r="E10">
            <v>12</v>
          </cell>
        </row>
        <row r="14">
          <cell r="C14" t="str">
            <v>078378072541000</v>
          </cell>
        </row>
        <row r="22">
          <cell r="C22" t="str">
            <v>060115100</v>
          </cell>
        </row>
        <row r="23">
          <cell r="C23">
            <v>190707</v>
          </cell>
        </row>
        <row r="24">
          <cell r="C24" t="str">
            <v>Yogya1021</v>
          </cell>
        </row>
        <row r="25">
          <cell r="C25" t="str">
            <v>Include Data Cabang</v>
          </cell>
        </row>
        <row r="26">
          <cell r="C26">
            <v>5</v>
          </cell>
        </row>
        <row r="29">
          <cell r="BK29">
            <v>1</v>
          </cell>
        </row>
        <row r="30">
          <cell r="BK30">
            <v>21</v>
          </cell>
        </row>
        <row r="31">
          <cell r="D31" t="str">
            <v>SIDJP</v>
          </cell>
          <cell r="BK31">
            <v>1</v>
          </cell>
        </row>
        <row r="32">
          <cell r="D32" t="str">
            <v>Manual</v>
          </cell>
          <cell r="BK32">
            <v>1</v>
          </cell>
        </row>
        <row r="33">
          <cell r="D33" t="str">
            <v>Manual</v>
          </cell>
          <cell r="BK33">
            <v>4766</v>
          </cell>
        </row>
        <row r="34">
          <cell r="D34" t="str">
            <v>SIDJP</v>
          </cell>
        </row>
        <row r="35">
          <cell r="D35" t="str">
            <v>SIDJP</v>
          </cell>
        </row>
        <row r="36">
          <cell r="D36" t="str">
            <v>SIDJP</v>
          </cell>
        </row>
        <row r="38">
          <cell r="BK38" t="str">
            <v>07.837.807.2-541.000</v>
          </cell>
        </row>
        <row r="39">
          <cell r="BK39" t="str">
            <v>078378072541000</v>
          </cell>
        </row>
        <row r="41">
          <cell r="BK41" t="str">
            <v>npwpacuan</v>
          </cell>
        </row>
        <row r="42">
          <cell r="BK42">
            <v>1</v>
          </cell>
        </row>
        <row r="43">
          <cell r="BK43">
            <v>12</v>
          </cell>
        </row>
        <row r="44">
          <cell r="BK44">
            <v>1</v>
          </cell>
        </row>
        <row r="45">
          <cell r="BK45">
            <v>12</v>
          </cell>
        </row>
        <row r="59">
          <cell r="BK59">
            <v>0</v>
          </cell>
        </row>
        <row r="60">
          <cell r="BK60">
            <v>2</v>
          </cell>
        </row>
        <row r="62">
          <cell r="BK62" t="str">
            <v>SPT Tahunan PPh Orang Pribadi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>
        <row r="1">
          <cell r="F1">
            <v>4766</v>
          </cell>
        </row>
        <row r="2">
          <cell r="F2">
            <v>45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>
        <row r="1">
          <cell r="A1">
            <v>0</v>
          </cell>
          <cell r="I1" t="str">
            <v>078378072541000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utorial"/>
      <sheetName val="Data Pemotong Pajak"/>
      <sheetName val="Lembar Penolong"/>
      <sheetName val="1721-A1_2014"/>
      <sheetName val="1721-I Bulanan"/>
      <sheetName val="1721-I Tahunan"/>
      <sheetName val="Form Impor eSPT Tahunan"/>
      <sheetName val="Form Impor eSPT Bulanan"/>
      <sheetName val="Des"/>
      <sheetName val="Kertas Kerja"/>
      <sheetName val="Form Impor eSPT2"/>
      <sheetName val="buku kas"/>
    </sheetNames>
    <sheetDataSet>
      <sheetData sheetId="0"/>
      <sheetData sheetId="1"/>
      <sheetData sheetId="2">
        <row r="1"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  <cell r="AO1">
            <v>0</v>
          </cell>
          <cell r="AP1">
            <v>0</v>
          </cell>
          <cell r="AQ1">
            <v>0</v>
          </cell>
          <cell r="AR1">
            <v>0</v>
          </cell>
          <cell r="AS1">
            <v>0</v>
          </cell>
          <cell r="AT1">
            <v>0</v>
          </cell>
          <cell r="AU1">
            <v>0</v>
          </cell>
          <cell r="AV1">
            <v>0</v>
          </cell>
          <cell r="AW1">
            <v>0</v>
          </cell>
          <cell r="AX1">
            <v>0</v>
          </cell>
          <cell r="AY1">
            <v>0</v>
          </cell>
          <cell r="AZ1">
            <v>0</v>
          </cell>
          <cell r="BA1">
            <v>0</v>
          </cell>
          <cell r="BB1">
            <v>0</v>
          </cell>
          <cell r="BC1">
            <v>0</v>
          </cell>
          <cell r="BD1">
            <v>0</v>
          </cell>
          <cell r="BE1">
            <v>0</v>
          </cell>
          <cell r="BF1">
            <v>0</v>
          </cell>
          <cell r="BG1">
            <v>0</v>
          </cell>
          <cell r="BH1">
            <v>0</v>
          </cell>
          <cell r="BI1">
            <v>0</v>
          </cell>
          <cell r="BJ1">
            <v>0</v>
          </cell>
          <cell r="BK1">
            <v>0</v>
          </cell>
          <cell r="BL1">
            <v>0</v>
          </cell>
        </row>
        <row r="2">
          <cell r="E2" t="str">
            <v>LEMBAR PENOLONG PENGISIAN FORM BUKTI POTONG PPh PASAL 21 PEGAWAI TETAP (1721-A1)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0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0</v>
          </cell>
          <cell r="AY2">
            <v>0</v>
          </cell>
          <cell r="AZ2">
            <v>0</v>
          </cell>
          <cell r="BA2">
            <v>0</v>
          </cell>
          <cell r="BB2">
            <v>0</v>
          </cell>
          <cell r="BC2">
            <v>0</v>
          </cell>
          <cell r="BD2">
            <v>0</v>
          </cell>
          <cell r="BE2">
            <v>0</v>
          </cell>
          <cell r="BF2">
            <v>0</v>
          </cell>
          <cell r="BG2">
            <v>0</v>
          </cell>
          <cell r="BH2">
            <v>0</v>
          </cell>
          <cell r="BI2">
            <v>0</v>
          </cell>
          <cell r="BJ2">
            <v>0</v>
          </cell>
          <cell r="BK2">
            <v>0</v>
          </cell>
          <cell r="BL2">
            <v>0</v>
          </cell>
        </row>
        <row r="3">
          <cell r="E3" t="str">
            <v>TAHUN 2017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  <cell r="BB3">
            <v>0</v>
          </cell>
          <cell r="BC3">
            <v>0</v>
          </cell>
          <cell r="BD3">
            <v>0</v>
          </cell>
          <cell r="BE3">
            <v>0</v>
          </cell>
          <cell r="BF3">
            <v>0</v>
          </cell>
          <cell r="BG3">
            <v>0</v>
          </cell>
          <cell r="BH3">
            <v>0</v>
          </cell>
          <cell r="BI3">
            <v>0</v>
          </cell>
          <cell r="BJ3">
            <v>0</v>
          </cell>
          <cell r="BK3">
            <v>0</v>
          </cell>
          <cell r="BL3">
            <v>0</v>
          </cell>
        </row>
        <row r="4">
          <cell r="E4" t="str">
            <v>(NON GROSS UP)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0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</row>
        <row r="5"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</row>
        <row r="6">
          <cell r="E6" t="str">
            <v>No</v>
          </cell>
          <cell r="F6" t="str">
            <v>N A M A</v>
          </cell>
          <cell r="G6" t="str">
            <v>N P W P                                                     (Tulis dengan format lengkap                                                  00.000.000.0-000.000)</v>
          </cell>
          <cell r="H6">
            <v>0</v>
          </cell>
          <cell r="I6" t="str">
            <v>L / P</v>
          </cell>
          <cell r="J6" t="str">
            <v>Status PTKP</v>
          </cell>
          <cell r="K6" t="str">
            <v>Mulai Kerja</v>
          </cell>
          <cell r="L6">
            <v>0</v>
          </cell>
          <cell r="M6" t="str">
            <v>JABATAN</v>
          </cell>
          <cell r="N6" t="str">
            <v>Kode Negara Domisili</v>
          </cell>
          <cell r="O6" t="str">
            <v>NIK/                                  No. Paspor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 t="str">
            <v>Masa Perolehan Ph</v>
          </cell>
          <cell r="U6">
            <v>0</v>
          </cell>
          <cell r="V6">
            <v>0</v>
          </cell>
          <cell r="W6" t="str">
            <v>Expart                         (E)</v>
          </cell>
          <cell r="X6" t="str">
            <v>Mu          ta           si</v>
          </cell>
          <cell r="Y6" t="str">
            <v>Penghasilan Bruto DESEMBER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 t="str">
            <v>Penghasilan Bruto Januari sd. Desember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 t="str">
            <v>Jumlah Iuran Pensiun, THT/JHT</v>
          </cell>
          <cell r="AP6" t="str">
            <v>Jumlah Ph Bruto Teratur setahun</v>
          </cell>
          <cell r="AQ6" t="str">
            <v>Biaya                             Jabatan                                Ph Teratur setahun (1)</v>
          </cell>
          <cell r="AR6" t="str">
            <v>Biaya                             Jabatan                                Ph Teratur setahun</v>
          </cell>
          <cell r="AS6" t="str">
            <v>Biaya                             Jabatan                                Ph Tak Teratur  setahun (1)</v>
          </cell>
          <cell r="AT6" t="str">
            <v>Biaya                             Jabatan                                Ph Tak Teratur  setahun</v>
          </cell>
          <cell r="AU6" t="str">
            <v>Penghasilan Neto                   setahun</v>
          </cell>
          <cell r="AV6" t="str">
            <v>P T K P</v>
          </cell>
          <cell r="AW6" t="str">
            <v>P  K  P</v>
          </cell>
          <cell r="AX6" t="str">
            <v>Ph Neto                            masa                    sebelumnya</v>
          </cell>
          <cell r="AY6" t="str">
            <v xml:space="preserve">PPh 21                       yg telah                         dipot. masa                         sebelumnya </v>
          </cell>
          <cell r="AZ6" t="str">
            <v>Ph Neto                      (penolong1)</v>
          </cell>
          <cell r="BA6" t="str">
            <v>Ph Neto                      (penolong2)</v>
          </cell>
          <cell r="BB6" t="str">
            <v>Ph Neto setahun/disetahunkan</v>
          </cell>
          <cell r="BC6" t="str">
            <v>PPh PASAL 21              TERUTANG                         (penolong3)</v>
          </cell>
          <cell r="BD6" t="str">
            <v>PPh PASAL 21              TERUTANG                         (penolong1)</v>
          </cell>
          <cell r="BE6" t="str">
            <v>PPh Psl 21              Terutang (NPWP)                         (Rupiah)</v>
          </cell>
          <cell r="BF6" t="str">
            <v>PPh Psl 21              Terutang (Non                                                   NPWP) (Rupiah)</v>
          </cell>
          <cell r="BG6" t="str">
            <v>PPh PASAL 21              TERUTANG                         (penolong2)</v>
          </cell>
          <cell r="BH6" t="str">
            <v>PPh PASAL 21              TERUTANG                         (Rupiah)</v>
          </cell>
          <cell r="BI6" t="str">
            <v>PPh                                 yang telah dipotong                                     Jan sd. Nop</v>
          </cell>
          <cell r="BJ6" t="str">
            <v>PPh                                 yang harus                                         dipotong</v>
          </cell>
          <cell r="BK6" t="str">
            <v xml:space="preserve">Kompensasi PPh Bln sebelumnya </v>
          </cell>
          <cell r="BL6" t="str">
            <v>PPh                                 yang harus                                          / (lebih)                                        dipotong</v>
          </cell>
          <cell r="BM6">
            <v>0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>
            <v>0</v>
          </cell>
          <cell r="BV6">
            <v>0</v>
          </cell>
          <cell r="BW6">
            <v>0</v>
          </cell>
          <cell r="BX6">
            <v>0</v>
          </cell>
          <cell r="BY6">
            <v>0</v>
          </cell>
          <cell r="BZ6">
            <v>0</v>
          </cell>
          <cell r="CA6">
            <v>0</v>
          </cell>
          <cell r="CB6">
            <v>0</v>
          </cell>
          <cell r="CC6">
            <v>0</v>
          </cell>
          <cell r="CD6">
            <v>0</v>
          </cell>
        </row>
        <row r="7">
          <cell r="E7">
            <v>0</v>
          </cell>
          <cell r="F7">
            <v>0</v>
          </cell>
          <cell r="G7">
            <v>0</v>
          </cell>
          <cell r="H7" t="str">
            <v>Alamat</v>
          </cell>
          <cell r="I7">
            <v>0</v>
          </cell>
          <cell r="J7">
            <v>0</v>
          </cell>
          <cell r="K7" t="str">
            <v>Lokal</v>
          </cell>
          <cell r="L7" t="str">
            <v>Expart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str">
            <v xml:space="preserve">Dari </v>
          </cell>
          <cell r="S7" t="str">
            <v>(E)</v>
          </cell>
          <cell r="T7" t="str">
            <v xml:space="preserve">Dari </v>
          </cell>
          <cell r="U7" t="str">
            <v>Sd.</v>
          </cell>
          <cell r="V7" t="str">
            <v>Jml Masa (Bln)</v>
          </cell>
          <cell r="W7">
            <v>0</v>
          </cell>
          <cell r="X7">
            <v>0</v>
          </cell>
          <cell r="Y7" t="str">
            <v xml:space="preserve">Gaji </v>
          </cell>
          <cell r="Z7" t="str">
            <v>Asuransi Dibayar Pemberi Kerja</v>
          </cell>
          <cell r="AA7" t="str">
            <v>Tunjangan PPh</v>
          </cell>
          <cell r="AB7" t="str">
            <v>Natura &amp; Kenikmatan</v>
          </cell>
          <cell r="AC7" t="str">
            <v>Tantiem, Bonus, Jasa Prod, THR</v>
          </cell>
          <cell r="AD7" t="str">
            <v>Honorarium, imbalan lain sejenisnya</v>
          </cell>
          <cell r="AE7" t="str">
            <v>Tunjangan lainnya, uang lembur, dsb</v>
          </cell>
          <cell r="AF7" t="str">
            <v>Jumlah</v>
          </cell>
          <cell r="AG7" t="str">
            <v xml:space="preserve">Gaji </v>
          </cell>
          <cell r="AH7" t="str">
            <v>Asuransi Dibayar Pemberi Kerja</v>
          </cell>
          <cell r="AI7" t="str">
            <v>Tunjangan PPh</v>
          </cell>
          <cell r="AJ7" t="str">
            <v>Natura &amp; Kenikmatan</v>
          </cell>
          <cell r="AK7" t="str">
            <v>Tantiem, Bonus, Jasa Prod, THR</v>
          </cell>
          <cell r="AL7" t="str">
            <v>Honorarium, imbalan lain sejenisnya</v>
          </cell>
          <cell r="AM7" t="str">
            <v>Tunjangan lainnya, uang lembur, dsb</v>
          </cell>
          <cell r="AN7" t="str">
            <v>Jumlah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</row>
        <row r="8">
          <cell r="E8">
            <v>-1</v>
          </cell>
          <cell r="F8">
            <v>-2</v>
          </cell>
          <cell r="G8">
            <v>-3</v>
          </cell>
          <cell r="H8">
            <v>-4</v>
          </cell>
          <cell r="I8">
            <v>-5</v>
          </cell>
          <cell r="J8">
            <v>-6</v>
          </cell>
          <cell r="K8">
            <v>-7</v>
          </cell>
          <cell r="L8">
            <v>-8</v>
          </cell>
          <cell r="M8">
            <v>-9</v>
          </cell>
          <cell r="N8">
            <v>-10</v>
          </cell>
          <cell r="O8">
            <v>-11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-12</v>
          </cell>
          <cell r="U8">
            <v>-13</v>
          </cell>
          <cell r="V8">
            <v>-14</v>
          </cell>
          <cell r="W8">
            <v>-15</v>
          </cell>
          <cell r="X8">
            <v>-16</v>
          </cell>
          <cell r="Y8">
            <v>-17</v>
          </cell>
          <cell r="Z8">
            <v>-18</v>
          </cell>
          <cell r="AA8">
            <v>-19</v>
          </cell>
          <cell r="AB8">
            <v>-20</v>
          </cell>
          <cell r="AC8">
            <v>-21</v>
          </cell>
          <cell r="AD8">
            <v>-22</v>
          </cell>
          <cell r="AE8">
            <v>-23</v>
          </cell>
          <cell r="AF8">
            <v>-24</v>
          </cell>
          <cell r="AG8">
            <v>-25</v>
          </cell>
          <cell r="AH8">
            <v>-26</v>
          </cell>
          <cell r="AI8">
            <v>-27</v>
          </cell>
          <cell r="AJ8">
            <v>-28</v>
          </cell>
          <cell r="AK8">
            <v>-29</v>
          </cell>
          <cell r="AL8">
            <v>-30</v>
          </cell>
          <cell r="AM8">
            <v>-31</v>
          </cell>
          <cell r="AN8">
            <v>-32</v>
          </cell>
          <cell r="AO8">
            <v>-33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-34</v>
          </cell>
          <cell r="AY8">
            <v>-35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-36</v>
          </cell>
          <cell r="BI8">
            <v>-37</v>
          </cell>
          <cell r="BJ8">
            <v>-38</v>
          </cell>
          <cell r="BK8">
            <v>-39</v>
          </cell>
          <cell r="BL8">
            <v>-40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</row>
        <row r="9">
          <cell r="A9" t="str">
            <v>12</v>
          </cell>
          <cell r="B9">
            <v>1</v>
          </cell>
          <cell r="C9" t="str">
            <v>12</v>
          </cell>
          <cell r="D9">
            <v>1</v>
          </cell>
          <cell r="E9">
            <v>1</v>
          </cell>
          <cell r="F9" t="str">
            <v xml:space="preserve">NUR HADI ROHMAN </v>
          </cell>
          <cell r="G9" t="str">
            <v>08.342.572.8-721.000</v>
          </cell>
          <cell r="H9" t="str">
            <v>Vancoover Blok Hk 23 Damai Balikpapan</v>
          </cell>
          <cell r="I9" t="str">
            <v>L</v>
          </cell>
          <cell r="J9" t="str">
            <v>K/3</v>
          </cell>
          <cell r="K9">
            <v>0</v>
          </cell>
          <cell r="L9">
            <v>0</v>
          </cell>
          <cell r="M9" t="str">
            <v>KEPALA CABANG</v>
          </cell>
          <cell r="N9">
            <v>0</v>
          </cell>
          <cell r="O9" t="str">
            <v>6471051051165004</v>
          </cell>
          <cell r="P9">
            <v>2</v>
          </cell>
          <cell r="Q9">
            <v>2</v>
          </cell>
          <cell r="R9">
            <v>12</v>
          </cell>
          <cell r="S9">
            <v>12</v>
          </cell>
          <cell r="T9" t="str">
            <v>01</v>
          </cell>
          <cell r="U9">
            <v>12</v>
          </cell>
          <cell r="V9">
            <v>12</v>
          </cell>
          <cell r="W9" t="str">
            <v xml:space="preserve"> </v>
          </cell>
          <cell r="X9">
            <v>0</v>
          </cell>
          <cell r="Y9">
            <v>2500000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960000</v>
          </cell>
          <cell r="AF9">
            <v>3460000</v>
          </cell>
          <cell r="AG9">
            <v>30000000</v>
          </cell>
          <cell r="AH9">
            <v>0</v>
          </cell>
          <cell r="AI9">
            <v>0</v>
          </cell>
          <cell r="AJ9">
            <v>0</v>
          </cell>
          <cell r="AK9">
            <v>2500000</v>
          </cell>
          <cell r="AL9">
            <v>0</v>
          </cell>
          <cell r="AM9">
            <v>11520000</v>
          </cell>
          <cell r="AN9">
            <v>44020000</v>
          </cell>
          <cell r="AO9">
            <v>0</v>
          </cell>
          <cell r="AP9">
            <v>44020000</v>
          </cell>
          <cell r="AQ9">
            <v>2201000</v>
          </cell>
          <cell r="AR9">
            <v>2201000</v>
          </cell>
          <cell r="AS9">
            <v>125000</v>
          </cell>
          <cell r="AT9">
            <v>125000</v>
          </cell>
          <cell r="AU9">
            <v>41819000</v>
          </cell>
          <cell r="AV9">
            <v>72000000</v>
          </cell>
          <cell r="AW9">
            <v>0</v>
          </cell>
          <cell r="AX9">
            <v>0</v>
          </cell>
          <cell r="AY9">
            <v>0</v>
          </cell>
          <cell r="AZ9">
            <v>41819000</v>
          </cell>
          <cell r="BA9">
            <v>41819000</v>
          </cell>
          <cell r="BB9">
            <v>41819000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N9">
            <v>1</v>
          </cell>
          <cell r="BO9">
            <v>0</v>
          </cell>
          <cell r="BP9">
            <v>1</v>
          </cell>
          <cell r="BQ9">
            <v>12</v>
          </cell>
          <cell r="BR9">
            <v>1</v>
          </cell>
          <cell r="BS9" t="str">
            <v>08</v>
          </cell>
          <cell r="BT9" t="str">
            <v>342</v>
          </cell>
          <cell r="BU9" t="str">
            <v>572</v>
          </cell>
          <cell r="BV9" t="str">
            <v>8</v>
          </cell>
          <cell r="BW9" t="str">
            <v>721</v>
          </cell>
          <cell r="BX9" t="str">
            <v>000</v>
          </cell>
          <cell r="BY9" t="str">
            <v>083425728721000</v>
          </cell>
          <cell r="BZ9">
            <v>2</v>
          </cell>
        </row>
        <row r="10">
          <cell r="A10" t="str">
            <v>22</v>
          </cell>
          <cell r="B10">
            <v>2</v>
          </cell>
          <cell r="C10" t="str">
            <v>22</v>
          </cell>
          <cell r="D10">
            <v>2</v>
          </cell>
          <cell r="E10">
            <v>2</v>
          </cell>
          <cell r="F10" t="str">
            <v>ELIA ROSA</v>
          </cell>
          <cell r="G10" t="str">
            <v>14.381.856.5-721.001</v>
          </cell>
          <cell r="H10" t="str">
            <v>Jalan Telagasari 167 Balikpapan</v>
          </cell>
          <cell r="I10" t="str">
            <v>P</v>
          </cell>
          <cell r="J10" t="str">
            <v>TK/0</v>
          </cell>
          <cell r="K10">
            <v>0</v>
          </cell>
          <cell r="L10">
            <v>0</v>
          </cell>
          <cell r="M10" t="str">
            <v xml:space="preserve">INSTRUKTUR SMART TETAP </v>
          </cell>
          <cell r="N10">
            <v>0</v>
          </cell>
          <cell r="O10" t="str">
            <v>6471055705740000</v>
          </cell>
          <cell r="P10">
            <v>2</v>
          </cell>
          <cell r="Q10">
            <v>2</v>
          </cell>
          <cell r="R10">
            <v>12</v>
          </cell>
          <cell r="S10">
            <v>12</v>
          </cell>
          <cell r="T10" t="str">
            <v>01</v>
          </cell>
          <cell r="U10">
            <v>12</v>
          </cell>
          <cell r="V10">
            <v>12</v>
          </cell>
          <cell r="W10" t="str">
            <v xml:space="preserve"> </v>
          </cell>
          <cell r="X10">
            <v>0</v>
          </cell>
          <cell r="Y10">
            <v>2125000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460000</v>
          </cell>
          <cell r="AF10">
            <v>2585000</v>
          </cell>
          <cell r="AG10">
            <v>25500000</v>
          </cell>
          <cell r="AH10">
            <v>0</v>
          </cell>
          <cell r="AI10">
            <v>0</v>
          </cell>
          <cell r="AJ10">
            <v>0</v>
          </cell>
          <cell r="AK10">
            <v>2125000</v>
          </cell>
          <cell r="AL10">
            <v>0</v>
          </cell>
          <cell r="AM10">
            <v>5520000</v>
          </cell>
          <cell r="AN10">
            <v>33145000</v>
          </cell>
          <cell r="AO10">
            <v>0</v>
          </cell>
          <cell r="AP10">
            <v>33145000</v>
          </cell>
          <cell r="AQ10">
            <v>1657250</v>
          </cell>
          <cell r="AR10">
            <v>1657250</v>
          </cell>
          <cell r="AS10">
            <v>106250</v>
          </cell>
          <cell r="AT10">
            <v>106250</v>
          </cell>
          <cell r="AU10">
            <v>31487750</v>
          </cell>
          <cell r="AV10">
            <v>54000000</v>
          </cell>
          <cell r="AW10">
            <v>0</v>
          </cell>
          <cell r="AX10">
            <v>0</v>
          </cell>
          <cell r="AY10">
            <v>0</v>
          </cell>
          <cell r="AZ10">
            <v>31487750</v>
          </cell>
          <cell r="BA10">
            <v>31487750</v>
          </cell>
          <cell r="BB10">
            <v>31487750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1</v>
          </cell>
          <cell r="BO10">
            <v>0</v>
          </cell>
          <cell r="BP10">
            <v>1</v>
          </cell>
          <cell r="BQ10">
            <v>12</v>
          </cell>
          <cell r="BR10">
            <v>1</v>
          </cell>
          <cell r="BS10" t="str">
            <v>14</v>
          </cell>
          <cell r="BT10" t="str">
            <v>381</v>
          </cell>
          <cell r="BU10" t="str">
            <v>856</v>
          </cell>
          <cell r="BV10" t="str">
            <v>5</v>
          </cell>
          <cell r="BW10" t="str">
            <v>721</v>
          </cell>
          <cell r="BX10" t="str">
            <v>001</v>
          </cell>
          <cell r="BY10" t="str">
            <v>143818565721001</v>
          </cell>
          <cell r="BZ10">
            <v>2</v>
          </cell>
        </row>
        <row r="11">
          <cell r="A11" t="str">
            <v>32</v>
          </cell>
          <cell r="B11">
            <v>3</v>
          </cell>
          <cell r="C11" t="str">
            <v>32</v>
          </cell>
          <cell r="D11">
            <v>3</v>
          </cell>
          <cell r="E11">
            <v>3</v>
          </cell>
          <cell r="F11" t="str">
            <v>ARIFULLAH</v>
          </cell>
          <cell r="G11" t="str">
            <v>14.682.610.2-721.000</v>
          </cell>
          <cell r="H11" t="str">
            <v>Jalan Banjar No 61 Balikpa[pan Tengah</v>
          </cell>
          <cell r="I11" t="str">
            <v>L</v>
          </cell>
          <cell r="J11" t="str">
            <v>K/1</v>
          </cell>
          <cell r="K11">
            <v>0</v>
          </cell>
          <cell r="L11">
            <v>0</v>
          </cell>
          <cell r="M11" t="str">
            <v>PETUGAS ADMINISTRASI</v>
          </cell>
          <cell r="N11">
            <v>0</v>
          </cell>
          <cell r="O11" t="str">
            <v>6471040605810000</v>
          </cell>
          <cell r="P11">
            <v>2</v>
          </cell>
          <cell r="Q11">
            <v>2</v>
          </cell>
          <cell r="R11">
            <v>12</v>
          </cell>
          <cell r="S11">
            <v>12</v>
          </cell>
          <cell r="T11" t="str">
            <v>01</v>
          </cell>
          <cell r="U11">
            <v>12</v>
          </cell>
          <cell r="V11">
            <v>12</v>
          </cell>
          <cell r="W11" t="str">
            <v xml:space="preserve"> </v>
          </cell>
          <cell r="X11">
            <v>0</v>
          </cell>
          <cell r="Y11">
            <v>1750000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260000</v>
          </cell>
          <cell r="AF11">
            <v>2010000</v>
          </cell>
          <cell r="AG11">
            <v>21000000</v>
          </cell>
          <cell r="AH11">
            <v>0</v>
          </cell>
          <cell r="AI11">
            <v>0</v>
          </cell>
          <cell r="AJ11">
            <v>0</v>
          </cell>
          <cell r="AK11">
            <v>1750000</v>
          </cell>
          <cell r="AL11">
            <v>0</v>
          </cell>
          <cell r="AM11">
            <v>3120000</v>
          </cell>
          <cell r="AN11">
            <v>25870000</v>
          </cell>
          <cell r="AO11">
            <v>0</v>
          </cell>
          <cell r="AP11">
            <v>25870000</v>
          </cell>
          <cell r="AQ11">
            <v>1293500</v>
          </cell>
          <cell r="AR11">
            <v>1293500</v>
          </cell>
          <cell r="AS11">
            <v>87500</v>
          </cell>
          <cell r="AT11">
            <v>87500</v>
          </cell>
          <cell r="AU11">
            <v>24576500</v>
          </cell>
          <cell r="AV11">
            <v>63000000</v>
          </cell>
          <cell r="AW11">
            <v>0</v>
          </cell>
          <cell r="AX11">
            <v>0</v>
          </cell>
          <cell r="AY11">
            <v>0</v>
          </cell>
          <cell r="AZ11">
            <v>24576500</v>
          </cell>
          <cell r="BA11">
            <v>24576500</v>
          </cell>
          <cell r="BB11">
            <v>24576500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1</v>
          </cell>
          <cell r="BO11">
            <v>0</v>
          </cell>
          <cell r="BP11">
            <v>1</v>
          </cell>
          <cell r="BQ11">
            <v>12</v>
          </cell>
          <cell r="BR11">
            <v>1</v>
          </cell>
          <cell r="BS11" t="str">
            <v>14</v>
          </cell>
          <cell r="BT11" t="str">
            <v>682</v>
          </cell>
          <cell r="BU11" t="str">
            <v>610</v>
          </cell>
          <cell r="BV11" t="str">
            <v>2</v>
          </cell>
          <cell r="BW11" t="str">
            <v>721</v>
          </cell>
          <cell r="BX11" t="str">
            <v>000</v>
          </cell>
          <cell r="BY11" t="str">
            <v>146826102721000</v>
          </cell>
          <cell r="BZ11">
            <v>2</v>
          </cell>
        </row>
        <row r="12">
          <cell r="A12" t="str">
            <v>42</v>
          </cell>
          <cell r="B12">
            <v>4</v>
          </cell>
          <cell r="C12" t="str">
            <v>42</v>
          </cell>
          <cell r="D12">
            <v>4</v>
          </cell>
          <cell r="E12">
            <v>4</v>
          </cell>
          <cell r="F12" t="str">
            <v>WACHID GUTOMO</v>
          </cell>
          <cell r="G12" t="str">
            <v>68.819.192.3-721.000</v>
          </cell>
          <cell r="H12" t="str">
            <v>Jl P Antasari No 14 Balikpapan Tengah</v>
          </cell>
          <cell r="I12" t="str">
            <v>L</v>
          </cell>
          <cell r="J12" t="str">
            <v>K/1</v>
          </cell>
          <cell r="K12">
            <v>0</v>
          </cell>
          <cell r="L12">
            <v>0</v>
          </cell>
          <cell r="M12" t="str">
            <v xml:space="preserve">INSTRUKTUR SMART TETAP </v>
          </cell>
          <cell r="N12">
            <v>0</v>
          </cell>
          <cell r="O12" t="str">
            <v>6471041010800010</v>
          </cell>
          <cell r="P12">
            <v>2</v>
          </cell>
          <cell r="Q12">
            <v>2</v>
          </cell>
          <cell r="R12">
            <v>12</v>
          </cell>
          <cell r="S12">
            <v>12</v>
          </cell>
          <cell r="T12" t="str">
            <v>01</v>
          </cell>
          <cell r="U12">
            <v>12</v>
          </cell>
          <cell r="V12">
            <v>12</v>
          </cell>
          <cell r="W12" t="str">
            <v xml:space="preserve"> </v>
          </cell>
          <cell r="X12">
            <v>0</v>
          </cell>
          <cell r="Y12">
            <v>2125000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460000</v>
          </cell>
          <cell r="AF12">
            <v>2585000</v>
          </cell>
          <cell r="AG12">
            <v>25500000</v>
          </cell>
          <cell r="AH12">
            <v>0</v>
          </cell>
          <cell r="AI12">
            <v>0</v>
          </cell>
          <cell r="AJ12">
            <v>0</v>
          </cell>
          <cell r="AK12">
            <v>2125000</v>
          </cell>
          <cell r="AL12">
            <v>0</v>
          </cell>
          <cell r="AM12">
            <v>5520000</v>
          </cell>
          <cell r="AN12">
            <v>33145000</v>
          </cell>
          <cell r="AO12">
            <v>0</v>
          </cell>
          <cell r="AP12">
            <v>33145000</v>
          </cell>
          <cell r="AQ12">
            <v>1657250</v>
          </cell>
          <cell r="AR12">
            <v>1657250</v>
          </cell>
          <cell r="AS12">
            <v>106250</v>
          </cell>
          <cell r="AT12">
            <v>106250</v>
          </cell>
          <cell r="AU12">
            <v>31487750</v>
          </cell>
          <cell r="AV12">
            <v>63000000</v>
          </cell>
          <cell r="AW12">
            <v>0</v>
          </cell>
          <cell r="AX12">
            <v>0</v>
          </cell>
          <cell r="AY12">
            <v>0</v>
          </cell>
          <cell r="AZ12">
            <v>31487750</v>
          </cell>
          <cell r="BA12">
            <v>31487750</v>
          </cell>
          <cell r="BB12">
            <v>31487750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1</v>
          </cell>
          <cell r="BO12">
            <v>0</v>
          </cell>
          <cell r="BP12">
            <v>1</v>
          </cell>
          <cell r="BQ12">
            <v>12</v>
          </cell>
          <cell r="BR12">
            <v>1</v>
          </cell>
          <cell r="BS12" t="str">
            <v>68</v>
          </cell>
          <cell r="BT12" t="str">
            <v>819</v>
          </cell>
          <cell r="BU12" t="str">
            <v>192</v>
          </cell>
          <cell r="BV12" t="str">
            <v>3</v>
          </cell>
          <cell r="BW12" t="str">
            <v>721</v>
          </cell>
          <cell r="BX12" t="str">
            <v>000</v>
          </cell>
          <cell r="BY12" t="str">
            <v>688191923721000</v>
          </cell>
          <cell r="BZ12">
            <v>2</v>
          </cell>
        </row>
        <row r="13">
          <cell r="A13" t="str">
            <v>52</v>
          </cell>
          <cell r="B13">
            <v>5</v>
          </cell>
          <cell r="C13" t="str">
            <v>52</v>
          </cell>
          <cell r="D13">
            <v>5</v>
          </cell>
          <cell r="E13">
            <v>5</v>
          </cell>
          <cell r="F13" t="str">
            <v>TUTIK  LESTARI</v>
          </cell>
          <cell r="G13">
            <v>0</v>
          </cell>
          <cell r="H13" t="str">
            <v>Jalan Prapatan Dalam No 54 Balikpapan</v>
          </cell>
          <cell r="I13" t="str">
            <v>P</v>
          </cell>
          <cell r="J13" t="str">
            <v>TK/0</v>
          </cell>
          <cell r="K13">
            <v>0</v>
          </cell>
          <cell r="L13">
            <v>0</v>
          </cell>
          <cell r="M13" t="str">
            <v xml:space="preserve">INSTRUKTUR SMART TETAP </v>
          </cell>
          <cell r="N13">
            <v>0</v>
          </cell>
          <cell r="O13" t="str">
            <v>6471054102900000</v>
          </cell>
          <cell r="P13">
            <v>2</v>
          </cell>
          <cell r="Q13">
            <v>2</v>
          </cell>
          <cell r="R13">
            <v>12</v>
          </cell>
          <cell r="S13">
            <v>12</v>
          </cell>
          <cell r="T13" t="str">
            <v>01</v>
          </cell>
          <cell r="U13">
            <v>12</v>
          </cell>
          <cell r="V13">
            <v>12</v>
          </cell>
          <cell r="W13" t="str">
            <v xml:space="preserve"> </v>
          </cell>
          <cell r="X13">
            <v>0</v>
          </cell>
          <cell r="Y13">
            <v>2125000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460000</v>
          </cell>
          <cell r="AF13">
            <v>2585000</v>
          </cell>
          <cell r="AG13">
            <v>25500000</v>
          </cell>
          <cell r="AH13">
            <v>0</v>
          </cell>
          <cell r="AI13">
            <v>0</v>
          </cell>
          <cell r="AJ13">
            <v>0</v>
          </cell>
          <cell r="AK13">
            <v>2125000</v>
          </cell>
          <cell r="AL13">
            <v>0</v>
          </cell>
          <cell r="AM13">
            <v>5520000</v>
          </cell>
          <cell r="AN13">
            <v>33145000</v>
          </cell>
          <cell r="AO13">
            <v>0</v>
          </cell>
          <cell r="AP13">
            <v>33145000</v>
          </cell>
          <cell r="AQ13">
            <v>1657250</v>
          </cell>
          <cell r="AR13">
            <v>1657250</v>
          </cell>
          <cell r="AS13">
            <v>106250</v>
          </cell>
          <cell r="AT13">
            <v>106250</v>
          </cell>
          <cell r="AU13">
            <v>31487750</v>
          </cell>
          <cell r="AV13">
            <v>54000000</v>
          </cell>
          <cell r="AW13">
            <v>0</v>
          </cell>
          <cell r="AX13">
            <v>0</v>
          </cell>
          <cell r="AY13">
            <v>0</v>
          </cell>
          <cell r="AZ13">
            <v>31487750</v>
          </cell>
          <cell r="BA13">
            <v>31487750</v>
          </cell>
          <cell r="BB13">
            <v>31487750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1</v>
          </cell>
          <cell r="BO13">
            <v>0</v>
          </cell>
          <cell r="BP13">
            <v>1</v>
          </cell>
          <cell r="BQ13">
            <v>12</v>
          </cell>
          <cell r="BR13">
            <v>1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2</v>
          </cell>
        </row>
        <row r="14">
          <cell r="A14" t="str">
            <v>62</v>
          </cell>
          <cell r="B14">
            <v>6</v>
          </cell>
          <cell r="C14" t="str">
            <v>62</v>
          </cell>
          <cell r="D14">
            <v>6</v>
          </cell>
          <cell r="E14">
            <v>6</v>
          </cell>
          <cell r="F14" t="str">
            <v>FITRI GITA</v>
          </cell>
          <cell r="G14">
            <v>0</v>
          </cell>
          <cell r="H14">
            <v>0</v>
          </cell>
          <cell r="I14" t="str">
            <v>P</v>
          </cell>
          <cell r="J14" t="str">
            <v>TK/0</v>
          </cell>
          <cell r="K14">
            <v>0</v>
          </cell>
          <cell r="L14">
            <v>0</v>
          </cell>
          <cell r="M14" t="str">
            <v>PETUGAS ADMINISTRASI</v>
          </cell>
          <cell r="N14">
            <v>0</v>
          </cell>
          <cell r="O14">
            <v>0</v>
          </cell>
          <cell r="P14">
            <v>2</v>
          </cell>
          <cell r="Q14">
            <v>2</v>
          </cell>
          <cell r="R14">
            <v>12</v>
          </cell>
          <cell r="S14">
            <v>12</v>
          </cell>
          <cell r="T14" t="str">
            <v>01</v>
          </cell>
          <cell r="U14">
            <v>12</v>
          </cell>
          <cell r="V14">
            <v>12</v>
          </cell>
          <cell r="W14" t="str">
            <v xml:space="preserve"> </v>
          </cell>
          <cell r="X14">
            <v>0</v>
          </cell>
          <cell r="Y14">
            <v>1750000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260000</v>
          </cell>
          <cell r="AF14">
            <v>2010000</v>
          </cell>
          <cell r="AG14">
            <v>21000000</v>
          </cell>
          <cell r="AH14">
            <v>0</v>
          </cell>
          <cell r="AI14">
            <v>0</v>
          </cell>
          <cell r="AJ14">
            <v>0</v>
          </cell>
          <cell r="AK14">
            <v>1750000</v>
          </cell>
          <cell r="AL14">
            <v>0</v>
          </cell>
          <cell r="AM14">
            <v>3120000</v>
          </cell>
          <cell r="AN14">
            <v>25870000</v>
          </cell>
          <cell r="AO14">
            <v>0</v>
          </cell>
          <cell r="AP14">
            <v>25870000</v>
          </cell>
          <cell r="AQ14">
            <v>1293500</v>
          </cell>
          <cell r="AR14">
            <v>1293500</v>
          </cell>
          <cell r="AS14">
            <v>87500</v>
          </cell>
          <cell r="AT14">
            <v>87500</v>
          </cell>
          <cell r="AU14">
            <v>24576500</v>
          </cell>
          <cell r="AV14">
            <v>54000000</v>
          </cell>
          <cell r="AW14">
            <v>0</v>
          </cell>
          <cell r="AX14">
            <v>0</v>
          </cell>
          <cell r="AY14">
            <v>0</v>
          </cell>
          <cell r="AZ14">
            <v>24576500</v>
          </cell>
          <cell r="BA14">
            <v>24576500</v>
          </cell>
          <cell r="BB14">
            <v>24576500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1</v>
          </cell>
          <cell r="BO14">
            <v>0</v>
          </cell>
          <cell r="BP14">
            <v>1</v>
          </cell>
          <cell r="BQ14">
            <v>12</v>
          </cell>
          <cell r="BR14">
            <v>1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2</v>
          </cell>
        </row>
        <row r="15">
          <cell r="A15" t="str">
            <v>72</v>
          </cell>
          <cell r="B15">
            <v>7</v>
          </cell>
          <cell r="C15" t="str">
            <v>72</v>
          </cell>
          <cell r="D15">
            <v>7</v>
          </cell>
          <cell r="E15">
            <v>7</v>
          </cell>
          <cell r="F15" t="str">
            <v>ROY SOLISA</v>
          </cell>
          <cell r="G15">
            <v>0</v>
          </cell>
          <cell r="H15" t="str">
            <v>Jalan Mulawarman No 20 Manggar Balikpapan Timur</v>
          </cell>
          <cell r="I15" t="str">
            <v>L</v>
          </cell>
          <cell r="J15" t="str">
            <v>K/2</v>
          </cell>
          <cell r="K15">
            <v>0</v>
          </cell>
          <cell r="L15">
            <v>0</v>
          </cell>
          <cell r="M15" t="str">
            <v>OFFICE BOY</v>
          </cell>
          <cell r="N15">
            <v>0</v>
          </cell>
          <cell r="O15" t="str">
            <v>6470152006820010</v>
          </cell>
          <cell r="P15">
            <v>2</v>
          </cell>
          <cell r="Q15">
            <v>2</v>
          </cell>
          <cell r="R15">
            <v>12</v>
          </cell>
          <cell r="S15">
            <v>12</v>
          </cell>
          <cell r="T15" t="str">
            <v>01</v>
          </cell>
          <cell r="U15">
            <v>12</v>
          </cell>
          <cell r="V15">
            <v>12</v>
          </cell>
          <cell r="W15" t="str">
            <v xml:space="preserve"> </v>
          </cell>
          <cell r="X15">
            <v>0</v>
          </cell>
          <cell r="Y15">
            <v>1250000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260000</v>
          </cell>
          <cell r="AF15">
            <v>1510000</v>
          </cell>
          <cell r="AG15">
            <v>15000000</v>
          </cell>
          <cell r="AH15">
            <v>0</v>
          </cell>
          <cell r="AI15">
            <v>0</v>
          </cell>
          <cell r="AJ15">
            <v>0</v>
          </cell>
          <cell r="AK15">
            <v>1250000</v>
          </cell>
          <cell r="AL15">
            <v>0</v>
          </cell>
          <cell r="AM15">
            <v>3120000</v>
          </cell>
          <cell r="AN15">
            <v>19370000</v>
          </cell>
          <cell r="AO15">
            <v>0</v>
          </cell>
          <cell r="AP15">
            <v>19370000</v>
          </cell>
          <cell r="AQ15">
            <v>968500</v>
          </cell>
          <cell r="AR15">
            <v>968500</v>
          </cell>
          <cell r="AS15">
            <v>62500</v>
          </cell>
          <cell r="AT15">
            <v>62500</v>
          </cell>
          <cell r="AU15">
            <v>18401500</v>
          </cell>
          <cell r="AV15">
            <v>67500000</v>
          </cell>
          <cell r="AW15">
            <v>0</v>
          </cell>
          <cell r="AX15">
            <v>0</v>
          </cell>
          <cell r="AY15">
            <v>0</v>
          </cell>
          <cell r="AZ15">
            <v>18401500</v>
          </cell>
          <cell r="BA15">
            <v>18401500</v>
          </cell>
          <cell r="BB15">
            <v>18401500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1</v>
          </cell>
          <cell r="BO15">
            <v>0</v>
          </cell>
          <cell r="BP15">
            <v>1</v>
          </cell>
          <cell r="BQ15">
            <v>12</v>
          </cell>
          <cell r="BR15">
            <v>1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2</v>
          </cell>
        </row>
        <row r="16">
          <cell r="A16" t="str">
            <v>82</v>
          </cell>
          <cell r="B16">
            <v>8</v>
          </cell>
          <cell r="C16" t="str">
            <v>82</v>
          </cell>
          <cell r="D16">
            <v>8</v>
          </cell>
          <cell r="E16">
            <v>8</v>
          </cell>
          <cell r="F16" t="str">
            <v>HARI SUMBODO</v>
          </cell>
          <cell r="G16" t="str">
            <v>15.554.879.5-722.000</v>
          </cell>
          <cell r="H16">
            <v>0</v>
          </cell>
          <cell r="I16" t="str">
            <v>L</v>
          </cell>
          <cell r="J16" t="str">
            <v>K/2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2</v>
          </cell>
          <cell r="Q16">
            <v>2</v>
          </cell>
          <cell r="R16">
            <v>12</v>
          </cell>
          <cell r="S16">
            <v>12</v>
          </cell>
          <cell r="T16" t="str">
            <v>01</v>
          </cell>
          <cell r="U16">
            <v>12</v>
          </cell>
          <cell r="V16">
            <v>12</v>
          </cell>
          <cell r="W16" t="str">
            <v xml:space="preserve"> </v>
          </cell>
          <cell r="X16">
            <v>0</v>
          </cell>
          <cell r="Y16">
            <v>2125000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460000</v>
          </cell>
          <cell r="AF16">
            <v>2585000</v>
          </cell>
          <cell r="AG16">
            <v>25500000</v>
          </cell>
          <cell r="AH16">
            <v>0</v>
          </cell>
          <cell r="AI16">
            <v>0</v>
          </cell>
          <cell r="AJ16">
            <v>0</v>
          </cell>
          <cell r="AK16">
            <v>2125000</v>
          </cell>
          <cell r="AL16">
            <v>0</v>
          </cell>
          <cell r="AM16">
            <v>5520000</v>
          </cell>
          <cell r="AN16">
            <v>33145000</v>
          </cell>
          <cell r="AO16">
            <v>0</v>
          </cell>
          <cell r="AP16">
            <v>33145000</v>
          </cell>
          <cell r="AQ16">
            <v>1657250</v>
          </cell>
          <cell r="AR16">
            <v>1657250</v>
          </cell>
          <cell r="AS16">
            <v>106250</v>
          </cell>
          <cell r="AT16">
            <v>106250</v>
          </cell>
          <cell r="AU16">
            <v>31487750</v>
          </cell>
          <cell r="AV16">
            <v>67500000</v>
          </cell>
          <cell r="AW16">
            <v>0</v>
          </cell>
          <cell r="AX16">
            <v>0</v>
          </cell>
          <cell r="AY16">
            <v>0</v>
          </cell>
          <cell r="AZ16">
            <v>31487750</v>
          </cell>
          <cell r="BA16">
            <v>31487750</v>
          </cell>
          <cell r="BB16">
            <v>31487750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1</v>
          </cell>
          <cell r="BO16">
            <v>0</v>
          </cell>
          <cell r="BP16">
            <v>1</v>
          </cell>
          <cell r="BQ16">
            <v>12</v>
          </cell>
          <cell r="BR16">
            <v>1</v>
          </cell>
          <cell r="BS16" t="str">
            <v>15</v>
          </cell>
          <cell r="BT16" t="str">
            <v>554</v>
          </cell>
          <cell r="BU16" t="str">
            <v>879</v>
          </cell>
          <cell r="BV16" t="str">
            <v>5</v>
          </cell>
          <cell r="BW16" t="str">
            <v>722</v>
          </cell>
          <cell r="BX16" t="str">
            <v>000</v>
          </cell>
          <cell r="BY16" t="str">
            <v>155548795722000</v>
          </cell>
          <cell r="BZ16">
            <v>2</v>
          </cell>
        </row>
        <row r="17">
          <cell r="A17" t="str">
            <v>92</v>
          </cell>
          <cell r="B17">
            <v>9</v>
          </cell>
          <cell r="C17" t="str">
            <v>92</v>
          </cell>
          <cell r="D17">
            <v>9</v>
          </cell>
          <cell r="E17">
            <v>9</v>
          </cell>
          <cell r="F17" t="str">
            <v>EKA PERMANA SARIE</v>
          </cell>
          <cell r="G17" t="str">
            <v>14.760.392.4-722.999</v>
          </cell>
          <cell r="H17">
            <v>0</v>
          </cell>
          <cell r="I17" t="str">
            <v>P</v>
          </cell>
          <cell r="J17" t="str">
            <v>TK/0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2</v>
          </cell>
          <cell r="Q17">
            <v>2</v>
          </cell>
          <cell r="R17">
            <v>12</v>
          </cell>
          <cell r="S17">
            <v>12</v>
          </cell>
          <cell r="T17" t="str">
            <v>01</v>
          </cell>
          <cell r="U17">
            <v>12</v>
          </cell>
          <cell r="V17">
            <v>12</v>
          </cell>
          <cell r="W17" t="str">
            <v xml:space="preserve"> </v>
          </cell>
          <cell r="X17">
            <v>0</v>
          </cell>
          <cell r="Y17">
            <v>1750000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260000</v>
          </cell>
          <cell r="AF17">
            <v>2010000</v>
          </cell>
          <cell r="AG17">
            <v>21000000</v>
          </cell>
          <cell r="AH17">
            <v>0</v>
          </cell>
          <cell r="AI17">
            <v>0</v>
          </cell>
          <cell r="AJ17">
            <v>0</v>
          </cell>
          <cell r="AK17">
            <v>1750000</v>
          </cell>
          <cell r="AL17">
            <v>0</v>
          </cell>
          <cell r="AM17">
            <v>3120000</v>
          </cell>
          <cell r="AN17">
            <v>25870000</v>
          </cell>
          <cell r="AO17">
            <v>0</v>
          </cell>
          <cell r="AP17">
            <v>25870000</v>
          </cell>
          <cell r="AQ17">
            <v>1293500</v>
          </cell>
          <cell r="AR17">
            <v>1293500</v>
          </cell>
          <cell r="AS17">
            <v>87500</v>
          </cell>
          <cell r="AT17">
            <v>87500</v>
          </cell>
          <cell r="AU17">
            <v>24576500</v>
          </cell>
          <cell r="AV17">
            <v>54000000</v>
          </cell>
          <cell r="AW17">
            <v>0</v>
          </cell>
          <cell r="AX17">
            <v>0</v>
          </cell>
          <cell r="AY17">
            <v>0</v>
          </cell>
          <cell r="AZ17">
            <v>24576500</v>
          </cell>
          <cell r="BA17">
            <v>24576500</v>
          </cell>
          <cell r="BB17">
            <v>24576500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1</v>
          </cell>
          <cell r="BO17">
            <v>0</v>
          </cell>
          <cell r="BP17">
            <v>1</v>
          </cell>
          <cell r="BQ17">
            <v>12</v>
          </cell>
          <cell r="BR17">
            <v>1</v>
          </cell>
          <cell r="BS17" t="str">
            <v>14</v>
          </cell>
          <cell r="BT17" t="str">
            <v>760</v>
          </cell>
          <cell r="BU17" t="str">
            <v>392</v>
          </cell>
          <cell r="BV17" t="str">
            <v>4</v>
          </cell>
          <cell r="BW17" t="str">
            <v>722</v>
          </cell>
          <cell r="BX17" t="str">
            <v>999</v>
          </cell>
          <cell r="BY17" t="str">
            <v>147603924722999</v>
          </cell>
          <cell r="BZ17">
            <v>2</v>
          </cell>
        </row>
        <row r="18">
          <cell r="A18" t="str">
            <v>102</v>
          </cell>
          <cell r="B18">
            <v>10</v>
          </cell>
          <cell r="C18" t="str">
            <v>102</v>
          </cell>
          <cell r="D18">
            <v>10</v>
          </cell>
          <cell r="E18">
            <v>10</v>
          </cell>
          <cell r="F18" t="str">
            <v>EKO SURYADIN</v>
          </cell>
          <cell r="G18">
            <v>0</v>
          </cell>
          <cell r="H18">
            <v>0</v>
          </cell>
          <cell r="I18" t="str">
            <v>L</v>
          </cell>
          <cell r="J18" t="str">
            <v>TK/0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2</v>
          </cell>
          <cell r="Q18">
            <v>2</v>
          </cell>
          <cell r="R18">
            <v>12</v>
          </cell>
          <cell r="S18">
            <v>12</v>
          </cell>
          <cell r="T18" t="str">
            <v>01</v>
          </cell>
          <cell r="U18">
            <v>12</v>
          </cell>
          <cell r="V18">
            <v>12</v>
          </cell>
          <cell r="W18" t="str">
            <v xml:space="preserve"> </v>
          </cell>
          <cell r="X18">
            <v>0</v>
          </cell>
          <cell r="Y18">
            <v>1250000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260000</v>
          </cell>
          <cell r="AF18">
            <v>1510000</v>
          </cell>
          <cell r="AG18">
            <v>15000000</v>
          </cell>
          <cell r="AH18">
            <v>0</v>
          </cell>
          <cell r="AI18">
            <v>0</v>
          </cell>
          <cell r="AJ18">
            <v>0</v>
          </cell>
          <cell r="AK18">
            <v>1250000</v>
          </cell>
          <cell r="AL18">
            <v>0</v>
          </cell>
          <cell r="AM18">
            <v>3120000</v>
          </cell>
          <cell r="AN18">
            <v>19370000</v>
          </cell>
          <cell r="AO18">
            <v>0</v>
          </cell>
          <cell r="AP18">
            <v>19370000</v>
          </cell>
          <cell r="AQ18">
            <v>968500</v>
          </cell>
          <cell r="AR18">
            <v>968500</v>
          </cell>
          <cell r="AS18">
            <v>62500</v>
          </cell>
          <cell r="AT18">
            <v>62500</v>
          </cell>
          <cell r="AU18">
            <v>18401500</v>
          </cell>
          <cell r="AV18">
            <v>54000000</v>
          </cell>
          <cell r="AW18">
            <v>0</v>
          </cell>
          <cell r="AX18">
            <v>0</v>
          </cell>
          <cell r="AY18">
            <v>0</v>
          </cell>
          <cell r="AZ18">
            <v>18401500</v>
          </cell>
          <cell r="BA18">
            <v>18401500</v>
          </cell>
          <cell r="BB18">
            <v>18401500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1</v>
          </cell>
          <cell r="BO18">
            <v>0</v>
          </cell>
          <cell r="BP18">
            <v>1</v>
          </cell>
          <cell r="BQ18">
            <v>12</v>
          </cell>
          <cell r="BR18">
            <v>1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2</v>
          </cell>
        </row>
        <row r="19">
          <cell r="A19" t="str">
            <v>112</v>
          </cell>
          <cell r="B19">
            <v>11</v>
          </cell>
          <cell r="C19" t="str">
            <v>112</v>
          </cell>
          <cell r="D19">
            <v>11</v>
          </cell>
          <cell r="E19">
            <v>11</v>
          </cell>
          <cell r="F19" t="str">
            <v>SITI AMINAH</v>
          </cell>
          <cell r="G19">
            <v>0</v>
          </cell>
          <cell r="H19">
            <v>0</v>
          </cell>
          <cell r="I19" t="str">
            <v>P</v>
          </cell>
          <cell r="J19" t="str">
            <v>TK/0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2</v>
          </cell>
          <cell r="Q19">
            <v>2</v>
          </cell>
          <cell r="R19">
            <v>12</v>
          </cell>
          <cell r="S19">
            <v>12</v>
          </cell>
          <cell r="T19" t="str">
            <v>01</v>
          </cell>
          <cell r="U19">
            <v>12</v>
          </cell>
          <cell r="V19">
            <v>12</v>
          </cell>
          <cell r="W19" t="str">
            <v xml:space="preserve"> </v>
          </cell>
          <cell r="X19">
            <v>0</v>
          </cell>
          <cell r="Y19">
            <v>1750000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260000</v>
          </cell>
          <cell r="AF19">
            <v>2010000</v>
          </cell>
          <cell r="AG19">
            <v>21000000</v>
          </cell>
          <cell r="AH19">
            <v>0</v>
          </cell>
          <cell r="AI19">
            <v>0</v>
          </cell>
          <cell r="AJ19">
            <v>0</v>
          </cell>
          <cell r="AK19">
            <v>1750000</v>
          </cell>
          <cell r="AL19">
            <v>0</v>
          </cell>
          <cell r="AM19">
            <v>3120000</v>
          </cell>
          <cell r="AN19">
            <v>25870000</v>
          </cell>
          <cell r="AO19">
            <v>0</v>
          </cell>
          <cell r="AP19">
            <v>25870000</v>
          </cell>
          <cell r="AQ19">
            <v>1293500</v>
          </cell>
          <cell r="AR19">
            <v>1293500</v>
          </cell>
          <cell r="AS19">
            <v>87500</v>
          </cell>
          <cell r="AT19">
            <v>87500</v>
          </cell>
          <cell r="AU19">
            <v>24576500</v>
          </cell>
          <cell r="AV19">
            <v>54000000</v>
          </cell>
          <cell r="AW19">
            <v>0</v>
          </cell>
          <cell r="AX19">
            <v>0</v>
          </cell>
          <cell r="AY19">
            <v>0</v>
          </cell>
          <cell r="AZ19">
            <v>24576500</v>
          </cell>
          <cell r="BA19">
            <v>24576500</v>
          </cell>
          <cell r="BB19">
            <v>24576500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1</v>
          </cell>
          <cell r="BO19">
            <v>0</v>
          </cell>
          <cell r="BP19">
            <v>1</v>
          </cell>
          <cell r="BQ19">
            <v>12</v>
          </cell>
          <cell r="BR19">
            <v>1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2</v>
          </cell>
        </row>
        <row r="20">
          <cell r="A20" t="str">
            <v>122</v>
          </cell>
          <cell r="B20">
            <v>12</v>
          </cell>
          <cell r="C20" t="str">
            <v>122</v>
          </cell>
          <cell r="D20">
            <v>12</v>
          </cell>
          <cell r="E20">
            <v>12</v>
          </cell>
          <cell r="F20" t="str">
            <v>FATHUR RAHMAN</v>
          </cell>
          <cell r="G20">
            <v>0</v>
          </cell>
          <cell r="H20">
            <v>0</v>
          </cell>
          <cell r="I20" t="str">
            <v>L</v>
          </cell>
          <cell r="J20" t="str">
            <v>TK/0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2</v>
          </cell>
          <cell r="Q20">
            <v>2</v>
          </cell>
          <cell r="R20">
            <v>12</v>
          </cell>
          <cell r="S20">
            <v>12</v>
          </cell>
          <cell r="T20" t="str">
            <v>01</v>
          </cell>
          <cell r="U20">
            <v>12</v>
          </cell>
          <cell r="V20">
            <v>12</v>
          </cell>
          <cell r="W20" t="str">
            <v xml:space="preserve"> </v>
          </cell>
          <cell r="X20">
            <v>0</v>
          </cell>
          <cell r="Y20">
            <v>1750000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260000</v>
          </cell>
          <cell r="AF20">
            <v>2010000</v>
          </cell>
          <cell r="AG20">
            <v>21000000</v>
          </cell>
          <cell r="AH20">
            <v>0</v>
          </cell>
          <cell r="AI20">
            <v>0</v>
          </cell>
          <cell r="AJ20">
            <v>0</v>
          </cell>
          <cell r="AK20">
            <v>1750000</v>
          </cell>
          <cell r="AL20">
            <v>0</v>
          </cell>
          <cell r="AM20">
            <v>3120000</v>
          </cell>
          <cell r="AN20">
            <v>25870000</v>
          </cell>
          <cell r="AO20">
            <v>0</v>
          </cell>
          <cell r="AP20">
            <v>25870000</v>
          </cell>
          <cell r="AQ20">
            <v>1293500</v>
          </cell>
          <cell r="AR20">
            <v>1293500</v>
          </cell>
          <cell r="AS20">
            <v>87500</v>
          </cell>
          <cell r="AT20">
            <v>87500</v>
          </cell>
          <cell r="AU20">
            <v>24576500</v>
          </cell>
          <cell r="AV20">
            <v>54000000</v>
          </cell>
          <cell r="AW20">
            <v>0</v>
          </cell>
          <cell r="AX20">
            <v>0</v>
          </cell>
          <cell r="AY20">
            <v>0</v>
          </cell>
          <cell r="AZ20">
            <v>24576500</v>
          </cell>
          <cell r="BA20">
            <v>24576500</v>
          </cell>
          <cell r="BB20">
            <v>24576500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1</v>
          </cell>
          <cell r="BO20">
            <v>0</v>
          </cell>
          <cell r="BP20">
            <v>1</v>
          </cell>
          <cell r="BQ20">
            <v>12</v>
          </cell>
          <cell r="BR20">
            <v>1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2</v>
          </cell>
        </row>
        <row r="21">
          <cell r="A21" t="str">
            <v>132</v>
          </cell>
          <cell r="B21">
            <v>13</v>
          </cell>
          <cell r="C21" t="str">
            <v>132</v>
          </cell>
          <cell r="D21">
            <v>13</v>
          </cell>
          <cell r="E21">
            <v>13</v>
          </cell>
          <cell r="F21" t="str">
            <v>ANIS FAYZA</v>
          </cell>
          <cell r="G21">
            <v>0</v>
          </cell>
          <cell r="H21">
            <v>0</v>
          </cell>
          <cell r="I21" t="str">
            <v>L</v>
          </cell>
          <cell r="J21" t="str">
            <v>TK/0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2</v>
          </cell>
          <cell r="Q21">
            <v>2</v>
          </cell>
          <cell r="R21">
            <v>12</v>
          </cell>
          <cell r="S21">
            <v>12</v>
          </cell>
          <cell r="T21" t="str">
            <v>01</v>
          </cell>
          <cell r="U21">
            <v>12</v>
          </cell>
          <cell r="V21">
            <v>12</v>
          </cell>
          <cell r="W21" t="str">
            <v xml:space="preserve"> </v>
          </cell>
          <cell r="X21">
            <v>0</v>
          </cell>
          <cell r="Y21">
            <v>1250000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260000</v>
          </cell>
          <cell r="AF21">
            <v>1510000</v>
          </cell>
          <cell r="AG21">
            <v>15000000</v>
          </cell>
          <cell r="AH21">
            <v>0</v>
          </cell>
          <cell r="AI21">
            <v>0</v>
          </cell>
          <cell r="AJ21">
            <v>0</v>
          </cell>
          <cell r="AK21">
            <v>1250000</v>
          </cell>
          <cell r="AL21">
            <v>0</v>
          </cell>
          <cell r="AM21">
            <v>3120000</v>
          </cell>
          <cell r="AN21">
            <v>19370000</v>
          </cell>
          <cell r="AO21">
            <v>0</v>
          </cell>
          <cell r="AP21">
            <v>19370000</v>
          </cell>
          <cell r="AQ21">
            <v>968500</v>
          </cell>
          <cell r="AR21">
            <v>968500</v>
          </cell>
          <cell r="AS21">
            <v>62500</v>
          </cell>
          <cell r="AT21">
            <v>62500</v>
          </cell>
          <cell r="AU21">
            <v>18401500</v>
          </cell>
          <cell r="AV21">
            <v>54000000</v>
          </cell>
          <cell r="AW21">
            <v>0</v>
          </cell>
          <cell r="AX21">
            <v>0</v>
          </cell>
          <cell r="AY21">
            <v>0</v>
          </cell>
          <cell r="AZ21">
            <v>18401500</v>
          </cell>
          <cell r="BA21">
            <v>18401500</v>
          </cell>
          <cell r="BB21">
            <v>18401500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1</v>
          </cell>
          <cell r="BO21">
            <v>0</v>
          </cell>
          <cell r="BP21">
            <v>1</v>
          </cell>
          <cell r="BQ21">
            <v>12</v>
          </cell>
          <cell r="BR21">
            <v>1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2</v>
          </cell>
        </row>
        <row r="22">
          <cell r="A22" t="str">
            <v>142</v>
          </cell>
          <cell r="B22">
            <v>14</v>
          </cell>
          <cell r="C22" t="str">
            <v>142</v>
          </cell>
          <cell r="D22">
            <v>14</v>
          </cell>
          <cell r="E22">
            <v>14</v>
          </cell>
          <cell r="F22" t="str">
            <v>AGUS HARYADI</v>
          </cell>
          <cell r="G22" t="str">
            <v>14.987.985.0.722.000</v>
          </cell>
          <cell r="H22">
            <v>0</v>
          </cell>
          <cell r="I22" t="str">
            <v>L</v>
          </cell>
          <cell r="J22" t="str">
            <v>K/0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2</v>
          </cell>
          <cell r="Q22">
            <v>2</v>
          </cell>
          <cell r="R22">
            <v>12</v>
          </cell>
          <cell r="S22">
            <v>12</v>
          </cell>
          <cell r="T22" t="str">
            <v>01</v>
          </cell>
          <cell r="U22">
            <v>12</v>
          </cell>
          <cell r="V22">
            <v>12</v>
          </cell>
          <cell r="W22" t="str">
            <v xml:space="preserve"> </v>
          </cell>
          <cell r="X22">
            <v>0</v>
          </cell>
          <cell r="Y22">
            <v>2500000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960000</v>
          </cell>
          <cell r="AF22">
            <v>3460000</v>
          </cell>
          <cell r="AG22">
            <v>30000000</v>
          </cell>
          <cell r="AH22">
            <v>0</v>
          </cell>
          <cell r="AI22">
            <v>0</v>
          </cell>
          <cell r="AJ22">
            <v>0</v>
          </cell>
          <cell r="AK22">
            <v>2500000</v>
          </cell>
          <cell r="AL22">
            <v>0</v>
          </cell>
          <cell r="AM22">
            <v>11520000</v>
          </cell>
          <cell r="AN22">
            <v>44020000</v>
          </cell>
          <cell r="AO22">
            <v>0</v>
          </cell>
          <cell r="AP22">
            <v>44020000</v>
          </cell>
          <cell r="AQ22">
            <v>2201000</v>
          </cell>
          <cell r="AR22">
            <v>2201000</v>
          </cell>
          <cell r="AS22">
            <v>125000</v>
          </cell>
          <cell r="AT22">
            <v>125000</v>
          </cell>
          <cell r="AU22">
            <v>41819000</v>
          </cell>
          <cell r="AV22">
            <v>58500000</v>
          </cell>
          <cell r="AW22">
            <v>0</v>
          </cell>
          <cell r="AX22">
            <v>0</v>
          </cell>
          <cell r="AY22">
            <v>0</v>
          </cell>
          <cell r="AZ22">
            <v>41819000</v>
          </cell>
          <cell r="BA22">
            <v>41819000</v>
          </cell>
          <cell r="BB22">
            <v>41819000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1</v>
          </cell>
          <cell r="BO22">
            <v>0</v>
          </cell>
          <cell r="BP22">
            <v>1</v>
          </cell>
          <cell r="BQ22">
            <v>12</v>
          </cell>
          <cell r="BR22">
            <v>1</v>
          </cell>
          <cell r="BS22" t="str">
            <v>14</v>
          </cell>
          <cell r="BT22" t="str">
            <v>987</v>
          </cell>
          <cell r="BU22" t="str">
            <v>985</v>
          </cell>
          <cell r="BV22" t="str">
            <v>0</v>
          </cell>
          <cell r="BW22" t="str">
            <v>722</v>
          </cell>
          <cell r="BX22" t="str">
            <v>000</v>
          </cell>
          <cell r="BY22" t="str">
            <v>149879850722000</v>
          </cell>
          <cell r="BZ22">
            <v>2</v>
          </cell>
        </row>
        <row r="23">
          <cell r="A23" t="str">
            <v>152</v>
          </cell>
          <cell r="B23">
            <v>15</v>
          </cell>
          <cell r="C23" t="str">
            <v>152</v>
          </cell>
          <cell r="D23">
            <v>15</v>
          </cell>
          <cell r="E23">
            <v>15</v>
          </cell>
          <cell r="F23" t="str">
            <v>FITRIANI ISNAINIAH</v>
          </cell>
          <cell r="G23">
            <v>0</v>
          </cell>
          <cell r="H23">
            <v>0</v>
          </cell>
          <cell r="I23" t="str">
            <v>P</v>
          </cell>
          <cell r="J23" t="str">
            <v>TK/0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2</v>
          </cell>
          <cell r="Q23">
            <v>2</v>
          </cell>
          <cell r="R23">
            <v>12</v>
          </cell>
          <cell r="S23">
            <v>12</v>
          </cell>
          <cell r="T23" t="str">
            <v>01</v>
          </cell>
          <cell r="U23">
            <v>12</v>
          </cell>
          <cell r="V23">
            <v>12</v>
          </cell>
          <cell r="W23" t="str">
            <v xml:space="preserve"> </v>
          </cell>
          <cell r="X23">
            <v>0</v>
          </cell>
          <cell r="Y23">
            <v>1750000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260000</v>
          </cell>
          <cell r="AF23">
            <v>2010000</v>
          </cell>
          <cell r="AG23">
            <v>21000000</v>
          </cell>
          <cell r="AH23">
            <v>0</v>
          </cell>
          <cell r="AI23">
            <v>0</v>
          </cell>
          <cell r="AJ23">
            <v>0</v>
          </cell>
          <cell r="AK23">
            <v>1750000</v>
          </cell>
          <cell r="AL23">
            <v>0</v>
          </cell>
          <cell r="AM23">
            <v>3120000</v>
          </cell>
          <cell r="AN23">
            <v>25870000</v>
          </cell>
          <cell r="AO23">
            <v>0</v>
          </cell>
          <cell r="AP23">
            <v>25870000</v>
          </cell>
          <cell r="AQ23">
            <v>1293500</v>
          </cell>
          <cell r="AR23">
            <v>1293500</v>
          </cell>
          <cell r="AS23">
            <v>87500</v>
          </cell>
          <cell r="AT23">
            <v>87500</v>
          </cell>
          <cell r="AU23">
            <v>24576500</v>
          </cell>
          <cell r="AV23">
            <v>54000000</v>
          </cell>
          <cell r="AW23">
            <v>0</v>
          </cell>
          <cell r="AX23">
            <v>0</v>
          </cell>
          <cell r="AY23">
            <v>0</v>
          </cell>
          <cell r="AZ23">
            <v>24576500</v>
          </cell>
          <cell r="BA23">
            <v>24576500</v>
          </cell>
          <cell r="BB23">
            <v>24576500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1</v>
          </cell>
          <cell r="BO23">
            <v>0</v>
          </cell>
          <cell r="BP23">
            <v>1</v>
          </cell>
          <cell r="BQ23">
            <v>12</v>
          </cell>
          <cell r="BR23">
            <v>1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2</v>
          </cell>
        </row>
        <row r="24">
          <cell r="A24" t="str">
            <v>162</v>
          </cell>
          <cell r="B24">
            <v>16</v>
          </cell>
          <cell r="C24" t="str">
            <v>162</v>
          </cell>
          <cell r="D24">
            <v>16</v>
          </cell>
          <cell r="E24">
            <v>16</v>
          </cell>
          <cell r="F24" t="str">
            <v>JEFRY NUR EFENDY</v>
          </cell>
          <cell r="G24">
            <v>0</v>
          </cell>
          <cell r="H24">
            <v>0</v>
          </cell>
          <cell r="I24" t="str">
            <v>L</v>
          </cell>
          <cell r="J24" t="str">
            <v>TK/0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2</v>
          </cell>
          <cell r="Q24">
            <v>2</v>
          </cell>
          <cell r="R24">
            <v>12</v>
          </cell>
          <cell r="S24">
            <v>12</v>
          </cell>
          <cell r="T24" t="str">
            <v>01</v>
          </cell>
          <cell r="U24">
            <v>12</v>
          </cell>
          <cell r="V24">
            <v>12</v>
          </cell>
          <cell r="W24" t="str">
            <v xml:space="preserve"> </v>
          </cell>
          <cell r="X24">
            <v>0</v>
          </cell>
          <cell r="Y24">
            <v>1250000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260000</v>
          </cell>
          <cell r="AF24">
            <v>1510000</v>
          </cell>
          <cell r="AG24">
            <v>15000000</v>
          </cell>
          <cell r="AH24">
            <v>0</v>
          </cell>
          <cell r="AI24">
            <v>0</v>
          </cell>
          <cell r="AJ24">
            <v>0</v>
          </cell>
          <cell r="AK24">
            <v>1250000</v>
          </cell>
          <cell r="AL24">
            <v>0</v>
          </cell>
          <cell r="AM24">
            <v>3120000</v>
          </cell>
          <cell r="AN24">
            <v>19370000</v>
          </cell>
          <cell r="AO24">
            <v>0</v>
          </cell>
          <cell r="AP24">
            <v>19370000</v>
          </cell>
          <cell r="AQ24">
            <v>968500</v>
          </cell>
          <cell r="AR24">
            <v>968500</v>
          </cell>
          <cell r="AS24">
            <v>62500</v>
          </cell>
          <cell r="AT24">
            <v>62500</v>
          </cell>
          <cell r="AU24">
            <v>18401500</v>
          </cell>
          <cell r="AV24">
            <v>54000000</v>
          </cell>
          <cell r="AW24">
            <v>0</v>
          </cell>
          <cell r="AX24">
            <v>0</v>
          </cell>
          <cell r="AY24">
            <v>0</v>
          </cell>
          <cell r="AZ24">
            <v>18401500</v>
          </cell>
          <cell r="BA24">
            <v>18401500</v>
          </cell>
          <cell r="BB24">
            <v>18401500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1</v>
          </cell>
          <cell r="BO24">
            <v>0</v>
          </cell>
          <cell r="BP24">
            <v>1</v>
          </cell>
          <cell r="BQ24">
            <v>12</v>
          </cell>
          <cell r="BR24">
            <v>1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2</v>
          </cell>
        </row>
        <row r="25">
          <cell r="A25" t="str">
            <v>172</v>
          </cell>
          <cell r="B25">
            <v>17</v>
          </cell>
          <cell r="C25" t="str">
            <v>172</v>
          </cell>
          <cell r="D25">
            <v>17</v>
          </cell>
          <cell r="E25">
            <v>17</v>
          </cell>
          <cell r="F25" t="str">
            <v>DWI ARUM NOVAYANTI</v>
          </cell>
          <cell r="G25">
            <v>0</v>
          </cell>
          <cell r="H25">
            <v>0</v>
          </cell>
          <cell r="I25" t="str">
            <v>P</v>
          </cell>
          <cell r="J25" t="str">
            <v>TK/0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2</v>
          </cell>
          <cell r="Q25">
            <v>2</v>
          </cell>
          <cell r="R25">
            <v>12</v>
          </cell>
          <cell r="S25">
            <v>12</v>
          </cell>
          <cell r="T25" t="str">
            <v>01</v>
          </cell>
          <cell r="U25">
            <v>12</v>
          </cell>
          <cell r="V25">
            <v>12</v>
          </cell>
          <cell r="W25" t="str">
            <v xml:space="preserve"> </v>
          </cell>
          <cell r="X25">
            <v>0</v>
          </cell>
          <cell r="Y25">
            <v>1750000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260000</v>
          </cell>
          <cell r="AF25">
            <v>2010000</v>
          </cell>
          <cell r="AG25">
            <v>21000000</v>
          </cell>
          <cell r="AH25">
            <v>0</v>
          </cell>
          <cell r="AI25">
            <v>0</v>
          </cell>
          <cell r="AJ25">
            <v>0</v>
          </cell>
          <cell r="AK25">
            <v>1750000</v>
          </cell>
          <cell r="AL25">
            <v>0</v>
          </cell>
          <cell r="AM25">
            <v>3120000</v>
          </cell>
          <cell r="AN25">
            <v>25870000</v>
          </cell>
          <cell r="AO25">
            <v>0</v>
          </cell>
          <cell r="AP25">
            <v>25870000</v>
          </cell>
          <cell r="AQ25">
            <v>1293500</v>
          </cell>
          <cell r="AR25">
            <v>1293500</v>
          </cell>
          <cell r="AS25">
            <v>87500</v>
          </cell>
          <cell r="AT25">
            <v>87500</v>
          </cell>
          <cell r="AU25">
            <v>24576500</v>
          </cell>
          <cell r="AV25">
            <v>54000000</v>
          </cell>
          <cell r="AW25">
            <v>0</v>
          </cell>
          <cell r="AX25">
            <v>0</v>
          </cell>
          <cell r="AY25">
            <v>0</v>
          </cell>
          <cell r="AZ25">
            <v>24576500</v>
          </cell>
          <cell r="BA25">
            <v>24576500</v>
          </cell>
          <cell r="BB25">
            <v>24576500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1</v>
          </cell>
          <cell r="BO25">
            <v>0</v>
          </cell>
          <cell r="BP25">
            <v>1</v>
          </cell>
          <cell r="BQ25">
            <v>12</v>
          </cell>
          <cell r="BR25">
            <v>1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2</v>
          </cell>
        </row>
        <row r="26">
          <cell r="A26" t="str">
            <v>182</v>
          </cell>
          <cell r="B26">
            <v>18</v>
          </cell>
          <cell r="C26" t="str">
            <v>182</v>
          </cell>
          <cell r="D26">
            <v>18</v>
          </cell>
          <cell r="E26">
            <v>18</v>
          </cell>
          <cell r="F26" t="str">
            <v>MOCH. LUTFI</v>
          </cell>
          <cell r="G26">
            <v>0</v>
          </cell>
          <cell r="H26">
            <v>0</v>
          </cell>
          <cell r="I26" t="str">
            <v>L</v>
          </cell>
          <cell r="J26" t="str">
            <v>TK/0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2</v>
          </cell>
          <cell r="Q26">
            <v>2</v>
          </cell>
          <cell r="R26">
            <v>12</v>
          </cell>
          <cell r="S26">
            <v>12</v>
          </cell>
          <cell r="T26" t="str">
            <v>01</v>
          </cell>
          <cell r="U26">
            <v>12</v>
          </cell>
          <cell r="V26">
            <v>12</v>
          </cell>
          <cell r="W26" t="str">
            <v xml:space="preserve"> </v>
          </cell>
          <cell r="X26">
            <v>0</v>
          </cell>
          <cell r="Y26">
            <v>1250000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260000</v>
          </cell>
          <cell r="AF26">
            <v>1510000</v>
          </cell>
          <cell r="AG26">
            <v>15000000</v>
          </cell>
          <cell r="AH26">
            <v>0</v>
          </cell>
          <cell r="AI26">
            <v>0</v>
          </cell>
          <cell r="AJ26">
            <v>0</v>
          </cell>
          <cell r="AK26">
            <v>1250000</v>
          </cell>
          <cell r="AL26">
            <v>0</v>
          </cell>
          <cell r="AM26">
            <v>3120000</v>
          </cell>
          <cell r="AN26">
            <v>19370000</v>
          </cell>
          <cell r="AO26">
            <v>0</v>
          </cell>
          <cell r="AP26">
            <v>19370000</v>
          </cell>
          <cell r="AQ26">
            <v>968500</v>
          </cell>
          <cell r="AR26">
            <v>968500</v>
          </cell>
          <cell r="AS26">
            <v>62500</v>
          </cell>
          <cell r="AT26">
            <v>62500</v>
          </cell>
          <cell r="AU26">
            <v>18401500</v>
          </cell>
          <cell r="AV26">
            <v>54000000</v>
          </cell>
          <cell r="AW26">
            <v>0</v>
          </cell>
          <cell r="AX26">
            <v>0</v>
          </cell>
          <cell r="AY26">
            <v>0</v>
          </cell>
          <cell r="AZ26">
            <v>18401500</v>
          </cell>
          <cell r="BA26">
            <v>18401500</v>
          </cell>
          <cell r="BB26">
            <v>18401500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1</v>
          </cell>
          <cell r="BO26">
            <v>0</v>
          </cell>
          <cell r="BP26">
            <v>1</v>
          </cell>
          <cell r="BQ26">
            <v>12</v>
          </cell>
          <cell r="BR26">
            <v>1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2</v>
          </cell>
        </row>
        <row r="27">
          <cell r="A27" t="str">
            <v>192</v>
          </cell>
          <cell r="B27">
            <v>19</v>
          </cell>
          <cell r="C27" t="str">
            <v>192</v>
          </cell>
          <cell r="D27">
            <v>19</v>
          </cell>
          <cell r="E27">
            <v>19</v>
          </cell>
          <cell r="F27" t="str">
            <v>YULI YASMIN</v>
          </cell>
          <cell r="G27">
            <v>0</v>
          </cell>
          <cell r="H27">
            <v>0</v>
          </cell>
          <cell r="I27" t="str">
            <v>P</v>
          </cell>
          <cell r="J27" t="str">
            <v>TK/0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2</v>
          </cell>
          <cell r="Q27">
            <v>2</v>
          </cell>
          <cell r="R27">
            <v>12</v>
          </cell>
          <cell r="S27">
            <v>12</v>
          </cell>
          <cell r="T27" t="str">
            <v>01</v>
          </cell>
          <cell r="U27">
            <v>12</v>
          </cell>
          <cell r="V27">
            <v>12</v>
          </cell>
          <cell r="W27" t="str">
            <v xml:space="preserve"> </v>
          </cell>
          <cell r="X27">
            <v>0</v>
          </cell>
          <cell r="Y27">
            <v>1750000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260000</v>
          </cell>
          <cell r="AF27">
            <v>2010000</v>
          </cell>
          <cell r="AG27">
            <v>21000000</v>
          </cell>
          <cell r="AH27">
            <v>0</v>
          </cell>
          <cell r="AI27">
            <v>0</v>
          </cell>
          <cell r="AJ27">
            <v>0</v>
          </cell>
          <cell r="AK27">
            <v>1750000</v>
          </cell>
          <cell r="AL27">
            <v>0</v>
          </cell>
          <cell r="AM27">
            <v>3120000</v>
          </cell>
          <cell r="AN27">
            <v>25870000</v>
          </cell>
          <cell r="AO27">
            <v>0</v>
          </cell>
          <cell r="AP27">
            <v>25870000</v>
          </cell>
          <cell r="AQ27">
            <v>1293500</v>
          </cell>
          <cell r="AR27">
            <v>1293500</v>
          </cell>
          <cell r="AS27">
            <v>87500</v>
          </cell>
          <cell r="AT27">
            <v>87500</v>
          </cell>
          <cell r="AU27">
            <v>24576500</v>
          </cell>
          <cell r="AV27">
            <v>54000000</v>
          </cell>
          <cell r="AW27">
            <v>0</v>
          </cell>
          <cell r="AX27">
            <v>0</v>
          </cell>
          <cell r="AY27">
            <v>0</v>
          </cell>
          <cell r="AZ27">
            <v>24576500</v>
          </cell>
          <cell r="BA27">
            <v>24576500</v>
          </cell>
          <cell r="BB27">
            <v>24576500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1</v>
          </cell>
          <cell r="BO27">
            <v>0</v>
          </cell>
          <cell r="BP27">
            <v>1</v>
          </cell>
          <cell r="BQ27">
            <v>12</v>
          </cell>
          <cell r="BR27">
            <v>1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2</v>
          </cell>
        </row>
        <row r="28">
          <cell r="A28" t="str">
            <v>202</v>
          </cell>
          <cell r="B28">
            <v>20</v>
          </cell>
          <cell r="C28" t="str">
            <v>202</v>
          </cell>
          <cell r="D28">
            <v>20</v>
          </cell>
          <cell r="E28">
            <v>20</v>
          </cell>
          <cell r="F28" t="str">
            <v>SARI DWI ANDINI</v>
          </cell>
          <cell r="G28">
            <v>0</v>
          </cell>
          <cell r="H28">
            <v>0</v>
          </cell>
          <cell r="I28" t="str">
            <v>P</v>
          </cell>
          <cell r="J28" t="str">
            <v>TK/0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2</v>
          </cell>
          <cell r="Q28">
            <v>2</v>
          </cell>
          <cell r="R28">
            <v>12</v>
          </cell>
          <cell r="S28">
            <v>12</v>
          </cell>
          <cell r="T28" t="str">
            <v>01</v>
          </cell>
          <cell r="U28">
            <v>12</v>
          </cell>
          <cell r="V28">
            <v>12</v>
          </cell>
          <cell r="W28" t="str">
            <v xml:space="preserve"> </v>
          </cell>
          <cell r="X28">
            <v>0</v>
          </cell>
          <cell r="Y28">
            <v>1750000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260000</v>
          </cell>
          <cell r="AF28">
            <v>2010000</v>
          </cell>
          <cell r="AG28">
            <v>21000000</v>
          </cell>
          <cell r="AH28">
            <v>0</v>
          </cell>
          <cell r="AI28">
            <v>0</v>
          </cell>
          <cell r="AJ28">
            <v>0</v>
          </cell>
          <cell r="AK28">
            <v>1750000</v>
          </cell>
          <cell r="AL28">
            <v>0</v>
          </cell>
          <cell r="AM28">
            <v>3120000</v>
          </cell>
          <cell r="AN28">
            <v>25870000</v>
          </cell>
          <cell r="AO28">
            <v>0</v>
          </cell>
          <cell r="AP28">
            <v>25870000</v>
          </cell>
          <cell r="AQ28">
            <v>1293500</v>
          </cell>
          <cell r="AR28">
            <v>1293500</v>
          </cell>
          <cell r="AS28">
            <v>87500</v>
          </cell>
          <cell r="AT28">
            <v>87500</v>
          </cell>
          <cell r="AU28">
            <v>24576500</v>
          </cell>
          <cell r="AV28">
            <v>54000000</v>
          </cell>
          <cell r="AW28">
            <v>0</v>
          </cell>
          <cell r="AX28">
            <v>0</v>
          </cell>
          <cell r="AY28">
            <v>0</v>
          </cell>
          <cell r="AZ28">
            <v>24576500</v>
          </cell>
          <cell r="BA28">
            <v>24576500</v>
          </cell>
          <cell r="BB28">
            <v>24576500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1</v>
          </cell>
          <cell r="BO28">
            <v>0</v>
          </cell>
          <cell r="BP28">
            <v>1</v>
          </cell>
          <cell r="BQ28">
            <v>12</v>
          </cell>
          <cell r="BR28">
            <v>1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2</v>
          </cell>
        </row>
        <row r="29">
          <cell r="A29" t="str">
            <v>212</v>
          </cell>
          <cell r="B29">
            <v>21</v>
          </cell>
          <cell r="C29" t="str">
            <v>212</v>
          </cell>
          <cell r="D29">
            <v>21</v>
          </cell>
          <cell r="E29">
            <v>21</v>
          </cell>
          <cell r="F29" t="str">
            <v>SEPTIANA TRI WINARSIH</v>
          </cell>
          <cell r="G29">
            <v>0</v>
          </cell>
          <cell r="H29">
            <v>0</v>
          </cell>
          <cell r="I29" t="str">
            <v>P</v>
          </cell>
          <cell r="J29" t="str">
            <v>TK/0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2</v>
          </cell>
          <cell r="Q29">
            <v>2</v>
          </cell>
          <cell r="R29">
            <v>12</v>
          </cell>
          <cell r="S29">
            <v>12</v>
          </cell>
          <cell r="T29" t="str">
            <v>01</v>
          </cell>
          <cell r="U29">
            <v>12</v>
          </cell>
          <cell r="V29">
            <v>12</v>
          </cell>
          <cell r="W29" t="str">
            <v xml:space="preserve"> </v>
          </cell>
          <cell r="X29">
            <v>0</v>
          </cell>
          <cell r="Y29">
            <v>1750000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260000</v>
          </cell>
          <cell r="AF29">
            <v>2010000</v>
          </cell>
          <cell r="AG29">
            <v>21000000</v>
          </cell>
          <cell r="AH29">
            <v>0</v>
          </cell>
          <cell r="AI29">
            <v>0</v>
          </cell>
          <cell r="AJ29">
            <v>0</v>
          </cell>
          <cell r="AK29">
            <v>1750000</v>
          </cell>
          <cell r="AL29">
            <v>0</v>
          </cell>
          <cell r="AM29">
            <v>3120000</v>
          </cell>
          <cell r="AN29">
            <v>25870000</v>
          </cell>
          <cell r="AO29">
            <v>0</v>
          </cell>
          <cell r="AP29">
            <v>25870000</v>
          </cell>
          <cell r="AQ29">
            <v>1293500</v>
          </cell>
          <cell r="AR29">
            <v>1293500</v>
          </cell>
          <cell r="AS29">
            <v>87500</v>
          </cell>
          <cell r="AT29">
            <v>87500</v>
          </cell>
          <cell r="AU29">
            <v>24576500</v>
          </cell>
          <cell r="AV29">
            <v>54000000</v>
          </cell>
          <cell r="AW29">
            <v>0</v>
          </cell>
          <cell r="AX29">
            <v>0</v>
          </cell>
          <cell r="AY29">
            <v>0</v>
          </cell>
          <cell r="AZ29">
            <v>24576500</v>
          </cell>
          <cell r="BA29">
            <v>24576500</v>
          </cell>
          <cell r="BB29">
            <v>24576500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1</v>
          </cell>
          <cell r="BO29">
            <v>0</v>
          </cell>
          <cell r="BP29">
            <v>1</v>
          </cell>
          <cell r="BQ29">
            <v>12</v>
          </cell>
          <cell r="BR29">
            <v>1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2</v>
          </cell>
        </row>
        <row r="30">
          <cell r="A30" t="str">
            <v>222</v>
          </cell>
          <cell r="B30">
            <v>22</v>
          </cell>
          <cell r="C30" t="str">
            <v>222</v>
          </cell>
          <cell r="D30">
            <v>22</v>
          </cell>
          <cell r="E30">
            <v>22</v>
          </cell>
          <cell r="F30" t="str">
            <v xml:space="preserve">EDY SUSANTO </v>
          </cell>
          <cell r="G30">
            <v>0</v>
          </cell>
          <cell r="H30">
            <v>0</v>
          </cell>
          <cell r="I30" t="str">
            <v>L</v>
          </cell>
          <cell r="J30" t="str">
            <v>K/2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2</v>
          </cell>
          <cell r="Q30">
            <v>2</v>
          </cell>
          <cell r="R30">
            <v>12</v>
          </cell>
          <cell r="S30">
            <v>12</v>
          </cell>
          <cell r="T30" t="str">
            <v>01</v>
          </cell>
          <cell r="U30">
            <v>12</v>
          </cell>
          <cell r="V30">
            <v>12</v>
          </cell>
          <cell r="W30" t="str">
            <v xml:space="preserve"> </v>
          </cell>
          <cell r="X30">
            <v>0</v>
          </cell>
          <cell r="Y30">
            <v>2125000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460000</v>
          </cell>
          <cell r="AF30">
            <v>2585000</v>
          </cell>
          <cell r="AG30">
            <v>25500000</v>
          </cell>
          <cell r="AH30">
            <v>0</v>
          </cell>
          <cell r="AI30">
            <v>0</v>
          </cell>
          <cell r="AJ30">
            <v>0</v>
          </cell>
          <cell r="AK30">
            <v>2125000</v>
          </cell>
          <cell r="AL30">
            <v>0</v>
          </cell>
          <cell r="AM30">
            <v>5520000</v>
          </cell>
          <cell r="AN30">
            <v>33145000</v>
          </cell>
          <cell r="AO30">
            <v>0</v>
          </cell>
          <cell r="AP30">
            <v>33145000</v>
          </cell>
          <cell r="AQ30">
            <v>1657250</v>
          </cell>
          <cell r="AR30">
            <v>1657250</v>
          </cell>
          <cell r="AS30">
            <v>106250</v>
          </cell>
          <cell r="AT30">
            <v>106250</v>
          </cell>
          <cell r="AU30">
            <v>31487750</v>
          </cell>
          <cell r="AV30">
            <v>67500000</v>
          </cell>
          <cell r="AW30">
            <v>0</v>
          </cell>
          <cell r="AX30">
            <v>0</v>
          </cell>
          <cell r="AY30">
            <v>0</v>
          </cell>
          <cell r="AZ30">
            <v>31487750</v>
          </cell>
          <cell r="BA30">
            <v>31487750</v>
          </cell>
          <cell r="BB30">
            <v>31487750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1</v>
          </cell>
          <cell r="BO30">
            <v>0</v>
          </cell>
          <cell r="BP30">
            <v>1</v>
          </cell>
          <cell r="BQ30">
            <v>12</v>
          </cell>
          <cell r="BR30">
            <v>1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2</v>
          </cell>
        </row>
        <row r="31">
          <cell r="A31" t="str">
            <v>232</v>
          </cell>
          <cell r="B31">
            <v>23</v>
          </cell>
          <cell r="C31" t="str">
            <v>232</v>
          </cell>
          <cell r="D31">
            <v>23</v>
          </cell>
          <cell r="E31">
            <v>23</v>
          </cell>
          <cell r="F31" t="str">
            <v>NINGRUM WULANDARI</v>
          </cell>
          <cell r="G31">
            <v>0</v>
          </cell>
          <cell r="H31">
            <v>0</v>
          </cell>
          <cell r="I31" t="str">
            <v>P</v>
          </cell>
          <cell r="J31" t="str">
            <v>TK/0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2</v>
          </cell>
          <cell r="Q31">
            <v>2</v>
          </cell>
          <cell r="R31">
            <v>12</v>
          </cell>
          <cell r="S31">
            <v>12</v>
          </cell>
          <cell r="T31" t="str">
            <v>01</v>
          </cell>
          <cell r="U31">
            <v>12</v>
          </cell>
          <cell r="V31">
            <v>12</v>
          </cell>
          <cell r="W31" t="str">
            <v xml:space="preserve"> </v>
          </cell>
          <cell r="X31">
            <v>0</v>
          </cell>
          <cell r="Y31">
            <v>2125000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460000</v>
          </cell>
          <cell r="AF31">
            <v>2585000</v>
          </cell>
          <cell r="AG31">
            <v>25500000</v>
          </cell>
          <cell r="AH31">
            <v>0</v>
          </cell>
          <cell r="AI31">
            <v>0</v>
          </cell>
          <cell r="AJ31">
            <v>0</v>
          </cell>
          <cell r="AK31">
            <v>2125000</v>
          </cell>
          <cell r="AL31">
            <v>0</v>
          </cell>
          <cell r="AM31">
            <v>5520000</v>
          </cell>
          <cell r="AN31">
            <v>33145000</v>
          </cell>
          <cell r="AO31">
            <v>0</v>
          </cell>
          <cell r="AP31">
            <v>33145000</v>
          </cell>
          <cell r="AQ31">
            <v>1657250</v>
          </cell>
          <cell r="AR31">
            <v>1657250</v>
          </cell>
          <cell r="AS31">
            <v>106250</v>
          </cell>
          <cell r="AT31">
            <v>106250</v>
          </cell>
          <cell r="AU31">
            <v>31487750</v>
          </cell>
          <cell r="AV31">
            <v>54000000</v>
          </cell>
          <cell r="AW31">
            <v>0</v>
          </cell>
          <cell r="AX31">
            <v>0</v>
          </cell>
          <cell r="AY31">
            <v>0</v>
          </cell>
          <cell r="AZ31">
            <v>31487750</v>
          </cell>
          <cell r="BA31">
            <v>31487750</v>
          </cell>
          <cell r="BB31">
            <v>31487750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1</v>
          </cell>
          <cell r="BO31">
            <v>0</v>
          </cell>
          <cell r="BP31">
            <v>1</v>
          </cell>
          <cell r="BQ31">
            <v>12</v>
          </cell>
          <cell r="BR31">
            <v>1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2</v>
          </cell>
        </row>
        <row r="32">
          <cell r="A32" t="str">
            <v>242</v>
          </cell>
          <cell r="B32">
            <v>24</v>
          </cell>
          <cell r="C32" t="str">
            <v>242</v>
          </cell>
          <cell r="D32">
            <v>24</v>
          </cell>
          <cell r="E32">
            <v>24</v>
          </cell>
          <cell r="F32" t="str">
            <v>NUR ADHA JUNIANTO</v>
          </cell>
          <cell r="G32">
            <v>0</v>
          </cell>
          <cell r="H32">
            <v>0</v>
          </cell>
          <cell r="I32" t="str">
            <v>L</v>
          </cell>
          <cell r="J32" t="str">
            <v>TK/0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2</v>
          </cell>
          <cell r="Q32">
            <v>2</v>
          </cell>
          <cell r="R32">
            <v>12</v>
          </cell>
          <cell r="S32">
            <v>12</v>
          </cell>
          <cell r="T32" t="str">
            <v>01</v>
          </cell>
          <cell r="U32">
            <v>12</v>
          </cell>
          <cell r="V32">
            <v>12</v>
          </cell>
          <cell r="W32" t="str">
            <v xml:space="preserve"> </v>
          </cell>
          <cell r="X32">
            <v>0</v>
          </cell>
          <cell r="Y32">
            <v>1750000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260000</v>
          </cell>
          <cell r="AF32">
            <v>2010000</v>
          </cell>
          <cell r="AG32">
            <v>21000000</v>
          </cell>
          <cell r="AH32">
            <v>0</v>
          </cell>
          <cell r="AI32">
            <v>0</v>
          </cell>
          <cell r="AJ32">
            <v>0</v>
          </cell>
          <cell r="AK32">
            <v>1750000</v>
          </cell>
          <cell r="AL32">
            <v>0</v>
          </cell>
          <cell r="AM32">
            <v>3120000</v>
          </cell>
          <cell r="AN32">
            <v>25870000</v>
          </cell>
          <cell r="AO32">
            <v>0</v>
          </cell>
          <cell r="AP32">
            <v>25870000</v>
          </cell>
          <cell r="AQ32">
            <v>1293500</v>
          </cell>
          <cell r="AR32">
            <v>1293500</v>
          </cell>
          <cell r="AS32">
            <v>87500</v>
          </cell>
          <cell r="AT32">
            <v>87500</v>
          </cell>
          <cell r="AU32">
            <v>24576500</v>
          </cell>
          <cell r="AV32">
            <v>54000000</v>
          </cell>
          <cell r="AW32">
            <v>0</v>
          </cell>
          <cell r="AX32">
            <v>0</v>
          </cell>
          <cell r="AY32">
            <v>0</v>
          </cell>
          <cell r="AZ32">
            <v>24576500</v>
          </cell>
          <cell r="BA32">
            <v>24576500</v>
          </cell>
          <cell r="BB32">
            <v>24576500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1</v>
          </cell>
          <cell r="BO32">
            <v>0</v>
          </cell>
          <cell r="BP32">
            <v>1</v>
          </cell>
          <cell r="BQ32">
            <v>12</v>
          </cell>
          <cell r="BR32">
            <v>1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2</v>
          </cell>
        </row>
        <row r="33">
          <cell r="A33" t="str">
            <v>252</v>
          </cell>
          <cell r="B33">
            <v>25</v>
          </cell>
          <cell r="C33" t="str">
            <v>252</v>
          </cell>
          <cell r="D33">
            <v>25</v>
          </cell>
          <cell r="E33">
            <v>25</v>
          </cell>
          <cell r="F33" t="str">
            <v xml:space="preserve">RINDA DESI KURNIATI </v>
          </cell>
          <cell r="G33">
            <v>0</v>
          </cell>
          <cell r="H33">
            <v>0</v>
          </cell>
          <cell r="I33" t="str">
            <v>P</v>
          </cell>
          <cell r="J33" t="str">
            <v>TK/0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2</v>
          </cell>
          <cell r="Q33">
            <v>2</v>
          </cell>
          <cell r="R33">
            <v>12</v>
          </cell>
          <cell r="S33">
            <v>12</v>
          </cell>
          <cell r="T33" t="str">
            <v>01</v>
          </cell>
          <cell r="U33">
            <v>12</v>
          </cell>
          <cell r="V33">
            <v>12</v>
          </cell>
          <cell r="W33" t="str">
            <v xml:space="preserve"> </v>
          </cell>
          <cell r="X33">
            <v>0</v>
          </cell>
          <cell r="Y33">
            <v>1750000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260000</v>
          </cell>
          <cell r="AF33">
            <v>2010000</v>
          </cell>
          <cell r="AG33">
            <v>21000000</v>
          </cell>
          <cell r="AH33">
            <v>0</v>
          </cell>
          <cell r="AI33">
            <v>0</v>
          </cell>
          <cell r="AJ33">
            <v>0</v>
          </cell>
          <cell r="AK33">
            <v>1750000</v>
          </cell>
          <cell r="AL33">
            <v>0</v>
          </cell>
          <cell r="AM33">
            <v>3120000</v>
          </cell>
          <cell r="AN33">
            <v>25870000</v>
          </cell>
          <cell r="AO33">
            <v>0</v>
          </cell>
          <cell r="AP33">
            <v>25870000</v>
          </cell>
          <cell r="AQ33">
            <v>1293500</v>
          </cell>
          <cell r="AR33">
            <v>1293500</v>
          </cell>
          <cell r="AS33">
            <v>87500</v>
          </cell>
          <cell r="AT33">
            <v>87500</v>
          </cell>
          <cell r="AU33">
            <v>24576500</v>
          </cell>
          <cell r="AV33">
            <v>54000000</v>
          </cell>
          <cell r="AW33">
            <v>0</v>
          </cell>
          <cell r="AX33">
            <v>0</v>
          </cell>
          <cell r="AY33">
            <v>0</v>
          </cell>
          <cell r="AZ33">
            <v>24576500</v>
          </cell>
          <cell r="BA33">
            <v>24576500</v>
          </cell>
          <cell r="BB33">
            <v>24576500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1</v>
          </cell>
          <cell r="BO33">
            <v>0</v>
          </cell>
          <cell r="BP33">
            <v>1</v>
          </cell>
          <cell r="BQ33">
            <v>12</v>
          </cell>
          <cell r="BR33">
            <v>1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2</v>
          </cell>
        </row>
        <row r="34">
          <cell r="A34" t="str">
            <v>262</v>
          </cell>
          <cell r="B34">
            <v>26</v>
          </cell>
          <cell r="C34" t="str">
            <v>262</v>
          </cell>
          <cell r="D34">
            <v>26</v>
          </cell>
          <cell r="E34">
            <v>26</v>
          </cell>
          <cell r="F34" t="str">
            <v>EVA SWANTINI</v>
          </cell>
          <cell r="G34">
            <v>0</v>
          </cell>
          <cell r="H34">
            <v>0</v>
          </cell>
          <cell r="I34" t="str">
            <v>P</v>
          </cell>
          <cell r="J34" t="str">
            <v>TK/0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2</v>
          </cell>
          <cell r="Q34">
            <v>2</v>
          </cell>
          <cell r="R34">
            <v>12</v>
          </cell>
          <cell r="S34">
            <v>12</v>
          </cell>
          <cell r="T34" t="str">
            <v>01</v>
          </cell>
          <cell r="U34">
            <v>12</v>
          </cell>
          <cell r="V34">
            <v>12</v>
          </cell>
          <cell r="W34" t="str">
            <v xml:space="preserve"> </v>
          </cell>
          <cell r="X34">
            <v>0</v>
          </cell>
          <cell r="Y34">
            <v>1750000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260000</v>
          </cell>
          <cell r="AF34">
            <v>2010000</v>
          </cell>
          <cell r="AG34">
            <v>21000000</v>
          </cell>
          <cell r="AH34">
            <v>0</v>
          </cell>
          <cell r="AI34">
            <v>0</v>
          </cell>
          <cell r="AJ34">
            <v>0</v>
          </cell>
          <cell r="AK34">
            <v>1750000</v>
          </cell>
          <cell r="AL34">
            <v>0</v>
          </cell>
          <cell r="AM34">
            <v>3120000</v>
          </cell>
          <cell r="AN34">
            <v>25870000</v>
          </cell>
          <cell r="AO34">
            <v>0</v>
          </cell>
          <cell r="AP34">
            <v>25870000</v>
          </cell>
          <cell r="AQ34">
            <v>1293500</v>
          </cell>
          <cell r="AR34">
            <v>1293500</v>
          </cell>
          <cell r="AS34">
            <v>87500</v>
          </cell>
          <cell r="AT34">
            <v>87500</v>
          </cell>
          <cell r="AU34">
            <v>24576500</v>
          </cell>
          <cell r="AV34">
            <v>54000000</v>
          </cell>
          <cell r="AW34">
            <v>0</v>
          </cell>
          <cell r="AX34">
            <v>0</v>
          </cell>
          <cell r="AY34">
            <v>0</v>
          </cell>
          <cell r="AZ34">
            <v>24576500</v>
          </cell>
          <cell r="BA34">
            <v>24576500</v>
          </cell>
          <cell r="BB34">
            <v>24576500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1</v>
          </cell>
          <cell r="BO34">
            <v>0</v>
          </cell>
          <cell r="BP34">
            <v>1</v>
          </cell>
          <cell r="BQ34">
            <v>12</v>
          </cell>
          <cell r="BR34">
            <v>1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2</v>
          </cell>
        </row>
        <row r="35">
          <cell r="A35" t="str">
            <v>272</v>
          </cell>
          <cell r="B35">
            <v>27</v>
          </cell>
          <cell r="C35" t="str">
            <v>272</v>
          </cell>
          <cell r="D35">
            <v>27</v>
          </cell>
          <cell r="E35">
            <v>27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2</v>
          </cell>
          <cell r="Q35">
            <v>2</v>
          </cell>
          <cell r="R35">
            <v>12</v>
          </cell>
          <cell r="S35">
            <v>12</v>
          </cell>
          <cell r="T35" t="str">
            <v>01</v>
          </cell>
          <cell r="U35">
            <v>12</v>
          </cell>
          <cell r="V35">
            <v>12</v>
          </cell>
          <cell r="W35" t="str">
            <v xml:space="preserve"> 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67500000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1</v>
          </cell>
          <cell r="BO35">
            <v>0</v>
          </cell>
          <cell r="BP35">
            <v>1</v>
          </cell>
          <cell r="BQ35">
            <v>12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2</v>
          </cell>
        </row>
        <row r="36">
          <cell r="A36" t="str">
            <v>282</v>
          </cell>
          <cell r="B36">
            <v>28</v>
          </cell>
          <cell r="C36" t="str">
            <v>282</v>
          </cell>
          <cell r="D36">
            <v>28</v>
          </cell>
          <cell r="E36">
            <v>28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2</v>
          </cell>
          <cell r="Q36">
            <v>2</v>
          </cell>
          <cell r="R36">
            <v>12</v>
          </cell>
          <cell r="S36">
            <v>12</v>
          </cell>
          <cell r="T36" t="str">
            <v>01</v>
          </cell>
          <cell r="U36">
            <v>12</v>
          </cell>
          <cell r="V36">
            <v>12</v>
          </cell>
          <cell r="W36" t="str">
            <v xml:space="preserve"> 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67500000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1</v>
          </cell>
          <cell r="BO36">
            <v>0</v>
          </cell>
          <cell r="BP36">
            <v>1</v>
          </cell>
          <cell r="BQ36">
            <v>12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2</v>
          </cell>
        </row>
        <row r="37">
          <cell r="A37" t="str">
            <v>292</v>
          </cell>
          <cell r="B37">
            <v>29</v>
          </cell>
          <cell r="C37" t="str">
            <v>292</v>
          </cell>
          <cell r="D37">
            <v>29</v>
          </cell>
          <cell r="E37">
            <v>29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2</v>
          </cell>
          <cell r="Q37">
            <v>2</v>
          </cell>
          <cell r="R37">
            <v>12</v>
          </cell>
          <cell r="S37">
            <v>12</v>
          </cell>
          <cell r="T37" t="str">
            <v>01</v>
          </cell>
          <cell r="U37">
            <v>12</v>
          </cell>
          <cell r="V37">
            <v>12</v>
          </cell>
          <cell r="W37" t="str">
            <v xml:space="preserve"> 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67500000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1</v>
          </cell>
          <cell r="BO37">
            <v>0</v>
          </cell>
          <cell r="BP37">
            <v>1</v>
          </cell>
          <cell r="BQ37">
            <v>12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2</v>
          </cell>
        </row>
        <row r="38">
          <cell r="A38" t="str">
            <v>302</v>
          </cell>
          <cell r="B38">
            <v>30</v>
          </cell>
          <cell r="C38" t="str">
            <v>302</v>
          </cell>
          <cell r="D38">
            <v>30</v>
          </cell>
          <cell r="E38">
            <v>30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2</v>
          </cell>
          <cell r="Q38">
            <v>2</v>
          </cell>
          <cell r="R38">
            <v>12</v>
          </cell>
          <cell r="S38">
            <v>12</v>
          </cell>
          <cell r="T38" t="str">
            <v>01</v>
          </cell>
          <cell r="U38">
            <v>12</v>
          </cell>
          <cell r="V38">
            <v>12</v>
          </cell>
          <cell r="W38" t="str">
            <v xml:space="preserve"> 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67500000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1</v>
          </cell>
          <cell r="BO38">
            <v>0</v>
          </cell>
          <cell r="BP38">
            <v>1</v>
          </cell>
          <cell r="BQ38">
            <v>12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2</v>
          </cell>
        </row>
        <row r="39">
          <cell r="A39" t="str">
            <v>312</v>
          </cell>
          <cell r="B39">
            <v>31</v>
          </cell>
          <cell r="C39" t="str">
            <v>312</v>
          </cell>
          <cell r="D39">
            <v>31</v>
          </cell>
          <cell r="E39">
            <v>31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2</v>
          </cell>
          <cell r="Q39">
            <v>2</v>
          </cell>
          <cell r="R39">
            <v>12</v>
          </cell>
          <cell r="S39">
            <v>12</v>
          </cell>
          <cell r="T39" t="str">
            <v>01</v>
          </cell>
          <cell r="U39">
            <v>12</v>
          </cell>
          <cell r="V39">
            <v>12</v>
          </cell>
          <cell r="W39" t="str">
            <v xml:space="preserve"> 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67500000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1</v>
          </cell>
          <cell r="BO39">
            <v>0</v>
          </cell>
          <cell r="BP39">
            <v>1</v>
          </cell>
          <cell r="BQ39">
            <v>12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2</v>
          </cell>
        </row>
        <row r="40">
          <cell r="A40" t="str">
            <v>322</v>
          </cell>
          <cell r="B40">
            <v>32</v>
          </cell>
          <cell r="C40" t="str">
            <v>322</v>
          </cell>
          <cell r="D40">
            <v>32</v>
          </cell>
          <cell r="E40">
            <v>32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2</v>
          </cell>
          <cell r="Q40">
            <v>2</v>
          </cell>
          <cell r="R40">
            <v>12</v>
          </cell>
          <cell r="S40">
            <v>12</v>
          </cell>
          <cell r="T40" t="str">
            <v>01</v>
          </cell>
          <cell r="U40">
            <v>12</v>
          </cell>
          <cell r="V40">
            <v>12</v>
          </cell>
          <cell r="W40" t="str">
            <v xml:space="preserve"> 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67500000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1</v>
          </cell>
          <cell r="BO40">
            <v>0</v>
          </cell>
          <cell r="BP40">
            <v>1</v>
          </cell>
          <cell r="BQ40">
            <v>12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2</v>
          </cell>
        </row>
        <row r="41">
          <cell r="A41" t="str">
            <v>332</v>
          </cell>
          <cell r="B41">
            <v>33</v>
          </cell>
          <cell r="C41" t="str">
            <v>332</v>
          </cell>
          <cell r="D41">
            <v>33</v>
          </cell>
          <cell r="E41">
            <v>33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2</v>
          </cell>
          <cell r="Q41">
            <v>2</v>
          </cell>
          <cell r="R41">
            <v>12</v>
          </cell>
          <cell r="S41">
            <v>12</v>
          </cell>
          <cell r="T41" t="str">
            <v>01</v>
          </cell>
          <cell r="U41">
            <v>12</v>
          </cell>
          <cell r="V41">
            <v>12</v>
          </cell>
          <cell r="W41" t="str">
            <v xml:space="preserve"> 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67500000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1</v>
          </cell>
          <cell r="BO41">
            <v>0</v>
          </cell>
          <cell r="BP41">
            <v>1</v>
          </cell>
          <cell r="BQ41">
            <v>12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2</v>
          </cell>
        </row>
        <row r="42">
          <cell r="A42" t="str">
            <v>342</v>
          </cell>
          <cell r="B42">
            <v>34</v>
          </cell>
          <cell r="C42" t="str">
            <v>342</v>
          </cell>
          <cell r="D42">
            <v>34</v>
          </cell>
          <cell r="E42">
            <v>34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2</v>
          </cell>
          <cell r="Q42">
            <v>2</v>
          </cell>
          <cell r="R42">
            <v>12</v>
          </cell>
          <cell r="S42">
            <v>12</v>
          </cell>
          <cell r="T42" t="str">
            <v>01</v>
          </cell>
          <cell r="U42">
            <v>12</v>
          </cell>
          <cell r="V42">
            <v>12</v>
          </cell>
          <cell r="W42" t="str">
            <v xml:space="preserve"> 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67500000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1</v>
          </cell>
          <cell r="BO42">
            <v>0</v>
          </cell>
          <cell r="BP42">
            <v>1</v>
          </cell>
          <cell r="BQ42">
            <v>12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2</v>
          </cell>
        </row>
        <row r="43">
          <cell r="A43" t="str">
            <v>352</v>
          </cell>
          <cell r="B43">
            <v>35</v>
          </cell>
          <cell r="C43" t="str">
            <v>352</v>
          </cell>
          <cell r="D43">
            <v>35</v>
          </cell>
          <cell r="E43">
            <v>35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2</v>
          </cell>
          <cell r="Q43">
            <v>2</v>
          </cell>
          <cell r="R43">
            <v>12</v>
          </cell>
          <cell r="S43">
            <v>12</v>
          </cell>
          <cell r="T43" t="str">
            <v>01</v>
          </cell>
          <cell r="U43">
            <v>12</v>
          </cell>
          <cell r="V43">
            <v>12</v>
          </cell>
          <cell r="W43" t="str">
            <v xml:space="preserve"> 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67500000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1</v>
          </cell>
          <cell r="BO43">
            <v>0</v>
          </cell>
          <cell r="BP43">
            <v>1</v>
          </cell>
          <cell r="BQ43">
            <v>12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2</v>
          </cell>
        </row>
        <row r="44">
          <cell r="A44" t="str">
            <v>362</v>
          </cell>
          <cell r="B44">
            <v>36</v>
          </cell>
          <cell r="C44" t="str">
            <v>362</v>
          </cell>
          <cell r="D44">
            <v>36</v>
          </cell>
          <cell r="E44">
            <v>36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2</v>
          </cell>
          <cell r="Q44">
            <v>2</v>
          </cell>
          <cell r="R44">
            <v>12</v>
          </cell>
          <cell r="S44">
            <v>12</v>
          </cell>
          <cell r="T44" t="str">
            <v>01</v>
          </cell>
          <cell r="U44">
            <v>12</v>
          </cell>
          <cell r="V44">
            <v>12</v>
          </cell>
          <cell r="W44" t="str">
            <v xml:space="preserve"> 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67500000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1</v>
          </cell>
          <cell r="BO44">
            <v>0</v>
          </cell>
          <cell r="BP44">
            <v>1</v>
          </cell>
          <cell r="BQ44">
            <v>12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2</v>
          </cell>
        </row>
        <row r="45">
          <cell r="A45" t="str">
            <v>372</v>
          </cell>
          <cell r="B45">
            <v>37</v>
          </cell>
          <cell r="C45" t="str">
            <v>372</v>
          </cell>
          <cell r="D45">
            <v>37</v>
          </cell>
          <cell r="E45">
            <v>37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2</v>
          </cell>
          <cell r="Q45">
            <v>2</v>
          </cell>
          <cell r="R45">
            <v>12</v>
          </cell>
          <cell r="S45">
            <v>12</v>
          </cell>
          <cell r="T45" t="str">
            <v>01</v>
          </cell>
          <cell r="U45">
            <v>12</v>
          </cell>
          <cell r="V45">
            <v>12</v>
          </cell>
          <cell r="W45" t="str">
            <v xml:space="preserve"> 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67500000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1</v>
          </cell>
          <cell r="BO45">
            <v>0</v>
          </cell>
          <cell r="BP45">
            <v>1</v>
          </cell>
          <cell r="BQ45">
            <v>12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2</v>
          </cell>
        </row>
        <row r="46">
          <cell r="A46" t="str">
            <v>382</v>
          </cell>
          <cell r="B46">
            <v>38</v>
          </cell>
          <cell r="C46" t="str">
            <v>382</v>
          </cell>
          <cell r="D46">
            <v>38</v>
          </cell>
          <cell r="E46">
            <v>38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2</v>
          </cell>
          <cell r="Q46">
            <v>2</v>
          </cell>
          <cell r="R46">
            <v>12</v>
          </cell>
          <cell r="S46">
            <v>12</v>
          </cell>
          <cell r="T46" t="str">
            <v>01</v>
          </cell>
          <cell r="U46">
            <v>12</v>
          </cell>
          <cell r="V46">
            <v>12</v>
          </cell>
          <cell r="W46" t="str">
            <v xml:space="preserve"> 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67500000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1</v>
          </cell>
          <cell r="BO46">
            <v>0</v>
          </cell>
          <cell r="BP46">
            <v>1</v>
          </cell>
          <cell r="BQ46">
            <v>12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2</v>
          </cell>
        </row>
        <row r="47">
          <cell r="A47" t="str">
            <v>392</v>
          </cell>
          <cell r="B47">
            <v>39</v>
          </cell>
          <cell r="C47" t="str">
            <v>392</v>
          </cell>
          <cell r="D47">
            <v>39</v>
          </cell>
          <cell r="E47">
            <v>39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2</v>
          </cell>
          <cell r="Q47">
            <v>2</v>
          </cell>
          <cell r="R47">
            <v>12</v>
          </cell>
          <cell r="S47">
            <v>12</v>
          </cell>
          <cell r="T47" t="str">
            <v>01</v>
          </cell>
          <cell r="U47">
            <v>12</v>
          </cell>
          <cell r="V47">
            <v>12</v>
          </cell>
          <cell r="W47" t="str">
            <v xml:space="preserve"> 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67500000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1</v>
          </cell>
          <cell r="BO47">
            <v>0</v>
          </cell>
          <cell r="BP47">
            <v>1</v>
          </cell>
          <cell r="BQ47">
            <v>12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2</v>
          </cell>
        </row>
        <row r="48">
          <cell r="A48" t="str">
            <v>402</v>
          </cell>
          <cell r="B48">
            <v>40</v>
          </cell>
          <cell r="C48" t="str">
            <v>402</v>
          </cell>
          <cell r="D48">
            <v>40</v>
          </cell>
          <cell r="E48">
            <v>40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2</v>
          </cell>
          <cell r="Q48">
            <v>2</v>
          </cell>
          <cell r="R48">
            <v>12</v>
          </cell>
          <cell r="S48">
            <v>12</v>
          </cell>
          <cell r="T48" t="str">
            <v>01</v>
          </cell>
          <cell r="U48">
            <v>12</v>
          </cell>
          <cell r="V48">
            <v>12</v>
          </cell>
          <cell r="W48" t="str">
            <v xml:space="preserve"> 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67500000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1</v>
          </cell>
          <cell r="BO48">
            <v>0</v>
          </cell>
          <cell r="BP48">
            <v>1</v>
          </cell>
          <cell r="BQ48">
            <v>12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2</v>
          </cell>
        </row>
        <row r="49">
          <cell r="A49" t="str">
            <v>412</v>
          </cell>
          <cell r="B49">
            <v>41</v>
          </cell>
          <cell r="C49" t="str">
            <v>412</v>
          </cell>
          <cell r="D49">
            <v>41</v>
          </cell>
          <cell r="E49">
            <v>41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2</v>
          </cell>
          <cell r="Q49">
            <v>2</v>
          </cell>
          <cell r="R49">
            <v>12</v>
          </cell>
          <cell r="S49">
            <v>12</v>
          </cell>
          <cell r="T49" t="str">
            <v>01</v>
          </cell>
          <cell r="U49">
            <v>12</v>
          </cell>
          <cell r="V49">
            <v>12</v>
          </cell>
          <cell r="W49" t="str">
            <v xml:space="preserve"> 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67500000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1</v>
          </cell>
          <cell r="BO49">
            <v>0</v>
          </cell>
          <cell r="BP49">
            <v>1</v>
          </cell>
          <cell r="BQ49">
            <v>12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2</v>
          </cell>
        </row>
        <row r="50">
          <cell r="A50" t="str">
            <v>422</v>
          </cell>
          <cell r="B50">
            <v>42</v>
          </cell>
          <cell r="C50" t="str">
            <v>422</v>
          </cell>
          <cell r="D50">
            <v>42</v>
          </cell>
          <cell r="E50">
            <v>42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2</v>
          </cell>
          <cell r="Q50">
            <v>2</v>
          </cell>
          <cell r="R50">
            <v>12</v>
          </cell>
          <cell r="S50">
            <v>12</v>
          </cell>
          <cell r="T50" t="str">
            <v>01</v>
          </cell>
          <cell r="U50">
            <v>12</v>
          </cell>
          <cell r="V50">
            <v>12</v>
          </cell>
          <cell r="W50" t="str">
            <v xml:space="preserve"> 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67500000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1</v>
          </cell>
          <cell r="BO50">
            <v>0</v>
          </cell>
          <cell r="BP50">
            <v>1</v>
          </cell>
          <cell r="BQ50">
            <v>12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2</v>
          </cell>
        </row>
        <row r="51">
          <cell r="A51" t="str">
            <v>432</v>
          </cell>
          <cell r="B51">
            <v>43</v>
          </cell>
          <cell r="C51" t="str">
            <v>432</v>
          </cell>
          <cell r="D51">
            <v>43</v>
          </cell>
          <cell r="E51">
            <v>43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2</v>
          </cell>
          <cell r="Q51">
            <v>2</v>
          </cell>
          <cell r="R51">
            <v>12</v>
          </cell>
          <cell r="S51">
            <v>12</v>
          </cell>
          <cell r="T51" t="str">
            <v>01</v>
          </cell>
          <cell r="U51">
            <v>12</v>
          </cell>
          <cell r="V51">
            <v>12</v>
          </cell>
          <cell r="W51" t="str">
            <v xml:space="preserve"> 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67500000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1</v>
          </cell>
          <cell r="BO51">
            <v>0</v>
          </cell>
          <cell r="BP51">
            <v>1</v>
          </cell>
          <cell r="BQ51">
            <v>12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2</v>
          </cell>
        </row>
        <row r="52">
          <cell r="A52" t="str">
            <v>442</v>
          </cell>
          <cell r="B52">
            <v>44</v>
          </cell>
          <cell r="C52" t="str">
            <v>442</v>
          </cell>
          <cell r="D52">
            <v>44</v>
          </cell>
          <cell r="E52">
            <v>44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2</v>
          </cell>
          <cell r="Q52">
            <v>2</v>
          </cell>
          <cell r="R52">
            <v>12</v>
          </cell>
          <cell r="S52">
            <v>12</v>
          </cell>
          <cell r="T52" t="str">
            <v>01</v>
          </cell>
          <cell r="U52">
            <v>12</v>
          </cell>
          <cell r="V52">
            <v>12</v>
          </cell>
          <cell r="W52" t="str">
            <v xml:space="preserve"> 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67500000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1</v>
          </cell>
          <cell r="BO52">
            <v>0</v>
          </cell>
          <cell r="BP52">
            <v>1</v>
          </cell>
          <cell r="BQ52">
            <v>12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2</v>
          </cell>
        </row>
        <row r="53">
          <cell r="A53" t="str">
            <v>452</v>
          </cell>
          <cell r="B53">
            <v>45</v>
          </cell>
          <cell r="C53" t="str">
            <v>452</v>
          </cell>
          <cell r="D53">
            <v>45</v>
          </cell>
          <cell r="E53">
            <v>45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2</v>
          </cell>
          <cell r="Q53">
            <v>2</v>
          </cell>
          <cell r="R53">
            <v>12</v>
          </cell>
          <cell r="S53">
            <v>12</v>
          </cell>
          <cell r="T53" t="str">
            <v>01</v>
          </cell>
          <cell r="U53">
            <v>12</v>
          </cell>
          <cell r="V53">
            <v>12</v>
          </cell>
          <cell r="W53" t="str">
            <v xml:space="preserve"> 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67500000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1</v>
          </cell>
          <cell r="BO53">
            <v>0</v>
          </cell>
          <cell r="BP53">
            <v>1</v>
          </cell>
          <cell r="BQ53">
            <v>12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2</v>
          </cell>
        </row>
        <row r="54">
          <cell r="A54" t="str">
            <v>462</v>
          </cell>
          <cell r="B54">
            <v>46</v>
          </cell>
          <cell r="C54" t="str">
            <v>462</v>
          </cell>
          <cell r="D54">
            <v>46</v>
          </cell>
          <cell r="E54">
            <v>46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2</v>
          </cell>
          <cell r="Q54">
            <v>2</v>
          </cell>
          <cell r="R54">
            <v>12</v>
          </cell>
          <cell r="S54">
            <v>12</v>
          </cell>
          <cell r="T54" t="str">
            <v>01</v>
          </cell>
          <cell r="U54">
            <v>12</v>
          </cell>
          <cell r="V54">
            <v>12</v>
          </cell>
          <cell r="W54" t="str">
            <v xml:space="preserve"> 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67500000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1</v>
          </cell>
          <cell r="BO54">
            <v>0</v>
          </cell>
          <cell r="BP54">
            <v>1</v>
          </cell>
          <cell r="BQ54">
            <v>12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2</v>
          </cell>
        </row>
        <row r="55">
          <cell r="A55" t="str">
            <v>472</v>
          </cell>
          <cell r="B55">
            <v>47</v>
          </cell>
          <cell r="C55" t="str">
            <v>472</v>
          </cell>
          <cell r="D55">
            <v>47</v>
          </cell>
          <cell r="E55">
            <v>47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2</v>
          </cell>
          <cell r="Q55">
            <v>2</v>
          </cell>
          <cell r="R55">
            <v>12</v>
          </cell>
          <cell r="S55">
            <v>12</v>
          </cell>
          <cell r="T55" t="str">
            <v>01</v>
          </cell>
          <cell r="U55">
            <v>12</v>
          </cell>
          <cell r="V55">
            <v>12</v>
          </cell>
          <cell r="W55" t="str">
            <v xml:space="preserve"> 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67500000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1</v>
          </cell>
          <cell r="BO55">
            <v>0</v>
          </cell>
          <cell r="BP55">
            <v>1</v>
          </cell>
          <cell r="BQ55">
            <v>12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2</v>
          </cell>
        </row>
        <row r="56">
          <cell r="A56" t="str">
            <v>482</v>
          </cell>
          <cell r="B56">
            <v>48</v>
          </cell>
          <cell r="C56" t="str">
            <v>482</v>
          </cell>
          <cell r="D56">
            <v>48</v>
          </cell>
          <cell r="E56">
            <v>48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2</v>
          </cell>
          <cell r="Q56">
            <v>2</v>
          </cell>
          <cell r="R56">
            <v>12</v>
          </cell>
          <cell r="S56">
            <v>12</v>
          </cell>
          <cell r="T56" t="str">
            <v>01</v>
          </cell>
          <cell r="U56">
            <v>12</v>
          </cell>
          <cell r="V56">
            <v>12</v>
          </cell>
          <cell r="W56" t="str">
            <v xml:space="preserve"> 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67500000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1</v>
          </cell>
          <cell r="BO56">
            <v>0</v>
          </cell>
          <cell r="BP56">
            <v>1</v>
          </cell>
          <cell r="BQ56">
            <v>12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2</v>
          </cell>
        </row>
        <row r="57">
          <cell r="A57" t="str">
            <v>492</v>
          </cell>
          <cell r="B57">
            <v>49</v>
          </cell>
          <cell r="C57" t="str">
            <v>492</v>
          </cell>
          <cell r="D57">
            <v>49</v>
          </cell>
          <cell r="E57">
            <v>49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2</v>
          </cell>
          <cell r="Q57">
            <v>2</v>
          </cell>
          <cell r="R57">
            <v>12</v>
          </cell>
          <cell r="S57">
            <v>12</v>
          </cell>
          <cell r="T57" t="str">
            <v>01</v>
          </cell>
          <cell r="U57">
            <v>12</v>
          </cell>
          <cell r="V57">
            <v>12</v>
          </cell>
          <cell r="W57" t="str">
            <v xml:space="preserve"> 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67500000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1</v>
          </cell>
          <cell r="BO57">
            <v>0</v>
          </cell>
          <cell r="BP57">
            <v>1</v>
          </cell>
          <cell r="BQ57">
            <v>12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2</v>
          </cell>
        </row>
        <row r="58">
          <cell r="A58" t="str">
            <v>502</v>
          </cell>
          <cell r="B58">
            <v>50</v>
          </cell>
          <cell r="C58" t="str">
            <v>502</v>
          </cell>
          <cell r="D58">
            <v>50</v>
          </cell>
          <cell r="E58">
            <v>50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</v>
          </cell>
          <cell r="Q58">
            <v>2</v>
          </cell>
          <cell r="R58">
            <v>12</v>
          </cell>
          <cell r="S58">
            <v>12</v>
          </cell>
          <cell r="T58" t="str">
            <v>01</v>
          </cell>
          <cell r="U58">
            <v>12</v>
          </cell>
          <cell r="V58">
            <v>12</v>
          </cell>
          <cell r="W58" t="str">
            <v xml:space="preserve"> 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67500000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1</v>
          </cell>
          <cell r="BO58">
            <v>0</v>
          </cell>
          <cell r="BP58">
            <v>1</v>
          </cell>
          <cell r="BQ58">
            <v>12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2</v>
          </cell>
        </row>
        <row r="59">
          <cell r="A59" t="str">
            <v>512</v>
          </cell>
          <cell r="B59">
            <v>51</v>
          </cell>
          <cell r="C59" t="str">
            <v>512</v>
          </cell>
          <cell r="D59">
            <v>51</v>
          </cell>
          <cell r="E59">
            <v>51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2</v>
          </cell>
          <cell r="Q59">
            <v>2</v>
          </cell>
          <cell r="R59">
            <v>12</v>
          </cell>
          <cell r="S59">
            <v>12</v>
          </cell>
          <cell r="T59" t="str">
            <v>01</v>
          </cell>
          <cell r="U59">
            <v>12</v>
          </cell>
          <cell r="V59">
            <v>12</v>
          </cell>
          <cell r="W59" t="str">
            <v xml:space="preserve"> 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67500000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1</v>
          </cell>
          <cell r="BO59">
            <v>0</v>
          </cell>
          <cell r="BP59">
            <v>1</v>
          </cell>
          <cell r="BQ59">
            <v>12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2</v>
          </cell>
        </row>
        <row r="60">
          <cell r="A60" t="str">
            <v>522</v>
          </cell>
          <cell r="B60">
            <v>52</v>
          </cell>
          <cell r="C60" t="str">
            <v>522</v>
          </cell>
          <cell r="D60">
            <v>52</v>
          </cell>
          <cell r="E60">
            <v>52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2</v>
          </cell>
          <cell r="Q60">
            <v>2</v>
          </cell>
          <cell r="R60">
            <v>12</v>
          </cell>
          <cell r="S60">
            <v>12</v>
          </cell>
          <cell r="T60" t="str">
            <v>01</v>
          </cell>
          <cell r="U60">
            <v>12</v>
          </cell>
          <cell r="V60">
            <v>12</v>
          </cell>
          <cell r="W60" t="str">
            <v xml:space="preserve"> 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67500000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1</v>
          </cell>
          <cell r="BO60">
            <v>0</v>
          </cell>
          <cell r="BP60">
            <v>1</v>
          </cell>
          <cell r="BQ60">
            <v>12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2</v>
          </cell>
        </row>
        <row r="61">
          <cell r="A61" t="str">
            <v>532</v>
          </cell>
          <cell r="B61">
            <v>53</v>
          </cell>
          <cell r="C61" t="str">
            <v>532</v>
          </cell>
          <cell r="D61">
            <v>53</v>
          </cell>
          <cell r="E61">
            <v>53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2</v>
          </cell>
          <cell r="Q61">
            <v>2</v>
          </cell>
          <cell r="R61">
            <v>12</v>
          </cell>
          <cell r="S61">
            <v>12</v>
          </cell>
          <cell r="T61" t="str">
            <v>01</v>
          </cell>
          <cell r="U61">
            <v>12</v>
          </cell>
          <cell r="V61">
            <v>12</v>
          </cell>
          <cell r="W61" t="str">
            <v xml:space="preserve"> 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67500000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1</v>
          </cell>
          <cell r="BO61">
            <v>0</v>
          </cell>
          <cell r="BP61">
            <v>1</v>
          </cell>
          <cell r="BQ61">
            <v>12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2</v>
          </cell>
        </row>
        <row r="62">
          <cell r="A62" t="str">
            <v>542</v>
          </cell>
          <cell r="B62">
            <v>54</v>
          </cell>
          <cell r="C62" t="str">
            <v>542</v>
          </cell>
          <cell r="D62">
            <v>54</v>
          </cell>
          <cell r="E62">
            <v>54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2</v>
          </cell>
          <cell r="Q62">
            <v>2</v>
          </cell>
          <cell r="R62">
            <v>12</v>
          </cell>
          <cell r="S62">
            <v>12</v>
          </cell>
          <cell r="T62" t="str">
            <v>01</v>
          </cell>
          <cell r="U62">
            <v>12</v>
          </cell>
          <cell r="V62">
            <v>12</v>
          </cell>
          <cell r="W62" t="str">
            <v xml:space="preserve"> 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67500000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1</v>
          </cell>
          <cell r="BO62">
            <v>0</v>
          </cell>
          <cell r="BP62">
            <v>1</v>
          </cell>
          <cell r="BQ62">
            <v>12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2</v>
          </cell>
        </row>
        <row r="63">
          <cell r="A63" t="str">
            <v>552</v>
          </cell>
          <cell r="B63">
            <v>55</v>
          </cell>
          <cell r="C63" t="str">
            <v>552</v>
          </cell>
          <cell r="D63">
            <v>55</v>
          </cell>
          <cell r="E63">
            <v>55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2</v>
          </cell>
          <cell r="Q63">
            <v>2</v>
          </cell>
          <cell r="R63">
            <v>12</v>
          </cell>
          <cell r="S63">
            <v>12</v>
          </cell>
          <cell r="T63" t="str">
            <v>01</v>
          </cell>
          <cell r="U63">
            <v>12</v>
          </cell>
          <cell r="V63">
            <v>12</v>
          </cell>
          <cell r="W63" t="str">
            <v xml:space="preserve"> 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67500000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1</v>
          </cell>
          <cell r="BO63">
            <v>0</v>
          </cell>
          <cell r="BP63">
            <v>1</v>
          </cell>
          <cell r="BQ63">
            <v>12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2</v>
          </cell>
        </row>
        <row r="64">
          <cell r="A64" t="str">
            <v>562</v>
          </cell>
          <cell r="B64">
            <v>56</v>
          </cell>
          <cell r="C64" t="str">
            <v>562</v>
          </cell>
          <cell r="D64">
            <v>56</v>
          </cell>
          <cell r="E64">
            <v>56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2</v>
          </cell>
          <cell r="Q64">
            <v>2</v>
          </cell>
          <cell r="R64">
            <v>12</v>
          </cell>
          <cell r="S64">
            <v>12</v>
          </cell>
          <cell r="T64" t="str">
            <v>01</v>
          </cell>
          <cell r="U64">
            <v>12</v>
          </cell>
          <cell r="V64">
            <v>12</v>
          </cell>
          <cell r="W64" t="str">
            <v xml:space="preserve"> 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67500000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1</v>
          </cell>
          <cell r="BO64">
            <v>0</v>
          </cell>
          <cell r="BP64">
            <v>1</v>
          </cell>
          <cell r="BQ64">
            <v>12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2</v>
          </cell>
        </row>
        <row r="65">
          <cell r="A65" t="str">
            <v>572</v>
          </cell>
          <cell r="B65">
            <v>57</v>
          </cell>
          <cell r="C65" t="str">
            <v>572</v>
          </cell>
          <cell r="D65">
            <v>57</v>
          </cell>
          <cell r="E65">
            <v>57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2</v>
          </cell>
          <cell r="Q65">
            <v>2</v>
          </cell>
          <cell r="R65">
            <v>12</v>
          </cell>
          <cell r="S65">
            <v>12</v>
          </cell>
          <cell r="T65" t="str">
            <v>01</v>
          </cell>
          <cell r="U65">
            <v>12</v>
          </cell>
          <cell r="V65">
            <v>12</v>
          </cell>
          <cell r="W65" t="str">
            <v xml:space="preserve"> 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67500000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1</v>
          </cell>
          <cell r="BO65">
            <v>0</v>
          </cell>
          <cell r="BP65">
            <v>1</v>
          </cell>
          <cell r="BQ65">
            <v>12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2</v>
          </cell>
        </row>
        <row r="66">
          <cell r="A66" t="str">
            <v>582</v>
          </cell>
          <cell r="B66">
            <v>58</v>
          </cell>
          <cell r="C66" t="str">
            <v>582</v>
          </cell>
          <cell r="D66">
            <v>58</v>
          </cell>
          <cell r="E66">
            <v>58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2</v>
          </cell>
          <cell r="Q66">
            <v>2</v>
          </cell>
          <cell r="R66">
            <v>12</v>
          </cell>
          <cell r="S66">
            <v>12</v>
          </cell>
          <cell r="T66" t="str">
            <v>01</v>
          </cell>
          <cell r="U66">
            <v>12</v>
          </cell>
          <cell r="V66">
            <v>12</v>
          </cell>
          <cell r="W66" t="str">
            <v xml:space="preserve"> 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67500000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1</v>
          </cell>
          <cell r="BO66">
            <v>0</v>
          </cell>
          <cell r="BP66">
            <v>1</v>
          </cell>
          <cell r="BQ66">
            <v>12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2</v>
          </cell>
        </row>
        <row r="67">
          <cell r="A67" t="str">
            <v>592</v>
          </cell>
          <cell r="B67">
            <v>59</v>
          </cell>
          <cell r="C67" t="str">
            <v>592</v>
          </cell>
          <cell r="D67">
            <v>59</v>
          </cell>
          <cell r="E67">
            <v>59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2</v>
          </cell>
          <cell r="Q67">
            <v>2</v>
          </cell>
          <cell r="R67">
            <v>12</v>
          </cell>
          <cell r="S67">
            <v>12</v>
          </cell>
          <cell r="T67" t="str">
            <v>01</v>
          </cell>
          <cell r="U67">
            <v>12</v>
          </cell>
          <cell r="V67">
            <v>12</v>
          </cell>
          <cell r="W67" t="str">
            <v xml:space="preserve"> 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67500000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1</v>
          </cell>
          <cell r="BO67">
            <v>0</v>
          </cell>
          <cell r="BP67">
            <v>1</v>
          </cell>
          <cell r="BQ67">
            <v>12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2</v>
          </cell>
        </row>
        <row r="68">
          <cell r="A68" t="str">
            <v>602</v>
          </cell>
          <cell r="B68">
            <v>60</v>
          </cell>
          <cell r="C68" t="str">
            <v>602</v>
          </cell>
          <cell r="D68">
            <v>60</v>
          </cell>
          <cell r="E68">
            <v>60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2</v>
          </cell>
          <cell r="Q68">
            <v>2</v>
          </cell>
          <cell r="R68">
            <v>12</v>
          </cell>
          <cell r="S68">
            <v>12</v>
          </cell>
          <cell r="T68" t="str">
            <v>01</v>
          </cell>
          <cell r="U68">
            <v>12</v>
          </cell>
          <cell r="V68">
            <v>12</v>
          </cell>
          <cell r="W68" t="str">
            <v xml:space="preserve"> 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67500000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1</v>
          </cell>
          <cell r="BO68">
            <v>0</v>
          </cell>
          <cell r="BP68">
            <v>1</v>
          </cell>
          <cell r="BQ68">
            <v>12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2</v>
          </cell>
        </row>
        <row r="69">
          <cell r="A69" t="str">
            <v>612</v>
          </cell>
          <cell r="B69">
            <v>61</v>
          </cell>
          <cell r="C69" t="str">
            <v>612</v>
          </cell>
          <cell r="D69">
            <v>61</v>
          </cell>
          <cell r="E69">
            <v>61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2</v>
          </cell>
          <cell r="Q69">
            <v>2</v>
          </cell>
          <cell r="R69">
            <v>12</v>
          </cell>
          <cell r="S69">
            <v>12</v>
          </cell>
          <cell r="T69" t="str">
            <v>01</v>
          </cell>
          <cell r="U69">
            <v>12</v>
          </cell>
          <cell r="V69">
            <v>12</v>
          </cell>
          <cell r="W69" t="str">
            <v xml:space="preserve"> 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67500000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1</v>
          </cell>
          <cell r="BO69">
            <v>0</v>
          </cell>
          <cell r="BP69">
            <v>1</v>
          </cell>
          <cell r="BQ69">
            <v>12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2</v>
          </cell>
        </row>
        <row r="70">
          <cell r="A70" t="str">
            <v>622</v>
          </cell>
          <cell r="B70">
            <v>62</v>
          </cell>
          <cell r="C70" t="str">
            <v>622</v>
          </cell>
          <cell r="D70">
            <v>62</v>
          </cell>
          <cell r="E70">
            <v>62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2</v>
          </cell>
          <cell r="Q70">
            <v>2</v>
          </cell>
          <cell r="R70">
            <v>12</v>
          </cell>
          <cell r="S70">
            <v>12</v>
          </cell>
          <cell r="T70" t="str">
            <v>01</v>
          </cell>
          <cell r="U70">
            <v>12</v>
          </cell>
          <cell r="V70">
            <v>12</v>
          </cell>
          <cell r="W70" t="str">
            <v xml:space="preserve"> 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67500000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1</v>
          </cell>
          <cell r="BO70">
            <v>0</v>
          </cell>
          <cell r="BP70">
            <v>1</v>
          </cell>
          <cell r="BQ70">
            <v>12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2</v>
          </cell>
        </row>
        <row r="71">
          <cell r="A71" t="str">
            <v>632</v>
          </cell>
          <cell r="B71">
            <v>63</v>
          </cell>
          <cell r="C71" t="str">
            <v>632</v>
          </cell>
          <cell r="D71">
            <v>63</v>
          </cell>
          <cell r="E71">
            <v>63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2</v>
          </cell>
          <cell r="Q71">
            <v>2</v>
          </cell>
          <cell r="R71">
            <v>12</v>
          </cell>
          <cell r="S71">
            <v>12</v>
          </cell>
          <cell r="T71" t="str">
            <v>01</v>
          </cell>
          <cell r="U71">
            <v>12</v>
          </cell>
          <cell r="V71">
            <v>12</v>
          </cell>
          <cell r="W71" t="str">
            <v xml:space="preserve"> 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67500000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1</v>
          </cell>
          <cell r="BO71">
            <v>0</v>
          </cell>
          <cell r="BP71">
            <v>1</v>
          </cell>
          <cell r="BQ71">
            <v>12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2</v>
          </cell>
        </row>
        <row r="72">
          <cell r="A72" t="str">
            <v>642</v>
          </cell>
          <cell r="B72">
            <v>64</v>
          </cell>
          <cell r="C72" t="str">
            <v>642</v>
          </cell>
          <cell r="D72">
            <v>64</v>
          </cell>
          <cell r="E72">
            <v>64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2</v>
          </cell>
          <cell r="Q72">
            <v>2</v>
          </cell>
          <cell r="R72">
            <v>12</v>
          </cell>
          <cell r="S72">
            <v>12</v>
          </cell>
          <cell r="T72" t="str">
            <v>01</v>
          </cell>
          <cell r="U72">
            <v>12</v>
          </cell>
          <cell r="V72">
            <v>12</v>
          </cell>
          <cell r="W72" t="str">
            <v xml:space="preserve"> 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67500000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1</v>
          </cell>
          <cell r="BO72">
            <v>0</v>
          </cell>
          <cell r="BP72">
            <v>1</v>
          </cell>
          <cell r="BQ72">
            <v>12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2</v>
          </cell>
        </row>
        <row r="73">
          <cell r="A73" t="str">
            <v>652</v>
          </cell>
          <cell r="B73">
            <v>65</v>
          </cell>
          <cell r="C73" t="str">
            <v>652</v>
          </cell>
          <cell r="D73">
            <v>65</v>
          </cell>
          <cell r="E73">
            <v>65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2</v>
          </cell>
          <cell r="Q73">
            <v>2</v>
          </cell>
          <cell r="R73">
            <v>12</v>
          </cell>
          <cell r="S73">
            <v>12</v>
          </cell>
          <cell r="T73" t="str">
            <v>01</v>
          </cell>
          <cell r="U73">
            <v>12</v>
          </cell>
          <cell r="V73">
            <v>12</v>
          </cell>
          <cell r="W73" t="str">
            <v xml:space="preserve"> 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67500000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1</v>
          </cell>
          <cell r="BO73">
            <v>0</v>
          </cell>
          <cell r="BP73">
            <v>1</v>
          </cell>
          <cell r="BQ73">
            <v>12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2</v>
          </cell>
        </row>
        <row r="74">
          <cell r="A74" t="str">
            <v>662</v>
          </cell>
          <cell r="B74">
            <v>66</v>
          </cell>
          <cell r="C74" t="str">
            <v>662</v>
          </cell>
          <cell r="D74">
            <v>66</v>
          </cell>
          <cell r="E74">
            <v>66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2</v>
          </cell>
          <cell r="Q74">
            <v>2</v>
          </cell>
          <cell r="R74">
            <v>12</v>
          </cell>
          <cell r="S74">
            <v>12</v>
          </cell>
          <cell r="T74" t="str">
            <v>01</v>
          </cell>
          <cell r="U74">
            <v>12</v>
          </cell>
          <cell r="V74">
            <v>12</v>
          </cell>
          <cell r="W74" t="str">
            <v xml:space="preserve"> 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67500000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1</v>
          </cell>
          <cell r="BO74">
            <v>0</v>
          </cell>
          <cell r="BP74">
            <v>1</v>
          </cell>
          <cell r="BQ74">
            <v>12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2</v>
          </cell>
        </row>
        <row r="75">
          <cell r="A75" t="str">
            <v>672</v>
          </cell>
          <cell r="B75">
            <v>67</v>
          </cell>
          <cell r="C75" t="str">
            <v>672</v>
          </cell>
          <cell r="D75">
            <v>67</v>
          </cell>
          <cell r="E75">
            <v>67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2</v>
          </cell>
          <cell r="Q75">
            <v>2</v>
          </cell>
          <cell r="R75">
            <v>12</v>
          </cell>
          <cell r="S75">
            <v>12</v>
          </cell>
          <cell r="T75" t="str">
            <v>01</v>
          </cell>
          <cell r="U75">
            <v>12</v>
          </cell>
          <cell r="V75">
            <v>12</v>
          </cell>
          <cell r="W75" t="str">
            <v xml:space="preserve"> 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67500000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1</v>
          </cell>
          <cell r="BO75">
            <v>0</v>
          </cell>
          <cell r="BP75">
            <v>1</v>
          </cell>
          <cell r="BQ75">
            <v>12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2</v>
          </cell>
        </row>
        <row r="76">
          <cell r="A76" t="str">
            <v>682</v>
          </cell>
          <cell r="B76">
            <v>68</v>
          </cell>
          <cell r="C76" t="str">
            <v>682</v>
          </cell>
          <cell r="D76">
            <v>68</v>
          </cell>
          <cell r="E76">
            <v>68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2</v>
          </cell>
          <cell r="Q76">
            <v>2</v>
          </cell>
          <cell r="R76">
            <v>12</v>
          </cell>
          <cell r="S76">
            <v>12</v>
          </cell>
          <cell r="T76" t="str">
            <v>01</v>
          </cell>
          <cell r="U76">
            <v>12</v>
          </cell>
          <cell r="V76">
            <v>12</v>
          </cell>
          <cell r="W76" t="str">
            <v xml:space="preserve"> 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67500000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1</v>
          </cell>
          <cell r="BO76">
            <v>0</v>
          </cell>
          <cell r="BP76">
            <v>1</v>
          </cell>
          <cell r="BQ76">
            <v>12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2</v>
          </cell>
        </row>
        <row r="77">
          <cell r="A77" t="str">
            <v>692</v>
          </cell>
          <cell r="B77">
            <v>69</v>
          </cell>
          <cell r="C77" t="str">
            <v>692</v>
          </cell>
          <cell r="D77">
            <v>69</v>
          </cell>
          <cell r="E77">
            <v>69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2</v>
          </cell>
          <cell r="Q77">
            <v>2</v>
          </cell>
          <cell r="R77">
            <v>12</v>
          </cell>
          <cell r="S77">
            <v>12</v>
          </cell>
          <cell r="T77" t="str">
            <v>01</v>
          </cell>
          <cell r="U77">
            <v>12</v>
          </cell>
          <cell r="V77">
            <v>12</v>
          </cell>
          <cell r="W77" t="str">
            <v xml:space="preserve"> 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67500000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1</v>
          </cell>
          <cell r="BO77">
            <v>0</v>
          </cell>
          <cell r="BP77">
            <v>1</v>
          </cell>
          <cell r="BQ77">
            <v>12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2</v>
          </cell>
        </row>
        <row r="78">
          <cell r="A78" t="str">
            <v>702</v>
          </cell>
          <cell r="B78">
            <v>70</v>
          </cell>
          <cell r="C78" t="str">
            <v>702</v>
          </cell>
          <cell r="D78">
            <v>70</v>
          </cell>
          <cell r="E78">
            <v>70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2</v>
          </cell>
          <cell r="Q78">
            <v>2</v>
          </cell>
          <cell r="R78">
            <v>12</v>
          </cell>
          <cell r="S78">
            <v>12</v>
          </cell>
          <cell r="T78" t="str">
            <v>01</v>
          </cell>
          <cell r="U78">
            <v>12</v>
          </cell>
          <cell r="V78">
            <v>12</v>
          </cell>
          <cell r="W78" t="str">
            <v xml:space="preserve"> 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67500000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1</v>
          </cell>
          <cell r="BO78">
            <v>0</v>
          </cell>
          <cell r="BP78">
            <v>1</v>
          </cell>
          <cell r="BQ78">
            <v>12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2</v>
          </cell>
        </row>
        <row r="79">
          <cell r="A79" t="str">
            <v>712</v>
          </cell>
          <cell r="B79">
            <v>71</v>
          </cell>
          <cell r="C79" t="str">
            <v>712</v>
          </cell>
          <cell r="D79">
            <v>71</v>
          </cell>
          <cell r="E79">
            <v>71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2</v>
          </cell>
          <cell r="Q79">
            <v>2</v>
          </cell>
          <cell r="R79">
            <v>12</v>
          </cell>
          <cell r="S79">
            <v>12</v>
          </cell>
          <cell r="T79" t="str">
            <v>01</v>
          </cell>
          <cell r="U79">
            <v>12</v>
          </cell>
          <cell r="V79">
            <v>12</v>
          </cell>
          <cell r="W79" t="str">
            <v xml:space="preserve"> 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67500000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1</v>
          </cell>
          <cell r="BO79">
            <v>0</v>
          </cell>
          <cell r="BP79">
            <v>1</v>
          </cell>
          <cell r="BQ79">
            <v>12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2</v>
          </cell>
        </row>
        <row r="80">
          <cell r="A80" t="str">
            <v>722</v>
          </cell>
          <cell r="B80">
            <v>72</v>
          </cell>
          <cell r="C80" t="str">
            <v>722</v>
          </cell>
          <cell r="D80">
            <v>72</v>
          </cell>
          <cell r="E80">
            <v>72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2</v>
          </cell>
          <cell r="Q80">
            <v>2</v>
          </cell>
          <cell r="R80">
            <v>12</v>
          </cell>
          <cell r="S80">
            <v>12</v>
          </cell>
          <cell r="T80" t="str">
            <v>01</v>
          </cell>
          <cell r="U80">
            <v>12</v>
          </cell>
          <cell r="V80">
            <v>12</v>
          </cell>
          <cell r="W80" t="str">
            <v xml:space="preserve"> 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67500000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1</v>
          </cell>
          <cell r="BO80">
            <v>0</v>
          </cell>
          <cell r="BP80">
            <v>1</v>
          </cell>
          <cell r="BQ80">
            <v>12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2</v>
          </cell>
        </row>
        <row r="81">
          <cell r="A81" t="str">
            <v>732</v>
          </cell>
          <cell r="B81">
            <v>73</v>
          </cell>
          <cell r="C81" t="str">
            <v>732</v>
          </cell>
          <cell r="D81">
            <v>73</v>
          </cell>
          <cell r="E81">
            <v>73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2</v>
          </cell>
          <cell r="Q81">
            <v>2</v>
          </cell>
          <cell r="R81">
            <v>12</v>
          </cell>
          <cell r="S81">
            <v>12</v>
          </cell>
          <cell r="T81" t="str">
            <v>01</v>
          </cell>
          <cell r="U81">
            <v>12</v>
          </cell>
          <cell r="V81">
            <v>12</v>
          </cell>
          <cell r="W81" t="str">
            <v xml:space="preserve"> 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67500000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1</v>
          </cell>
          <cell r="BO81">
            <v>0</v>
          </cell>
          <cell r="BP81">
            <v>1</v>
          </cell>
          <cell r="BQ81">
            <v>12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2</v>
          </cell>
        </row>
        <row r="82">
          <cell r="A82" t="str">
            <v>742</v>
          </cell>
          <cell r="B82">
            <v>74</v>
          </cell>
          <cell r="C82" t="str">
            <v>742</v>
          </cell>
          <cell r="D82">
            <v>74</v>
          </cell>
          <cell r="E82">
            <v>74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2</v>
          </cell>
          <cell r="Q82">
            <v>2</v>
          </cell>
          <cell r="R82">
            <v>12</v>
          </cell>
          <cell r="S82">
            <v>12</v>
          </cell>
          <cell r="T82" t="str">
            <v>01</v>
          </cell>
          <cell r="U82">
            <v>12</v>
          </cell>
          <cell r="V82">
            <v>12</v>
          </cell>
          <cell r="W82" t="str">
            <v xml:space="preserve"> 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67500000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1</v>
          </cell>
          <cell r="BO82">
            <v>0</v>
          </cell>
          <cell r="BP82">
            <v>1</v>
          </cell>
          <cell r="BQ82">
            <v>12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2</v>
          </cell>
        </row>
        <row r="83">
          <cell r="A83" t="str">
            <v>752</v>
          </cell>
          <cell r="B83">
            <v>75</v>
          </cell>
          <cell r="C83" t="str">
            <v>752</v>
          </cell>
          <cell r="D83">
            <v>75</v>
          </cell>
          <cell r="E83">
            <v>75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2</v>
          </cell>
          <cell r="Q83">
            <v>2</v>
          </cell>
          <cell r="R83">
            <v>12</v>
          </cell>
          <cell r="S83">
            <v>12</v>
          </cell>
          <cell r="T83" t="str">
            <v>01</v>
          </cell>
          <cell r="U83">
            <v>12</v>
          </cell>
          <cell r="V83">
            <v>12</v>
          </cell>
          <cell r="W83" t="str">
            <v xml:space="preserve"> 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67500000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1</v>
          </cell>
          <cell r="BO83">
            <v>0</v>
          </cell>
          <cell r="BP83">
            <v>1</v>
          </cell>
          <cell r="BQ83">
            <v>12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2</v>
          </cell>
        </row>
        <row r="84">
          <cell r="A84" t="str">
            <v>762</v>
          </cell>
          <cell r="B84">
            <v>76</v>
          </cell>
          <cell r="C84" t="str">
            <v>762</v>
          </cell>
          <cell r="D84">
            <v>76</v>
          </cell>
          <cell r="E84">
            <v>76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2</v>
          </cell>
          <cell r="Q84">
            <v>2</v>
          </cell>
          <cell r="R84">
            <v>12</v>
          </cell>
          <cell r="S84">
            <v>12</v>
          </cell>
          <cell r="T84" t="str">
            <v>01</v>
          </cell>
          <cell r="U84">
            <v>12</v>
          </cell>
          <cell r="V84">
            <v>12</v>
          </cell>
          <cell r="W84" t="str">
            <v xml:space="preserve"> 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67500000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1</v>
          </cell>
          <cell r="BO84">
            <v>0</v>
          </cell>
          <cell r="BP84">
            <v>1</v>
          </cell>
          <cell r="BQ84">
            <v>12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2</v>
          </cell>
        </row>
        <row r="85">
          <cell r="A85" t="str">
            <v>772</v>
          </cell>
          <cell r="B85">
            <v>77</v>
          </cell>
          <cell r="C85" t="str">
            <v>772</v>
          </cell>
          <cell r="D85">
            <v>77</v>
          </cell>
          <cell r="E85">
            <v>77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2</v>
          </cell>
          <cell r="Q85">
            <v>2</v>
          </cell>
          <cell r="R85">
            <v>12</v>
          </cell>
          <cell r="S85">
            <v>12</v>
          </cell>
          <cell r="T85" t="str">
            <v>01</v>
          </cell>
          <cell r="U85">
            <v>12</v>
          </cell>
          <cell r="V85">
            <v>12</v>
          </cell>
          <cell r="W85" t="str">
            <v xml:space="preserve"> 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67500000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1</v>
          </cell>
          <cell r="BO85">
            <v>0</v>
          </cell>
          <cell r="BP85">
            <v>1</v>
          </cell>
          <cell r="BQ85">
            <v>12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2</v>
          </cell>
        </row>
        <row r="86">
          <cell r="A86" t="str">
            <v>782</v>
          </cell>
          <cell r="B86">
            <v>78</v>
          </cell>
          <cell r="C86" t="str">
            <v>782</v>
          </cell>
          <cell r="D86">
            <v>78</v>
          </cell>
          <cell r="E86">
            <v>78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2</v>
          </cell>
          <cell r="Q86">
            <v>2</v>
          </cell>
          <cell r="R86">
            <v>12</v>
          </cell>
          <cell r="S86">
            <v>12</v>
          </cell>
          <cell r="T86" t="str">
            <v>01</v>
          </cell>
          <cell r="U86">
            <v>12</v>
          </cell>
          <cell r="V86">
            <v>12</v>
          </cell>
          <cell r="W86" t="str">
            <v xml:space="preserve"> 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67500000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1</v>
          </cell>
          <cell r="BO86">
            <v>0</v>
          </cell>
          <cell r="BP86">
            <v>1</v>
          </cell>
          <cell r="BQ86">
            <v>12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2</v>
          </cell>
        </row>
        <row r="87">
          <cell r="A87" t="str">
            <v>792</v>
          </cell>
          <cell r="B87">
            <v>79</v>
          </cell>
          <cell r="C87" t="str">
            <v>792</v>
          </cell>
          <cell r="D87">
            <v>79</v>
          </cell>
          <cell r="E87">
            <v>79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2</v>
          </cell>
          <cell r="Q87">
            <v>2</v>
          </cell>
          <cell r="R87">
            <v>12</v>
          </cell>
          <cell r="S87">
            <v>12</v>
          </cell>
          <cell r="T87" t="str">
            <v>01</v>
          </cell>
          <cell r="U87">
            <v>12</v>
          </cell>
          <cell r="V87">
            <v>12</v>
          </cell>
          <cell r="W87" t="str">
            <v xml:space="preserve"> 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67500000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1</v>
          </cell>
          <cell r="BO87">
            <v>0</v>
          </cell>
          <cell r="BP87">
            <v>1</v>
          </cell>
          <cell r="BQ87">
            <v>12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2</v>
          </cell>
        </row>
        <row r="88">
          <cell r="A88" t="str">
            <v>802</v>
          </cell>
          <cell r="B88">
            <v>80</v>
          </cell>
          <cell r="C88" t="str">
            <v>802</v>
          </cell>
          <cell r="D88">
            <v>80</v>
          </cell>
          <cell r="E88">
            <v>80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2</v>
          </cell>
          <cell r="Q88">
            <v>2</v>
          </cell>
          <cell r="R88">
            <v>12</v>
          </cell>
          <cell r="S88">
            <v>12</v>
          </cell>
          <cell r="T88" t="str">
            <v>01</v>
          </cell>
          <cell r="U88">
            <v>12</v>
          </cell>
          <cell r="V88">
            <v>12</v>
          </cell>
          <cell r="W88" t="str">
            <v xml:space="preserve"> 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67500000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1</v>
          </cell>
          <cell r="BO88">
            <v>0</v>
          </cell>
          <cell r="BP88">
            <v>1</v>
          </cell>
          <cell r="BQ88">
            <v>12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2</v>
          </cell>
        </row>
        <row r="89">
          <cell r="A89" t="str">
            <v>812</v>
          </cell>
          <cell r="B89">
            <v>81</v>
          </cell>
          <cell r="C89" t="str">
            <v>812</v>
          </cell>
          <cell r="D89">
            <v>81</v>
          </cell>
          <cell r="E89">
            <v>81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2</v>
          </cell>
          <cell r="Q89">
            <v>2</v>
          </cell>
          <cell r="R89">
            <v>12</v>
          </cell>
          <cell r="S89">
            <v>12</v>
          </cell>
          <cell r="T89" t="str">
            <v>01</v>
          </cell>
          <cell r="U89">
            <v>12</v>
          </cell>
          <cell r="V89">
            <v>12</v>
          </cell>
          <cell r="W89" t="str">
            <v xml:space="preserve"> 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67500000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1</v>
          </cell>
          <cell r="BO89">
            <v>0</v>
          </cell>
          <cell r="BP89">
            <v>1</v>
          </cell>
          <cell r="BQ89">
            <v>12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2</v>
          </cell>
        </row>
        <row r="90">
          <cell r="A90" t="str">
            <v>822</v>
          </cell>
          <cell r="B90">
            <v>82</v>
          </cell>
          <cell r="C90" t="str">
            <v>822</v>
          </cell>
          <cell r="D90">
            <v>82</v>
          </cell>
          <cell r="E90">
            <v>82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2</v>
          </cell>
          <cell r="Q90">
            <v>2</v>
          </cell>
          <cell r="R90">
            <v>12</v>
          </cell>
          <cell r="S90">
            <v>12</v>
          </cell>
          <cell r="T90" t="str">
            <v>01</v>
          </cell>
          <cell r="U90">
            <v>12</v>
          </cell>
          <cell r="V90">
            <v>12</v>
          </cell>
          <cell r="W90" t="str">
            <v xml:space="preserve"> 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67500000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1</v>
          </cell>
          <cell r="BO90">
            <v>0</v>
          </cell>
          <cell r="BP90">
            <v>1</v>
          </cell>
          <cell r="BQ90">
            <v>12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2</v>
          </cell>
        </row>
        <row r="91">
          <cell r="A91" t="str">
            <v>832</v>
          </cell>
          <cell r="B91">
            <v>83</v>
          </cell>
          <cell r="C91" t="str">
            <v>832</v>
          </cell>
          <cell r="D91">
            <v>83</v>
          </cell>
          <cell r="E91">
            <v>83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2</v>
          </cell>
          <cell r="Q91">
            <v>2</v>
          </cell>
          <cell r="R91">
            <v>12</v>
          </cell>
          <cell r="S91">
            <v>12</v>
          </cell>
          <cell r="T91" t="str">
            <v>01</v>
          </cell>
          <cell r="U91">
            <v>12</v>
          </cell>
          <cell r="V91">
            <v>12</v>
          </cell>
          <cell r="W91" t="str">
            <v xml:space="preserve"> 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67500000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1</v>
          </cell>
          <cell r="BO91">
            <v>0</v>
          </cell>
          <cell r="BP91">
            <v>1</v>
          </cell>
          <cell r="BQ91">
            <v>12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2</v>
          </cell>
        </row>
        <row r="92">
          <cell r="A92" t="str">
            <v>842</v>
          </cell>
          <cell r="B92">
            <v>84</v>
          </cell>
          <cell r="C92" t="str">
            <v>842</v>
          </cell>
          <cell r="D92">
            <v>84</v>
          </cell>
          <cell r="E92">
            <v>84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2</v>
          </cell>
          <cell r="Q92">
            <v>2</v>
          </cell>
          <cell r="R92">
            <v>12</v>
          </cell>
          <cell r="S92">
            <v>12</v>
          </cell>
          <cell r="T92" t="str">
            <v>01</v>
          </cell>
          <cell r="U92">
            <v>12</v>
          </cell>
          <cell r="V92">
            <v>12</v>
          </cell>
          <cell r="W92" t="str">
            <v xml:space="preserve"> 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67500000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1</v>
          </cell>
          <cell r="BO92">
            <v>0</v>
          </cell>
          <cell r="BP92">
            <v>1</v>
          </cell>
          <cell r="BQ92">
            <v>12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2</v>
          </cell>
        </row>
        <row r="93">
          <cell r="A93" t="str">
            <v>852</v>
          </cell>
          <cell r="B93">
            <v>85</v>
          </cell>
          <cell r="C93" t="str">
            <v>852</v>
          </cell>
          <cell r="D93">
            <v>85</v>
          </cell>
          <cell r="E93">
            <v>85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2</v>
          </cell>
          <cell r="Q93">
            <v>2</v>
          </cell>
          <cell r="R93">
            <v>12</v>
          </cell>
          <cell r="S93">
            <v>12</v>
          </cell>
          <cell r="T93" t="str">
            <v>01</v>
          </cell>
          <cell r="U93">
            <v>12</v>
          </cell>
          <cell r="V93">
            <v>12</v>
          </cell>
          <cell r="W93" t="str">
            <v xml:space="preserve"> 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67500000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1</v>
          </cell>
          <cell r="BO93">
            <v>0</v>
          </cell>
          <cell r="BP93">
            <v>1</v>
          </cell>
          <cell r="BQ93">
            <v>12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2</v>
          </cell>
        </row>
        <row r="94">
          <cell r="A94" t="str">
            <v>862</v>
          </cell>
          <cell r="B94">
            <v>86</v>
          </cell>
          <cell r="C94" t="str">
            <v>862</v>
          </cell>
          <cell r="D94">
            <v>86</v>
          </cell>
          <cell r="E94">
            <v>86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2</v>
          </cell>
          <cell r="Q94">
            <v>2</v>
          </cell>
          <cell r="R94">
            <v>12</v>
          </cell>
          <cell r="S94">
            <v>12</v>
          </cell>
          <cell r="T94" t="str">
            <v>01</v>
          </cell>
          <cell r="U94">
            <v>12</v>
          </cell>
          <cell r="V94">
            <v>12</v>
          </cell>
          <cell r="W94" t="str">
            <v xml:space="preserve"> 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67500000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1</v>
          </cell>
          <cell r="BO94">
            <v>0</v>
          </cell>
          <cell r="BP94">
            <v>1</v>
          </cell>
          <cell r="BQ94">
            <v>12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2</v>
          </cell>
        </row>
        <row r="95">
          <cell r="A95" t="str">
            <v>872</v>
          </cell>
          <cell r="B95">
            <v>87</v>
          </cell>
          <cell r="C95" t="str">
            <v>872</v>
          </cell>
          <cell r="D95">
            <v>87</v>
          </cell>
          <cell r="E95">
            <v>87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2</v>
          </cell>
          <cell r="Q95">
            <v>2</v>
          </cell>
          <cell r="R95">
            <v>12</v>
          </cell>
          <cell r="S95">
            <v>12</v>
          </cell>
          <cell r="T95" t="str">
            <v>01</v>
          </cell>
          <cell r="U95">
            <v>12</v>
          </cell>
          <cell r="V95">
            <v>12</v>
          </cell>
          <cell r="W95" t="str">
            <v xml:space="preserve"> 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67500000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1</v>
          </cell>
          <cell r="BO95">
            <v>0</v>
          </cell>
          <cell r="BP95">
            <v>1</v>
          </cell>
          <cell r="BQ95">
            <v>12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2</v>
          </cell>
        </row>
        <row r="96">
          <cell r="A96" t="str">
            <v>882</v>
          </cell>
          <cell r="B96">
            <v>88</v>
          </cell>
          <cell r="C96" t="str">
            <v>882</v>
          </cell>
          <cell r="D96">
            <v>88</v>
          </cell>
          <cell r="E96">
            <v>88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2</v>
          </cell>
          <cell r="Q96">
            <v>2</v>
          </cell>
          <cell r="R96">
            <v>12</v>
          </cell>
          <cell r="S96">
            <v>12</v>
          </cell>
          <cell r="T96" t="str">
            <v>01</v>
          </cell>
          <cell r="U96">
            <v>12</v>
          </cell>
          <cell r="V96">
            <v>12</v>
          </cell>
          <cell r="W96" t="str">
            <v xml:space="preserve"> 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67500000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1</v>
          </cell>
          <cell r="BO96">
            <v>0</v>
          </cell>
          <cell r="BP96">
            <v>1</v>
          </cell>
          <cell r="BQ96">
            <v>12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2</v>
          </cell>
        </row>
        <row r="97">
          <cell r="A97" t="str">
            <v>892</v>
          </cell>
          <cell r="B97">
            <v>89</v>
          </cell>
          <cell r="C97" t="str">
            <v>892</v>
          </cell>
          <cell r="D97">
            <v>89</v>
          </cell>
          <cell r="E97">
            <v>89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2</v>
          </cell>
          <cell r="Q97">
            <v>2</v>
          </cell>
          <cell r="R97">
            <v>12</v>
          </cell>
          <cell r="S97">
            <v>12</v>
          </cell>
          <cell r="T97" t="str">
            <v>01</v>
          </cell>
          <cell r="U97">
            <v>12</v>
          </cell>
          <cell r="V97">
            <v>12</v>
          </cell>
          <cell r="W97" t="str">
            <v xml:space="preserve"> 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67500000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1</v>
          </cell>
          <cell r="BO97">
            <v>0</v>
          </cell>
          <cell r="BP97">
            <v>1</v>
          </cell>
          <cell r="BQ97">
            <v>12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2</v>
          </cell>
        </row>
        <row r="98">
          <cell r="A98" t="str">
            <v>902</v>
          </cell>
          <cell r="B98">
            <v>90</v>
          </cell>
          <cell r="C98" t="str">
            <v>902</v>
          </cell>
          <cell r="D98">
            <v>90</v>
          </cell>
          <cell r="E98">
            <v>90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2</v>
          </cell>
          <cell r="Q98">
            <v>2</v>
          </cell>
          <cell r="R98">
            <v>12</v>
          </cell>
          <cell r="S98">
            <v>12</v>
          </cell>
          <cell r="T98" t="str">
            <v>01</v>
          </cell>
          <cell r="U98">
            <v>12</v>
          </cell>
          <cell r="V98">
            <v>12</v>
          </cell>
          <cell r="W98" t="str">
            <v xml:space="preserve"> 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67500000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1</v>
          </cell>
          <cell r="BO98">
            <v>0</v>
          </cell>
          <cell r="BP98">
            <v>1</v>
          </cell>
          <cell r="BQ98">
            <v>12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2</v>
          </cell>
        </row>
        <row r="99">
          <cell r="A99" t="str">
            <v>912</v>
          </cell>
          <cell r="B99">
            <v>91</v>
          </cell>
          <cell r="C99" t="str">
            <v>912</v>
          </cell>
          <cell r="D99">
            <v>91</v>
          </cell>
          <cell r="E99">
            <v>91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2</v>
          </cell>
          <cell r="Q99">
            <v>2</v>
          </cell>
          <cell r="R99">
            <v>12</v>
          </cell>
          <cell r="S99">
            <v>12</v>
          </cell>
          <cell r="T99" t="str">
            <v>01</v>
          </cell>
          <cell r="U99">
            <v>12</v>
          </cell>
          <cell r="V99">
            <v>12</v>
          </cell>
          <cell r="W99" t="str">
            <v xml:space="preserve"> 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67500000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1</v>
          </cell>
          <cell r="BO99">
            <v>0</v>
          </cell>
          <cell r="BP99">
            <v>1</v>
          </cell>
          <cell r="BQ99">
            <v>12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2</v>
          </cell>
        </row>
        <row r="100">
          <cell r="A100" t="str">
            <v>922</v>
          </cell>
          <cell r="B100">
            <v>92</v>
          </cell>
          <cell r="C100" t="str">
            <v>922</v>
          </cell>
          <cell r="D100">
            <v>92</v>
          </cell>
          <cell r="E100">
            <v>92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2</v>
          </cell>
          <cell r="Q100">
            <v>2</v>
          </cell>
          <cell r="R100">
            <v>12</v>
          </cell>
          <cell r="S100">
            <v>12</v>
          </cell>
          <cell r="T100" t="str">
            <v>01</v>
          </cell>
          <cell r="U100">
            <v>12</v>
          </cell>
          <cell r="V100">
            <v>12</v>
          </cell>
          <cell r="W100" t="str">
            <v xml:space="preserve"> 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67500000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1</v>
          </cell>
          <cell r="BO100">
            <v>0</v>
          </cell>
          <cell r="BP100">
            <v>1</v>
          </cell>
          <cell r="BQ100">
            <v>12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2</v>
          </cell>
        </row>
        <row r="101">
          <cell r="A101" t="str">
            <v>932</v>
          </cell>
          <cell r="B101">
            <v>93</v>
          </cell>
          <cell r="C101" t="str">
            <v>932</v>
          </cell>
          <cell r="D101">
            <v>93</v>
          </cell>
          <cell r="E101">
            <v>93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2</v>
          </cell>
          <cell r="Q101">
            <v>2</v>
          </cell>
          <cell r="R101">
            <v>12</v>
          </cell>
          <cell r="S101">
            <v>12</v>
          </cell>
          <cell r="T101" t="str">
            <v>01</v>
          </cell>
          <cell r="U101">
            <v>12</v>
          </cell>
          <cell r="V101">
            <v>12</v>
          </cell>
          <cell r="W101" t="str">
            <v xml:space="preserve"> 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67500000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1</v>
          </cell>
          <cell r="BO101">
            <v>0</v>
          </cell>
          <cell r="BP101">
            <v>1</v>
          </cell>
          <cell r="BQ101">
            <v>12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2</v>
          </cell>
        </row>
        <row r="102">
          <cell r="A102" t="str">
            <v>942</v>
          </cell>
          <cell r="B102">
            <v>94</v>
          </cell>
          <cell r="C102" t="str">
            <v>942</v>
          </cell>
          <cell r="D102">
            <v>94</v>
          </cell>
          <cell r="E102">
            <v>94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2</v>
          </cell>
          <cell r="Q102">
            <v>2</v>
          </cell>
          <cell r="R102">
            <v>12</v>
          </cell>
          <cell r="S102">
            <v>12</v>
          </cell>
          <cell r="T102" t="str">
            <v>01</v>
          </cell>
          <cell r="U102">
            <v>12</v>
          </cell>
          <cell r="V102">
            <v>12</v>
          </cell>
          <cell r="W102" t="str">
            <v xml:space="preserve"> 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67500000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1</v>
          </cell>
          <cell r="BO102">
            <v>0</v>
          </cell>
          <cell r="BP102">
            <v>1</v>
          </cell>
          <cell r="BQ102">
            <v>12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2</v>
          </cell>
        </row>
        <row r="103">
          <cell r="A103" t="str">
            <v>952</v>
          </cell>
          <cell r="B103">
            <v>95</v>
          </cell>
          <cell r="C103" t="str">
            <v>952</v>
          </cell>
          <cell r="D103">
            <v>95</v>
          </cell>
          <cell r="E103">
            <v>95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2</v>
          </cell>
          <cell r="Q103">
            <v>2</v>
          </cell>
          <cell r="R103">
            <v>12</v>
          </cell>
          <cell r="S103">
            <v>12</v>
          </cell>
          <cell r="T103" t="str">
            <v>01</v>
          </cell>
          <cell r="U103">
            <v>12</v>
          </cell>
          <cell r="V103">
            <v>12</v>
          </cell>
          <cell r="W103" t="str">
            <v xml:space="preserve"> 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67500000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1</v>
          </cell>
          <cell r="BO103">
            <v>0</v>
          </cell>
          <cell r="BP103">
            <v>1</v>
          </cell>
          <cell r="BQ103">
            <v>12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2</v>
          </cell>
        </row>
        <row r="104">
          <cell r="A104" t="str">
            <v>962</v>
          </cell>
          <cell r="B104">
            <v>96</v>
          </cell>
          <cell r="C104" t="str">
            <v>962</v>
          </cell>
          <cell r="D104">
            <v>96</v>
          </cell>
          <cell r="E104">
            <v>96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2</v>
          </cell>
          <cell r="Q104">
            <v>2</v>
          </cell>
          <cell r="R104">
            <v>12</v>
          </cell>
          <cell r="S104">
            <v>12</v>
          </cell>
          <cell r="T104" t="str">
            <v>01</v>
          </cell>
          <cell r="U104">
            <v>12</v>
          </cell>
          <cell r="V104">
            <v>12</v>
          </cell>
          <cell r="W104" t="str">
            <v xml:space="preserve"> 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67500000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1</v>
          </cell>
          <cell r="BO104">
            <v>0</v>
          </cell>
          <cell r="BP104">
            <v>1</v>
          </cell>
          <cell r="BQ104">
            <v>12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2</v>
          </cell>
        </row>
        <row r="105">
          <cell r="A105" t="str">
            <v>972</v>
          </cell>
          <cell r="B105">
            <v>97</v>
          </cell>
          <cell r="C105" t="str">
            <v>972</v>
          </cell>
          <cell r="D105">
            <v>97</v>
          </cell>
          <cell r="E105">
            <v>97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2</v>
          </cell>
          <cell r="Q105">
            <v>2</v>
          </cell>
          <cell r="R105">
            <v>12</v>
          </cell>
          <cell r="S105">
            <v>12</v>
          </cell>
          <cell r="T105" t="str">
            <v>01</v>
          </cell>
          <cell r="U105">
            <v>12</v>
          </cell>
          <cell r="V105">
            <v>12</v>
          </cell>
          <cell r="W105" t="str">
            <v xml:space="preserve"> 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67500000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1</v>
          </cell>
          <cell r="BO105">
            <v>0</v>
          </cell>
          <cell r="BP105">
            <v>1</v>
          </cell>
          <cell r="BQ105">
            <v>12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2</v>
          </cell>
        </row>
        <row r="106">
          <cell r="A106" t="str">
            <v>982</v>
          </cell>
          <cell r="B106">
            <v>98</v>
          </cell>
          <cell r="C106" t="str">
            <v>982</v>
          </cell>
          <cell r="D106">
            <v>98</v>
          </cell>
          <cell r="E106">
            <v>98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2</v>
          </cell>
          <cell r="Q106">
            <v>2</v>
          </cell>
          <cell r="R106">
            <v>12</v>
          </cell>
          <cell r="S106">
            <v>12</v>
          </cell>
          <cell r="T106" t="str">
            <v>01</v>
          </cell>
          <cell r="U106">
            <v>12</v>
          </cell>
          <cell r="V106">
            <v>12</v>
          </cell>
          <cell r="W106" t="str">
            <v xml:space="preserve"> 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67500000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1</v>
          </cell>
          <cell r="BO106">
            <v>0</v>
          </cell>
          <cell r="BP106">
            <v>1</v>
          </cell>
          <cell r="BQ106">
            <v>12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2</v>
          </cell>
        </row>
        <row r="107">
          <cell r="A107" t="str">
            <v>992</v>
          </cell>
          <cell r="B107">
            <v>99</v>
          </cell>
          <cell r="C107" t="str">
            <v>992</v>
          </cell>
          <cell r="D107">
            <v>99</v>
          </cell>
          <cell r="E107">
            <v>99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2</v>
          </cell>
          <cell r="Q107">
            <v>2</v>
          </cell>
          <cell r="R107">
            <v>12</v>
          </cell>
          <cell r="S107">
            <v>12</v>
          </cell>
          <cell r="T107" t="str">
            <v>01</v>
          </cell>
          <cell r="U107">
            <v>12</v>
          </cell>
          <cell r="V107">
            <v>12</v>
          </cell>
          <cell r="W107" t="str">
            <v xml:space="preserve"> 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67500000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1</v>
          </cell>
          <cell r="BO107">
            <v>0</v>
          </cell>
          <cell r="BP107">
            <v>1</v>
          </cell>
          <cell r="BQ107">
            <v>12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2</v>
          </cell>
        </row>
        <row r="108">
          <cell r="A108" t="str">
            <v>1002</v>
          </cell>
          <cell r="B108">
            <v>100</v>
          </cell>
          <cell r="C108" t="str">
            <v>1002</v>
          </cell>
          <cell r="D108">
            <v>100</v>
          </cell>
          <cell r="E108">
            <v>100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2</v>
          </cell>
          <cell r="Q108">
            <v>2</v>
          </cell>
          <cell r="R108">
            <v>12</v>
          </cell>
          <cell r="S108">
            <v>12</v>
          </cell>
          <cell r="T108" t="str">
            <v>01</v>
          </cell>
          <cell r="U108">
            <v>12</v>
          </cell>
          <cell r="V108">
            <v>12</v>
          </cell>
          <cell r="W108" t="str">
            <v xml:space="preserve"> 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67500000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1</v>
          </cell>
          <cell r="BO108">
            <v>0</v>
          </cell>
          <cell r="BP108">
            <v>1</v>
          </cell>
          <cell r="BQ108">
            <v>12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2</v>
          </cell>
        </row>
        <row r="109">
          <cell r="A109" t="str">
            <v>1012</v>
          </cell>
          <cell r="B109">
            <v>101</v>
          </cell>
          <cell r="C109" t="str">
            <v>1012</v>
          </cell>
          <cell r="D109">
            <v>101</v>
          </cell>
          <cell r="E109">
            <v>101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2</v>
          </cell>
          <cell r="Q109">
            <v>2</v>
          </cell>
          <cell r="R109">
            <v>12</v>
          </cell>
          <cell r="S109">
            <v>12</v>
          </cell>
          <cell r="T109" t="str">
            <v>01</v>
          </cell>
          <cell r="U109">
            <v>12</v>
          </cell>
          <cell r="V109">
            <v>12</v>
          </cell>
          <cell r="W109" t="str">
            <v xml:space="preserve"> 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67500000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1</v>
          </cell>
          <cell r="BO109">
            <v>0</v>
          </cell>
          <cell r="BP109">
            <v>1</v>
          </cell>
          <cell r="BQ109">
            <v>12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2</v>
          </cell>
        </row>
        <row r="110">
          <cell r="A110" t="str">
            <v>1022</v>
          </cell>
          <cell r="B110">
            <v>102</v>
          </cell>
          <cell r="C110" t="str">
            <v>1022</v>
          </cell>
          <cell r="D110">
            <v>102</v>
          </cell>
          <cell r="E110">
            <v>102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2</v>
          </cell>
          <cell r="Q110">
            <v>2</v>
          </cell>
          <cell r="R110">
            <v>12</v>
          </cell>
          <cell r="S110">
            <v>12</v>
          </cell>
          <cell r="T110" t="str">
            <v>01</v>
          </cell>
          <cell r="U110">
            <v>12</v>
          </cell>
          <cell r="V110">
            <v>12</v>
          </cell>
          <cell r="W110" t="str">
            <v xml:space="preserve"> 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67500000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1</v>
          </cell>
          <cell r="BO110">
            <v>0</v>
          </cell>
          <cell r="BP110">
            <v>1</v>
          </cell>
          <cell r="BQ110">
            <v>12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2</v>
          </cell>
        </row>
        <row r="111">
          <cell r="A111" t="str">
            <v>1032</v>
          </cell>
          <cell r="B111">
            <v>103</v>
          </cell>
          <cell r="C111" t="str">
            <v>1032</v>
          </cell>
          <cell r="D111">
            <v>103</v>
          </cell>
          <cell r="E111">
            <v>103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2</v>
          </cell>
          <cell r="Q111">
            <v>2</v>
          </cell>
          <cell r="R111">
            <v>12</v>
          </cell>
          <cell r="S111">
            <v>12</v>
          </cell>
          <cell r="T111" t="str">
            <v>01</v>
          </cell>
          <cell r="U111">
            <v>12</v>
          </cell>
          <cell r="V111">
            <v>12</v>
          </cell>
          <cell r="W111" t="str">
            <v xml:space="preserve"> 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67500000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1</v>
          </cell>
          <cell r="BO111">
            <v>0</v>
          </cell>
          <cell r="BP111">
            <v>1</v>
          </cell>
          <cell r="BQ111">
            <v>12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2</v>
          </cell>
        </row>
        <row r="112">
          <cell r="A112" t="str">
            <v>1042</v>
          </cell>
          <cell r="B112">
            <v>104</v>
          </cell>
          <cell r="C112" t="str">
            <v>1042</v>
          </cell>
          <cell r="D112">
            <v>104</v>
          </cell>
          <cell r="E112">
            <v>104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2</v>
          </cell>
          <cell r="Q112">
            <v>2</v>
          </cell>
          <cell r="R112">
            <v>12</v>
          </cell>
          <cell r="S112">
            <v>12</v>
          </cell>
          <cell r="T112" t="str">
            <v>01</v>
          </cell>
          <cell r="U112">
            <v>12</v>
          </cell>
          <cell r="V112">
            <v>12</v>
          </cell>
          <cell r="W112" t="str">
            <v xml:space="preserve"> 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67500000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1</v>
          </cell>
          <cell r="BO112">
            <v>0</v>
          </cell>
          <cell r="BP112">
            <v>1</v>
          </cell>
          <cell r="BQ112">
            <v>12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2</v>
          </cell>
        </row>
        <row r="113">
          <cell r="A113" t="str">
            <v>1052</v>
          </cell>
          <cell r="B113">
            <v>105</v>
          </cell>
          <cell r="C113" t="str">
            <v>1052</v>
          </cell>
          <cell r="D113">
            <v>105</v>
          </cell>
          <cell r="E113">
            <v>105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2</v>
          </cell>
          <cell r="Q113">
            <v>2</v>
          </cell>
          <cell r="R113">
            <v>12</v>
          </cell>
          <cell r="S113">
            <v>12</v>
          </cell>
          <cell r="T113" t="str">
            <v>01</v>
          </cell>
          <cell r="U113">
            <v>12</v>
          </cell>
          <cell r="V113">
            <v>12</v>
          </cell>
          <cell r="W113" t="str">
            <v xml:space="preserve"> 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67500000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1</v>
          </cell>
          <cell r="BO113">
            <v>0</v>
          </cell>
          <cell r="BP113">
            <v>1</v>
          </cell>
          <cell r="BQ113">
            <v>12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2</v>
          </cell>
        </row>
        <row r="114">
          <cell r="A114" t="str">
            <v>1062</v>
          </cell>
          <cell r="B114">
            <v>106</v>
          </cell>
          <cell r="C114" t="str">
            <v>1062</v>
          </cell>
          <cell r="D114">
            <v>106</v>
          </cell>
          <cell r="E114">
            <v>106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2</v>
          </cell>
          <cell r="Q114">
            <v>2</v>
          </cell>
          <cell r="R114">
            <v>12</v>
          </cell>
          <cell r="S114">
            <v>12</v>
          </cell>
          <cell r="T114" t="str">
            <v>01</v>
          </cell>
          <cell r="U114">
            <v>12</v>
          </cell>
          <cell r="V114">
            <v>12</v>
          </cell>
          <cell r="W114" t="str">
            <v xml:space="preserve"> 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67500000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1</v>
          </cell>
          <cell r="BO114">
            <v>0</v>
          </cell>
          <cell r="BP114">
            <v>1</v>
          </cell>
          <cell r="BQ114">
            <v>12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2</v>
          </cell>
        </row>
        <row r="115">
          <cell r="A115" t="str">
            <v>1072</v>
          </cell>
          <cell r="B115">
            <v>107</v>
          </cell>
          <cell r="C115" t="str">
            <v>1072</v>
          </cell>
          <cell r="D115">
            <v>107</v>
          </cell>
          <cell r="E115">
            <v>107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2</v>
          </cell>
          <cell r="Q115">
            <v>2</v>
          </cell>
          <cell r="R115">
            <v>12</v>
          </cell>
          <cell r="S115">
            <v>12</v>
          </cell>
          <cell r="T115" t="str">
            <v>01</v>
          </cell>
          <cell r="U115">
            <v>12</v>
          </cell>
          <cell r="V115">
            <v>12</v>
          </cell>
          <cell r="W115" t="str">
            <v xml:space="preserve"> 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67500000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1</v>
          </cell>
          <cell r="BO115">
            <v>0</v>
          </cell>
          <cell r="BP115">
            <v>1</v>
          </cell>
          <cell r="BQ115">
            <v>12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2</v>
          </cell>
        </row>
        <row r="116">
          <cell r="A116" t="str">
            <v>1082</v>
          </cell>
          <cell r="B116">
            <v>108</v>
          </cell>
          <cell r="C116" t="str">
            <v>1082</v>
          </cell>
          <cell r="D116">
            <v>108</v>
          </cell>
          <cell r="E116">
            <v>108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2</v>
          </cell>
          <cell r="Q116">
            <v>2</v>
          </cell>
          <cell r="R116">
            <v>12</v>
          </cell>
          <cell r="S116">
            <v>12</v>
          </cell>
          <cell r="T116" t="str">
            <v>01</v>
          </cell>
          <cell r="U116">
            <v>12</v>
          </cell>
          <cell r="V116">
            <v>12</v>
          </cell>
          <cell r="W116" t="str">
            <v xml:space="preserve"> 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67500000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1</v>
          </cell>
          <cell r="BO116">
            <v>0</v>
          </cell>
          <cell r="BP116">
            <v>1</v>
          </cell>
          <cell r="BQ116">
            <v>12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2</v>
          </cell>
        </row>
        <row r="117">
          <cell r="A117" t="str">
            <v>1092</v>
          </cell>
          <cell r="B117">
            <v>109</v>
          </cell>
          <cell r="C117" t="str">
            <v>1092</v>
          </cell>
          <cell r="D117">
            <v>109</v>
          </cell>
          <cell r="E117">
            <v>109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2</v>
          </cell>
          <cell r="Q117">
            <v>2</v>
          </cell>
          <cell r="R117">
            <v>12</v>
          </cell>
          <cell r="S117">
            <v>12</v>
          </cell>
          <cell r="T117" t="str">
            <v>01</v>
          </cell>
          <cell r="U117">
            <v>12</v>
          </cell>
          <cell r="V117">
            <v>12</v>
          </cell>
          <cell r="W117" t="str">
            <v xml:space="preserve"> 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67500000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1</v>
          </cell>
          <cell r="BO117">
            <v>0</v>
          </cell>
          <cell r="BP117">
            <v>1</v>
          </cell>
          <cell r="BQ117">
            <v>12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2</v>
          </cell>
        </row>
        <row r="118">
          <cell r="A118" t="str">
            <v>1102</v>
          </cell>
          <cell r="B118">
            <v>110</v>
          </cell>
          <cell r="C118" t="str">
            <v>1102</v>
          </cell>
          <cell r="D118">
            <v>110</v>
          </cell>
          <cell r="E118">
            <v>110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2</v>
          </cell>
          <cell r="Q118">
            <v>2</v>
          </cell>
          <cell r="R118">
            <v>12</v>
          </cell>
          <cell r="S118">
            <v>12</v>
          </cell>
          <cell r="T118" t="str">
            <v>01</v>
          </cell>
          <cell r="U118">
            <v>12</v>
          </cell>
          <cell r="V118">
            <v>12</v>
          </cell>
          <cell r="W118" t="str">
            <v xml:space="preserve"> 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67500000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1</v>
          </cell>
          <cell r="BO118">
            <v>0</v>
          </cell>
          <cell r="BP118">
            <v>1</v>
          </cell>
          <cell r="BQ118">
            <v>12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2</v>
          </cell>
        </row>
        <row r="119">
          <cell r="A119" t="str">
            <v>1112</v>
          </cell>
          <cell r="B119">
            <v>111</v>
          </cell>
          <cell r="C119" t="str">
            <v>1112</v>
          </cell>
          <cell r="D119">
            <v>111</v>
          </cell>
          <cell r="E119">
            <v>111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2</v>
          </cell>
          <cell r="Q119">
            <v>2</v>
          </cell>
          <cell r="R119">
            <v>12</v>
          </cell>
          <cell r="S119">
            <v>12</v>
          </cell>
          <cell r="T119" t="str">
            <v>01</v>
          </cell>
          <cell r="U119">
            <v>12</v>
          </cell>
          <cell r="V119">
            <v>12</v>
          </cell>
          <cell r="W119" t="str">
            <v xml:space="preserve"> 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67500000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1</v>
          </cell>
          <cell r="BO119">
            <v>0</v>
          </cell>
          <cell r="BP119">
            <v>1</v>
          </cell>
          <cell r="BQ119">
            <v>12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2</v>
          </cell>
        </row>
        <row r="120">
          <cell r="A120" t="str">
            <v>1122</v>
          </cell>
          <cell r="B120">
            <v>112</v>
          </cell>
          <cell r="C120" t="str">
            <v>1122</v>
          </cell>
          <cell r="D120">
            <v>112</v>
          </cell>
          <cell r="E120">
            <v>112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2</v>
          </cell>
          <cell r="Q120">
            <v>2</v>
          </cell>
          <cell r="R120">
            <v>12</v>
          </cell>
          <cell r="S120">
            <v>12</v>
          </cell>
          <cell r="T120" t="str">
            <v>01</v>
          </cell>
          <cell r="U120">
            <v>12</v>
          </cell>
          <cell r="V120">
            <v>12</v>
          </cell>
          <cell r="W120" t="str">
            <v xml:space="preserve"> 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67500000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1</v>
          </cell>
          <cell r="BO120">
            <v>0</v>
          </cell>
          <cell r="BP120">
            <v>1</v>
          </cell>
          <cell r="BQ120">
            <v>12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2</v>
          </cell>
        </row>
        <row r="121">
          <cell r="A121" t="str">
            <v>1132</v>
          </cell>
          <cell r="B121">
            <v>113</v>
          </cell>
          <cell r="C121" t="str">
            <v>1132</v>
          </cell>
          <cell r="D121">
            <v>113</v>
          </cell>
          <cell r="E121">
            <v>113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2</v>
          </cell>
          <cell r="Q121">
            <v>2</v>
          </cell>
          <cell r="R121">
            <v>12</v>
          </cell>
          <cell r="S121">
            <v>12</v>
          </cell>
          <cell r="T121" t="str">
            <v>01</v>
          </cell>
          <cell r="U121">
            <v>12</v>
          </cell>
          <cell r="V121">
            <v>12</v>
          </cell>
          <cell r="W121" t="str">
            <v xml:space="preserve"> 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67500000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1</v>
          </cell>
          <cell r="BO121">
            <v>0</v>
          </cell>
          <cell r="BP121">
            <v>1</v>
          </cell>
          <cell r="BQ121">
            <v>12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  <cell r="BZ121">
            <v>2</v>
          </cell>
        </row>
        <row r="122">
          <cell r="A122" t="str">
            <v>1142</v>
          </cell>
          <cell r="B122">
            <v>114</v>
          </cell>
          <cell r="C122" t="str">
            <v>1142</v>
          </cell>
          <cell r="D122">
            <v>114</v>
          </cell>
          <cell r="E122">
            <v>114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2</v>
          </cell>
          <cell r="Q122">
            <v>2</v>
          </cell>
          <cell r="R122">
            <v>12</v>
          </cell>
          <cell r="S122">
            <v>12</v>
          </cell>
          <cell r="T122" t="str">
            <v>01</v>
          </cell>
          <cell r="U122">
            <v>12</v>
          </cell>
          <cell r="V122">
            <v>12</v>
          </cell>
          <cell r="W122" t="str">
            <v xml:space="preserve"> 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67500000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1</v>
          </cell>
          <cell r="BO122">
            <v>0</v>
          </cell>
          <cell r="BP122">
            <v>1</v>
          </cell>
          <cell r="BQ122">
            <v>12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2</v>
          </cell>
        </row>
        <row r="123">
          <cell r="A123" t="str">
            <v>1152</v>
          </cell>
          <cell r="B123">
            <v>115</v>
          </cell>
          <cell r="C123" t="str">
            <v>1152</v>
          </cell>
          <cell r="D123">
            <v>115</v>
          </cell>
          <cell r="E123">
            <v>115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2</v>
          </cell>
          <cell r="Q123">
            <v>2</v>
          </cell>
          <cell r="R123">
            <v>12</v>
          </cell>
          <cell r="S123">
            <v>12</v>
          </cell>
          <cell r="T123" t="str">
            <v>01</v>
          </cell>
          <cell r="U123">
            <v>12</v>
          </cell>
          <cell r="V123">
            <v>12</v>
          </cell>
          <cell r="W123" t="str">
            <v xml:space="preserve"> 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67500000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1</v>
          </cell>
          <cell r="BO123">
            <v>0</v>
          </cell>
          <cell r="BP123">
            <v>1</v>
          </cell>
          <cell r="BQ123">
            <v>12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2</v>
          </cell>
        </row>
        <row r="124">
          <cell r="A124" t="str">
            <v>1162</v>
          </cell>
          <cell r="B124">
            <v>116</v>
          </cell>
          <cell r="C124" t="str">
            <v>1162</v>
          </cell>
          <cell r="D124">
            <v>116</v>
          </cell>
          <cell r="E124">
            <v>116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2</v>
          </cell>
          <cell r="Q124">
            <v>2</v>
          </cell>
          <cell r="R124">
            <v>12</v>
          </cell>
          <cell r="S124">
            <v>12</v>
          </cell>
          <cell r="T124" t="str">
            <v>01</v>
          </cell>
          <cell r="U124">
            <v>12</v>
          </cell>
          <cell r="V124">
            <v>12</v>
          </cell>
          <cell r="W124" t="str">
            <v xml:space="preserve"> 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67500000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1</v>
          </cell>
          <cell r="BO124">
            <v>0</v>
          </cell>
          <cell r="BP124">
            <v>1</v>
          </cell>
          <cell r="BQ124">
            <v>12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2</v>
          </cell>
        </row>
        <row r="125">
          <cell r="A125" t="str">
            <v>1172</v>
          </cell>
          <cell r="B125">
            <v>117</v>
          </cell>
          <cell r="C125" t="str">
            <v>1172</v>
          </cell>
          <cell r="D125">
            <v>117</v>
          </cell>
          <cell r="E125">
            <v>117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2</v>
          </cell>
          <cell r="Q125">
            <v>2</v>
          </cell>
          <cell r="R125">
            <v>12</v>
          </cell>
          <cell r="S125">
            <v>12</v>
          </cell>
          <cell r="T125" t="str">
            <v>01</v>
          </cell>
          <cell r="U125">
            <v>12</v>
          </cell>
          <cell r="V125">
            <v>12</v>
          </cell>
          <cell r="W125" t="str">
            <v xml:space="preserve"> 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67500000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1</v>
          </cell>
          <cell r="BO125">
            <v>0</v>
          </cell>
          <cell r="BP125">
            <v>1</v>
          </cell>
          <cell r="BQ125">
            <v>12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2</v>
          </cell>
        </row>
        <row r="126">
          <cell r="A126" t="str">
            <v>1182</v>
          </cell>
          <cell r="B126">
            <v>118</v>
          </cell>
          <cell r="C126" t="str">
            <v>1182</v>
          </cell>
          <cell r="D126">
            <v>118</v>
          </cell>
          <cell r="E126">
            <v>118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2</v>
          </cell>
          <cell r="Q126">
            <v>2</v>
          </cell>
          <cell r="R126">
            <v>12</v>
          </cell>
          <cell r="S126">
            <v>12</v>
          </cell>
          <cell r="T126" t="str">
            <v>01</v>
          </cell>
          <cell r="U126">
            <v>12</v>
          </cell>
          <cell r="V126">
            <v>12</v>
          </cell>
          <cell r="W126" t="str">
            <v xml:space="preserve"> 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67500000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1</v>
          </cell>
          <cell r="BO126">
            <v>0</v>
          </cell>
          <cell r="BP126">
            <v>1</v>
          </cell>
          <cell r="BQ126">
            <v>12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2</v>
          </cell>
        </row>
        <row r="127">
          <cell r="A127" t="str">
            <v>1192</v>
          </cell>
          <cell r="B127">
            <v>119</v>
          </cell>
          <cell r="C127" t="str">
            <v>1192</v>
          </cell>
          <cell r="D127">
            <v>119</v>
          </cell>
          <cell r="E127">
            <v>119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2</v>
          </cell>
          <cell r="Q127">
            <v>2</v>
          </cell>
          <cell r="R127">
            <v>12</v>
          </cell>
          <cell r="S127">
            <v>12</v>
          </cell>
          <cell r="T127" t="str">
            <v>01</v>
          </cell>
          <cell r="U127">
            <v>12</v>
          </cell>
          <cell r="V127">
            <v>12</v>
          </cell>
          <cell r="W127" t="str">
            <v xml:space="preserve"> 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67500000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1</v>
          </cell>
          <cell r="BO127">
            <v>0</v>
          </cell>
          <cell r="BP127">
            <v>1</v>
          </cell>
          <cell r="BQ127">
            <v>12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2</v>
          </cell>
        </row>
        <row r="128">
          <cell r="A128" t="str">
            <v>1202</v>
          </cell>
          <cell r="B128">
            <v>120</v>
          </cell>
          <cell r="C128" t="str">
            <v>1202</v>
          </cell>
          <cell r="D128">
            <v>120</v>
          </cell>
          <cell r="E128">
            <v>120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2</v>
          </cell>
          <cell r="Q128">
            <v>2</v>
          </cell>
          <cell r="R128">
            <v>12</v>
          </cell>
          <cell r="S128">
            <v>12</v>
          </cell>
          <cell r="T128" t="str">
            <v>01</v>
          </cell>
          <cell r="U128">
            <v>12</v>
          </cell>
          <cell r="V128">
            <v>12</v>
          </cell>
          <cell r="W128" t="str">
            <v xml:space="preserve"> 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67500000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1</v>
          </cell>
          <cell r="BO128">
            <v>0</v>
          </cell>
          <cell r="BP128">
            <v>1</v>
          </cell>
          <cell r="BQ128">
            <v>12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2</v>
          </cell>
        </row>
        <row r="129">
          <cell r="A129" t="str">
            <v>1212</v>
          </cell>
          <cell r="B129">
            <v>121</v>
          </cell>
          <cell r="C129" t="str">
            <v>1212</v>
          </cell>
          <cell r="D129">
            <v>121</v>
          </cell>
          <cell r="E129">
            <v>121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2</v>
          </cell>
          <cell r="Q129">
            <v>2</v>
          </cell>
          <cell r="R129">
            <v>12</v>
          </cell>
          <cell r="S129">
            <v>12</v>
          </cell>
          <cell r="T129" t="str">
            <v>01</v>
          </cell>
          <cell r="U129">
            <v>12</v>
          </cell>
          <cell r="V129">
            <v>12</v>
          </cell>
          <cell r="W129" t="str">
            <v xml:space="preserve"> 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67500000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1</v>
          </cell>
          <cell r="BO129">
            <v>0</v>
          </cell>
          <cell r="BP129">
            <v>1</v>
          </cell>
          <cell r="BQ129">
            <v>12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2</v>
          </cell>
        </row>
        <row r="130">
          <cell r="A130" t="str">
            <v>1222</v>
          </cell>
          <cell r="B130">
            <v>122</v>
          </cell>
          <cell r="C130" t="str">
            <v>1222</v>
          </cell>
          <cell r="D130">
            <v>122</v>
          </cell>
          <cell r="E130">
            <v>122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2</v>
          </cell>
          <cell r="Q130">
            <v>2</v>
          </cell>
          <cell r="R130">
            <v>12</v>
          </cell>
          <cell r="S130">
            <v>12</v>
          </cell>
          <cell r="T130" t="str">
            <v>01</v>
          </cell>
          <cell r="U130">
            <v>12</v>
          </cell>
          <cell r="V130">
            <v>12</v>
          </cell>
          <cell r="W130" t="str">
            <v xml:space="preserve"> 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67500000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1</v>
          </cell>
          <cell r="BO130">
            <v>0</v>
          </cell>
          <cell r="BP130">
            <v>1</v>
          </cell>
          <cell r="BQ130">
            <v>12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2</v>
          </cell>
        </row>
        <row r="131">
          <cell r="A131" t="str">
            <v>1232</v>
          </cell>
          <cell r="B131">
            <v>123</v>
          </cell>
          <cell r="C131" t="str">
            <v>1232</v>
          </cell>
          <cell r="D131">
            <v>123</v>
          </cell>
          <cell r="E131">
            <v>123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2</v>
          </cell>
          <cell r="Q131">
            <v>2</v>
          </cell>
          <cell r="R131">
            <v>12</v>
          </cell>
          <cell r="S131">
            <v>12</v>
          </cell>
          <cell r="T131" t="str">
            <v>01</v>
          </cell>
          <cell r="U131">
            <v>12</v>
          </cell>
          <cell r="V131">
            <v>12</v>
          </cell>
          <cell r="W131" t="str">
            <v xml:space="preserve"> 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67500000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1</v>
          </cell>
          <cell r="BO131">
            <v>0</v>
          </cell>
          <cell r="BP131">
            <v>1</v>
          </cell>
          <cell r="BQ131">
            <v>12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2</v>
          </cell>
        </row>
        <row r="132">
          <cell r="A132" t="str">
            <v>1242</v>
          </cell>
          <cell r="B132">
            <v>124</v>
          </cell>
          <cell r="C132" t="str">
            <v>1242</v>
          </cell>
          <cell r="D132">
            <v>124</v>
          </cell>
          <cell r="E132">
            <v>124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2</v>
          </cell>
          <cell r="Q132">
            <v>2</v>
          </cell>
          <cell r="R132">
            <v>12</v>
          </cell>
          <cell r="S132">
            <v>12</v>
          </cell>
          <cell r="T132" t="str">
            <v>01</v>
          </cell>
          <cell r="U132">
            <v>12</v>
          </cell>
          <cell r="V132">
            <v>12</v>
          </cell>
          <cell r="W132" t="str">
            <v xml:space="preserve"> 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67500000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1</v>
          </cell>
          <cell r="BO132">
            <v>0</v>
          </cell>
          <cell r="BP132">
            <v>1</v>
          </cell>
          <cell r="BQ132">
            <v>12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2</v>
          </cell>
        </row>
        <row r="133">
          <cell r="A133" t="str">
            <v>1252</v>
          </cell>
          <cell r="B133">
            <v>125</v>
          </cell>
          <cell r="C133" t="str">
            <v>1252</v>
          </cell>
          <cell r="D133">
            <v>125</v>
          </cell>
          <cell r="E133">
            <v>125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2</v>
          </cell>
          <cell r="Q133">
            <v>2</v>
          </cell>
          <cell r="R133">
            <v>12</v>
          </cell>
          <cell r="S133">
            <v>12</v>
          </cell>
          <cell r="T133" t="str">
            <v>01</v>
          </cell>
          <cell r="U133">
            <v>12</v>
          </cell>
          <cell r="V133">
            <v>12</v>
          </cell>
          <cell r="W133" t="str">
            <v xml:space="preserve"> 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67500000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1</v>
          </cell>
          <cell r="BO133">
            <v>0</v>
          </cell>
          <cell r="BP133">
            <v>1</v>
          </cell>
          <cell r="BQ133">
            <v>12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2</v>
          </cell>
        </row>
        <row r="134">
          <cell r="A134" t="str">
            <v>1262</v>
          </cell>
          <cell r="B134">
            <v>126</v>
          </cell>
          <cell r="C134" t="str">
            <v>1262</v>
          </cell>
          <cell r="D134">
            <v>126</v>
          </cell>
          <cell r="E134">
            <v>126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2</v>
          </cell>
          <cell r="Q134">
            <v>2</v>
          </cell>
          <cell r="R134">
            <v>12</v>
          </cell>
          <cell r="S134">
            <v>12</v>
          </cell>
          <cell r="T134" t="str">
            <v>01</v>
          </cell>
          <cell r="U134">
            <v>12</v>
          </cell>
          <cell r="V134">
            <v>12</v>
          </cell>
          <cell r="W134" t="str">
            <v xml:space="preserve"> 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67500000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1</v>
          </cell>
          <cell r="BO134">
            <v>0</v>
          </cell>
          <cell r="BP134">
            <v>1</v>
          </cell>
          <cell r="BQ134">
            <v>12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2</v>
          </cell>
        </row>
        <row r="135">
          <cell r="A135" t="str">
            <v>1272</v>
          </cell>
          <cell r="B135">
            <v>127</v>
          </cell>
          <cell r="C135" t="str">
            <v>1272</v>
          </cell>
          <cell r="D135">
            <v>127</v>
          </cell>
          <cell r="E135">
            <v>127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2</v>
          </cell>
          <cell r="Q135">
            <v>2</v>
          </cell>
          <cell r="R135">
            <v>12</v>
          </cell>
          <cell r="S135">
            <v>12</v>
          </cell>
          <cell r="T135" t="str">
            <v>01</v>
          </cell>
          <cell r="U135">
            <v>12</v>
          </cell>
          <cell r="V135">
            <v>12</v>
          </cell>
          <cell r="W135" t="str">
            <v xml:space="preserve"> 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67500000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1</v>
          </cell>
          <cell r="BO135">
            <v>0</v>
          </cell>
          <cell r="BP135">
            <v>1</v>
          </cell>
          <cell r="BQ135">
            <v>12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2</v>
          </cell>
        </row>
        <row r="136">
          <cell r="A136" t="str">
            <v>1282</v>
          </cell>
          <cell r="B136">
            <v>128</v>
          </cell>
          <cell r="C136" t="str">
            <v>1282</v>
          </cell>
          <cell r="D136">
            <v>128</v>
          </cell>
          <cell r="E136">
            <v>128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2</v>
          </cell>
          <cell r="Q136">
            <v>2</v>
          </cell>
          <cell r="R136">
            <v>12</v>
          </cell>
          <cell r="S136">
            <v>12</v>
          </cell>
          <cell r="T136" t="str">
            <v>01</v>
          </cell>
          <cell r="U136">
            <v>12</v>
          </cell>
          <cell r="V136">
            <v>12</v>
          </cell>
          <cell r="W136" t="str">
            <v xml:space="preserve"> 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67500000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1</v>
          </cell>
          <cell r="BO136">
            <v>0</v>
          </cell>
          <cell r="BP136">
            <v>1</v>
          </cell>
          <cell r="BQ136">
            <v>12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2</v>
          </cell>
        </row>
        <row r="137">
          <cell r="A137" t="str">
            <v>1292</v>
          </cell>
          <cell r="B137">
            <v>129</v>
          </cell>
          <cell r="C137" t="str">
            <v>1292</v>
          </cell>
          <cell r="D137">
            <v>129</v>
          </cell>
          <cell r="E137">
            <v>129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2</v>
          </cell>
          <cell r="Q137">
            <v>2</v>
          </cell>
          <cell r="R137">
            <v>12</v>
          </cell>
          <cell r="S137">
            <v>12</v>
          </cell>
          <cell r="T137" t="str">
            <v>01</v>
          </cell>
          <cell r="U137">
            <v>12</v>
          </cell>
          <cell r="V137">
            <v>12</v>
          </cell>
          <cell r="W137" t="str">
            <v xml:space="preserve"> 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67500000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1</v>
          </cell>
          <cell r="BO137">
            <v>0</v>
          </cell>
          <cell r="BP137">
            <v>1</v>
          </cell>
          <cell r="BQ137">
            <v>12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2</v>
          </cell>
        </row>
        <row r="138">
          <cell r="A138" t="str">
            <v>1302</v>
          </cell>
          <cell r="B138">
            <v>130</v>
          </cell>
          <cell r="C138" t="str">
            <v>1302</v>
          </cell>
          <cell r="D138">
            <v>130</v>
          </cell>
          <cell r="E138">
            <v>130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2</v>
          </cell>
          <cell r="Q138">
            <v>2</v>
          </cell>
          <cell r="R138">
            <v>12</v>
          </cell>
          <cell r="S138">
            <v>12</v>
          </cell>
          <cell r="T138" t="str">
            <v>01</v>
          </cell>
          <cell r="U138">
            <v>12</v>
          </cell>
          <cell r="V138">
            <v>12</v>
          </cell>
          <cell r="W138" t="str">
            <v xml:space="preserve"> 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67500000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1</v>
          </cell>
          <cell r="BO138">
            <v>0</v>
          </cell>
          <cell r="BP138">
            <v>1</v>
          </cell>
          <cell r="BQ138">
            <v>12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2</v>
          </cell>
        </row>
        <row r="139">
          <cell r="A139" t="str">
            <v>1312</v>
          </cell>
          <cell r="B139">
            <v>131</v>
          </cell>
          <cell r="C139" t="str">
            <v>1312</v>
          </cell>
          <cell r="D139">
            <v>131</v>
          </cell>
          <cell r="E139">
            <v>131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2</v>
          </cell>
          <cell r="Q139">
            <v>2</v>
          </cell>
          <cell r="R139">
            <v>12</v>
          </cell>
          <cell r="S139">
            <v>12</v>
          </cell>
          <cell r="T139" t="str">
            <v>01</v>
          </cell>
          <cell r="U139">
            <v>12</v>
          </cell>
          <cell r="V139">
            <v>12</v>
          </cell>
          <cell r="W139" t="str">
            <v xml:space="preserve"> 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67500000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1</v>
          </cell>
          <cell r="BO139">
            <v>0</v>
          </cell>
          <cell r="BP139">
            <v>1</v>
          </cell>
          <cell r="BQ139">
            <v>12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2</v>
          </cell>
        </row>
        <row r="140">
          <cell r="A140" t="str">
            <v>1322</v>
          </cell>
          <cell r="B140">
            <v>132</v>
          </cell>
          <cell r="C140" t="str">
            <v>1322</v>
          </cell>
          <cell r="D140">
            <v>132</v>
          </cell>
          <cell r="E140">
            <v>132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2</v>
          </cell>
          <cell r="Q140">
            <v>2</v>
          </cell>
          <cell r="R140">
            <v>12</v>
          </cell>
          <cell r="S140">
            <v>12</v>
          </cell>
          <cell r="T140" t="str">
            <v>01</v>
          </cell>
          <cell r="U140">
            <v>12</v>
          </cell>
          <cell r="V140">
            <v>12</v>
          </cell>
          <cell r="W140" t="str">
            <v xml:space="preserve"> 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67500000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1</v>
          </cell>
          <cell r="BO140">
            <v>0</v>
          </cell>
          <cell r="BP140">
            <v>1</v>
          </cell>
          <cell r="BQ140">
            <v>12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2</v>
          </cell>
        </row>
        <row r="141">
          <cell r="A141" t="str">
            <v>1332</v>
          </cell>
          <cell r="B141">
            <v>133</v>
          </cell>
          <cell r="C141" t="str">
            <v>1332</v>
          </cell>
          <cell r="D141">
            <v>133</v>
          </cell>
          <cell r="E141">
            <v>133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2</v>
          </cell>
          <cell r="Q141">
            <v>2</v>
          </cell>
          <cell r="R141">
            <v>12</v>
          </cell>
          <cell r="S141">
            <v>12</v>
          </cell>
          <cell r="T141" t="str">
            <v>01</v>
          </cell>
          <cell r="U141">
            <v>12</v>
          </cell>
          <cell r="V141">
            <v>12</v>
          </cell>
          <cell r="W141" t="str">
            <v xml:space="preserve"> 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67500000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1</v>
          </cell>
          <cell r="BO141">
            <v>0</v>
          </cell>
          <cell r="BP141">
            <v>1</v>
          </cell>
          <cell r="BQ141">
            <v>12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  <cell r="BZ141">
            <v>2</v>
          </cell>
        </row>
        <row r="142">
          <cell r="A142" t="str">
            <v>1342</v>
          </cell>
          <cell r="B142">
            <v>134</v>
          </cell>
          <cell r="C142" t="str">
            <v>1342</v>
          </cell>
          <cell r="D142">
            <v>134</v>
          </cell>
          <cell r="E142">
            <v>134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2</v>
          </cell>
          <cell r="Q142">
            <v>2</v>
          </cell>
          <cell r="R142">
            <v>12</v>
          </cell>
          <cell r="S142">
            <v>12</v>
          </cell>
          <cell r="T142" t="str">
            <v>01</v>
          </cell>
          <cell r="U142">
            <v>12</v>
          </cell>
          <cell r="V142">
            <v>12</v>
          </cell>
          <cell r="W142" t="str">
            <v xml:space="preserve"> 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67500000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1</v>
          </cell>
          <cell r="BO142">
            <v>0</v>
          </cell>
          <cell r="BP142">
            <v>1</v>
          </cell>
          <cell r="BQ142">
            <v>12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2</v>
          </cell>
        </row>
        <row r="143">
          <cell r="A143" t="str">
            <v>1352</v>
          </cell>
          <cell r="B143">
            <v>135</v>
          </cell>
          <cell r="C143" t="str">
            <v>1352</v>
          </cell>
          <cell r="D143">
            <v>135</v>
          </cell>
          <cell r="E143">
            <v>135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2</v>
          </cell>
          <cell r="Q143">
            <v>2</v>
          </cell>
          <cell r="R143">
            <v>12</v>
          </cell>
          <cell r="S143">
            <v>12</v>
          </cell>
          <cell r="T143" t="str">
            <v>01</v>
          </cell>
          <cell r="U143">
            <v>12</v>
          </cell>
          <cell r="V143">
            <v>12</v>
          </cell>
          <cell r="W143" t="str">
            <v xml:space="preserve"> 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67500000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1</v>
          </cell>
          <cell r="BO143">
            <v>0</v>
          </cell>
          <cell r="BP143">
            <v>1</v>
          </cell>
          <cell r="BQ143">
            <v>12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2</v>
          </cell>
        </row>
        <row r="144">
          <cell r="A144" t="str">
            <v>1362</v>
          </cell>
          <cell r="B144">
            <v>136</v>
          </cell>
          <cell r="C144" t="str">
            <v>1362</v>
          </cell>
          <cell r="D144">
            <v>136</v>
          </cell>
          <cell r="E144">
            <v>136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2</v>
          </cell>
          <cell r="Q144">
            <v>2</v>
          </cell>
          <cell r="R144">
            <v>12</v>
          </cell>
          <cell r="S144">
            <v>12</v>
          </cell>
          <cell r="T144" t="str">
            <v>01</v>
          </cell>
          <cell r="U144">
            <v>12</v>
          </cell>
          <cell r="V144">
            <v>12</v>
          </cell>
          <cell r="W144" t="str">
            <v xml:space="preserve"> 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67500000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1</v>
          </cell>
          <cell r="BO144">
            <v>0</v>
          </cell>
          <cell r="BP144">
            <v>1</v>
          </cell>
          <cell r="BQ144">
            <v>12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2</v>
          </cell>
        </row>
        <row r="145">
          <cell r="A145" t="str">
            <v>1372</v>
          </cell>
          <cell r="B145">
            <v>137</v>
          </cell>
          <cell r="C145" t="str">
            <v>1372</v>
          </cell>
          <cell r="D145">
            <v>137</v>
          </cell>
          <cell r="E145">
            <v>137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2</v>
          </cell>
          <cell r="Q145">
            <v>2</v>
          </cell>
          <cell r="R145">
            <v>12</v>
          </cell>
          <cell r="S145">
            <v>12</v>
          </cell>
          <cell r="T145" t="str">
            <v>01</v>
          </cell>
          <cell r="U145">
            <v>12</v>
          </cell>
          <cell r="V145">
            <v>12</v>
          </cell>
          <cell r="W145" t="str">
            <v xml:space="preserve"> 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67500000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1</v>
          </cell>
          <cell r="BO145">
            <v>0</v>
          </cell>
          <cell r="BP145">
            <v>1</v>
          </cell>
          <cell r="BQ145">
            <v>12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2</v>
          </cell>
        </row>
        <row r="146">
          <cell r="A146" t="str">
            <v>1382</v>
          </cell>
          <cell r="B146">
            <v>138</v>
          </cell>
          <cell r="C146" t="str">
            <v>1382</v>
          </cell>
          <cell r="D146">
            <v>138</v>
          </cell>
          <cell r="E146">
            <v>138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2</v>
          </cell>
          <cell r="Q146">
            <v>2</v>
          </cell>
          <cell r="R146">
            <v>12</v>
          </cell>
          <cell r="S146">
            <v>12</v>
          </cell>
          <cell r="T146" t="str">
            <v>01</v>
          </cell>
          <cell r="U146">
            <v>12</v>
          </cell>
          <cell r="V146">
            <v>12</v>
          </cell>
          <cell r="W146" t="str">
            <v xml:space="preserve"> 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67500000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1</v>
          </cell>
          <cell r="BO146">
            <v>0</v>
          </cell>
          <cell r="BP146">
            <v>1</v>
          </cell>
          <cell r="BQ146">
            <v>12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2</v>
          </cell>
        </row>
        <row r="147">
          <cell r="A147" t="str">
            <v>1392</v>
          </cell>
          <cell r="B147">
            <v>139</v>
          </cell>
          <cell r="C147" t="str">
            <v>1392</v>
          </cell>
          <cell r="D147">
            <v>139</v>
          </cell>
          <cell r="E147">
            <v>139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2</v>
          </cell>
          <cell r="Q147">
            <v>2</v>
          </cell>
          <cell r="R147">
            <v>12</v>
          </cell>
          <cell r="S147">
            <v>12</v>
          </cell>
          <cell r="T147" t="str">
            <v>01</v>
          </cell>
          <cell r="U147">
            <v>12</v>
          </cell>
          <cell r="V147">
            <v>12</v>
          </cell>
          <cell r="W147" t="str">
            <v xml:space="preserve"> 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67500000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1</v>
          </cell>
          <cell r="BO147">
            <v>0</v>
          </cell>
          <cell r="BP147">
            <v>1</v>
          </cell>
          <cell r="BQ147">
            <v>12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2</v>
          </cell>
        </row>
        <row r="148">
          <cell r="A148" t="str">
            <v>1402</v>
          </cell>
          <cell r="B148">
            <v>140</v>
          </cell>
          <cell r="C148" t="str">
            <v>1402</v>
          </cell>
          <cell r="D148">
            <v>140</v>
          </cell>
          <cell r="E148">
            <v>140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2</v>
          </cell>
          <cell r="Q148">
            <v>2</v>
          </cell>
          <cell r="R148">
            <v>12</v>
          </cell>
          <cell r="S148">
            <v>12</v>
          </cell>
          <cell r="T148" t="str">
            <v>01</v>
          </cell>
          <cell r="U148">
            <v>12</v>
          </cell>
          <cell r="V148">
            <v>12</v>
          </cell>
          <cell r="W148" t="str">
            <v xml:space="preserve"> 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67500000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1</v>
          </cell>
          <cell r="BO148">
            <v>0</v>
          </cell>
          <cell r="BP148">
            <v>1</v>
          </cell>
          <cell r="BQ148">
            <v>12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2</v>
          </cell>
        </row>
        <row r="149">
          <cell r="A149" t="str">
            <v>1412</v>
          </cell>
          <cell r="B149">
            <v>141</v>
          </cell>
          <cell r="C149" t="str">
            <v>1412</v>
          </cell>
          <cell r="D149">
            <v>141</v>
          </cell>
          <cell r="E149">
            <v>141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2</v>
          </cell>
          <cell r="Q149">
            <v>2</v>
          </cell>
          <cell r="R149">
            <v>12</v>
          </cell>
          <cell r="S149">
            <v>12</v>
          </cell>
          <cell r="T149" t="str">
            <v>01</v>
          </cell>
          <cell r="U149">
            <v>12</v>
          </cell>
          <cell r="V149">
            <v>12</v>
          </cell>
          <cell r="W149" t="str">
            <v xml:space="preserve"> 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67500000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1</v>
          </cell>
          <cell r="BO149">
            <v>0</v>
          </cell>
          <cell r="BP149">
            <v>1</v>
          </cell>
          <cell r="BQ149">
            <v>12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2</v>
          </cell>
        </row>
        <row r="150">
          <cell r="A150" t="str">
            <v>1422</v>
          </cell>
          <cell r="B150">
            <v>142</v>
          </cell>
          <cell r="C150" t="str">
            <v>1422</v>
          </cell>
          <cell r="D150">
            <v>142</v>
          </cell>
          <cell r="E150">
            <v>142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2</v>
          </cell>
          <cell r="Q150">
            <v>2</v>
          </cell>
          <cell r="R150">
            <v>12</v>
          </cell>
          <cell r="S150">
            <v>12</v>
          </cell>
          <cell r="T150" t="str">
            <v>01</v>
          </cell>
          <cell r="U150">
            <v>12</v>
          </cell>
          <cell r="V150">
            <v>12</v>
          </cell>
          <cell r="W150" t="str">
            <v xml:space="preserve"> 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67500000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1</v>
          </cell>
          <cell r="BO150">
            <v>0</v>
          </cell>
          <cell r="BP150">
            <v>1</v>
          </cell>
          <cell r="BQ150">
            <v>12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2</v>
          </cell>
        </row>
        <row r="151">
          <cell r="A151" t="str">
            <v>1432</v>
          </cell>
          <cell r="B151">
            <v>143</v>
          </cell>
          <cell r="C151" t="str">
            <v>1432</v>
          </cell>
          <cell r="D151">
            <v>143</v>
          </cell>
          <cell r="E151">
            <v>143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2</v>
          </cell>
          <cell r="Q151">
            <v>2</v>
          </cell>
          <cell r="R151">
            <v>12</v>
          </cell>
          <cell r="S151">
            <v>12</v>
          </cell>
          <cell r="T151" t="str">
            <v>01</v>
          </cell>
          <cell r="U151">
            <v>12</v>
          </cell>
          <cell r="V151">
            <v>12</v>
          </cell>
          <cell r="W151" t="str">
            <v xml:space="preserve"> 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67500000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1</v>
          </cell>
          <cell r="BO151">
            <v>0</v>
          </cell>
          <cell r="BP151">
            <v>1</v>
          </cell>
          <cell r="BQ151">
            <v>12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2</v>
          </cell>
        </row>
        <row r="152">
          <cell r="A152" t="str">
            <v>1442</v>
          </cell>
          <cell r="B152">
            <v>144</v>
          </cell>
          <cell r="C152" t="str">
            <v>1442</v>
          </cell>
          <cell r="D152">
            <v>144</v>
          </cell>
          <cell r="E152">
            <v>144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2</v>
          </cell>
          <cell r="Q152">
            <v>2</v>
          </cell>
          <cell r="R152">
            <v>12</v>
          </cell>
          <cell r="S152">
            <v>12</v>
          </cell>
          <cell r="T152" t="str">
            <v>01</v>
          </cell>
          <cell r="U152">
            <v>12</v>
          </cell>
          <cell r="V152">
            <v>12</v>
          </cell>
          <cell r="W152" t="str">
            <v xml:space="preserve"> 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67500000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1</v>
          </cell>
          <cell r="BO152">
            <v>0</v>
          </cell>
          <cell r="BP152">
            <v>1</v>
          </cell>
          <cell r="BQ152">
            <v>12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2</v>
          </cell>
        </row>
        <row r="153">
          <cell r="A153" t="str">
            <v>1452</v>
          </cell>
          <cell r="B153">
            <v>145</v>
          </cell>
          <cell r="C153" t="str">
            <v>1452</v>
          </cell>
          <cell r="D153">
            <v>145</v>
          </cell>
          <cell r="E153">
            <v>145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2</v>
          </cell>
          <cell r="Q153">
            <v>2</v>
          </cell>
          <cell r="R153">
            <v>12</v>
          </cell>
          <cell r="S153">
            <v>12</v>
          </cell>
          <cell r="T153" t="str">
            <v>01</v>
          </cell>
          <cell r="U153">
            <v>12</v>
          </cell>
          <cell r="V153">
            <v>12</v>
          </cell>
          <cell r="W153" t="str">
            <v xml:space="preserve"> 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67500000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1</v>
          </cell>
          <cell r="BO153">
            <v>0</v>
          </cell>
          <cell r="BP153">
            <v>1</v>
          </cell>
          <cell r="BQ153">
            <v>12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2</v>
          </cell>
        </row>
        <row r="154">
          <cell r="A154" t="str">
            <v>1462</v>
          </cell>
          <cell r="B154">
            <v>146</v>
          </cell>
          <cell r="C154" t="str">
            <v>1462</v>
          </cell>
          <cell r="D154">
            <v>146</v>
          </cell>
          <cell r="E154">
            <v>146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2</v>
          </cell>
          <cell r="Q154">
            <v>2</v>
          </cell>
          <cell r="R154">
            <v>12</v>
          </cell>
          <cell r="S154">
            <v>12</v>
          </cell>
          <cell r="T154" t="str">
            <v>01</v>
          </cell>
          <cell r="U154">
            <v>12</v>
          </cell>
          <cell r="V154">
            <v>12</v>
          </cell>
          <cell r="W154" t="str">
            <v xml:space="preserve"> 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67500000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1</v>
          </cell>
          <cell r="BO154">
            <v>0</v>
          </cell>
          <cell r="BP154">
            <v>1</v>
          </cell>
          <cell r="BQ154">
            <v>12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2</v>
          </cell>
        </row>
        <row r="155">
          <cell r="A155" t="str">
            <v>1472</v>
          </cell>
          <cell r="B155">
            <v>147</v>
          </cell>
          <cell r="C155" t="str">
            <v>1472</v>
          </cell>
          <cell r="D155">
            <v>147</v>
          </cell>
          <cell r="E155">
            <v>147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2</v>
          </cell>
          <cell r="Q155">
            <v>2</v>
          </cell>
          <cell r="R155">
            <v>12</v>
          </cell>
          <cell r="S155">
            <v>12</v>
          </cell>
          <cell r="T155" t="str">
            <v>01</v>
          </cell>
          <cell r="U155">
            <v>12</v>
          </cell>
          <cell r="V155">
            <v>12</v>
          </cell>
          <cell r="W155" t="str">
            <v xml:space="preserve"> 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67500000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1</v>
          </cell>
          <cell r="BO155">
            <v>0</v>
          </cell>
          <cell r="BP155">
            <v>1</v>
          </cell>
          <cell r="BQ155">
            <v>12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2</v>
          </cell>
        </row>
        <row r="156">
          <cell r="A156" t="str">
            <v>1482</v>
          </cell>
          <cell r="B156">
            <v>148</v>
          </cell>
          <cell r="C156" t="str">
            <v>1482</v>
          </cell>
          <cell r="D156">
            <v>148</v>
          </cell>
          <cell r="E156">
            <v>148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2</v>
          </cell>
          <cell r="Q156">
            <v>2</v>
          </cell>
          <cell r="R156">
            <v>12</v>
          </cell>
          <cell r="S156">
            <v>12</v>
          </cell>
          <cell r="T156" t="str">
            <v>01</v>
          </cell>
          <cell r="U156">
            <v>12</v>
          </cell>
          <cell r="V156">
            <v>12</v>
          </cell>
          <cell r="W156" t="str">
            <v xml:space="preserve"> 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67500000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1</v>
          </cell>
          <cell r="BO156">
            <v>0</v>
          </cell>
          <cell r="BP156">
            <v>1</v>
          </cell>
          <cell r="BQ156">
            <v>12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2</v>
          </cell>
        </row>
        <row r="157">
          <cell r="A157" t="str">
            <v>1492</v>
          </cell>
          <cell r="B157">
            <v>149</v>
          </cell>
          <cell r="C157" t="str">
            <v>1492</v>
          </cell>
          <cell r="D157">
            <v>149</v>
          </cell>
          <cell r="E157">
            <v>149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2</v>
          </cell>
          <cell r="Q157">
            <v>2</v>
          </cell>
          <cell r="R157">
            <v>12</v>
          </cell>
          <cell r="S157">
            <v>12</v>
          </cell>
          <cell r="T157" t="str">
            <v>01</v>
          </cell>
          <cell r="U157">
            <v>12</v>
          </cell>
          <cell r="V157">
            <v>12</v>
          </cell>
          <cell r="W157" t="str">
            <v xml:space="preserve"> 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67500000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1</v>
          </cell>
          <cell r="BO157">
            <v>0</v>
          </cell>
          <cell r="BP157">
            <v>1</v>
          </cell>
          <cell r="BQ157">
            <v>12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0</v>
          </cell>
          <cell r="BZ157">
            <v>2</v>
          </cell>
        </row>
        <row r="158">
          <cell r="A158" t="str">
            <v>1502</v>
          </cell>
          <cell r="B158">
            <v>150</v>
          </cell>
          <cell r="C158" t="str">
            <v>1502</v>
          </cell>
          <cell r="D158">
            <v>150</v>
          </cell>
          <cell r="E158">
            <v>150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2</v>
          </cell>
          <cell r="Q158">
            <v>2</v>
          </cell>
          <cell r="R158">
            <v>12</v>
          </cell>
          <cell r="S158">
            <v>12</v>
          </cell>
          <cell r="T158" t="str">
            <v>01</v>
          </cell>
          <cell r="U158">
            <v>12</v>
          </cell>
          <cell r="V158">
            <v>12</v>
          </cell>
          <cell r="W158" t="str">
            <v xml:space="preserve"> 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67500000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1</v>
          </cell>
          <cell r="BO158">
            <v>0</v>
          </cell>
          <cell r="BP158">
            <v>1</v>
          </cell>
          <cell r="BQ158">
            <v>12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2</v>
          </cell>
        </row>
        <row r="159">
          <cell r="A159" t="str">
            <v>1512</v>
          </cell>
          <cell r="B159">
            <v>151</v>
          </cell>
          <cell r="C159" t="str">
            <v>1512</v>
          </cell>
          <cell r="D159">
            <v>151</v>
          </cell>
          <cell r="E159">
            <v>151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2</v>
          </cell>
          <cell r="Q159">
            <v>2</v>
          </cell>
          <cell r="R159">
            <v>12</v>
          </cell>
          <cell r="S159">
            <v>12</v>
          </cell>
          <cell r="T159" t="str">
            <v>01</v>
          </cell>
          <cell r="U159">
            <v>12</v>
          </cell>
          <cell r="V159">
            <v>12</v>
          </cell>
          <cell r="W159" t="str">
            <v xml:space="preserve"> 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67500000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1</v>
          </cell>
          <cell r="BO159">
            <v>0</v>
          </cell>
          <cell r="BP159">
            <v>1</v>
          </cell>
          <cell r="BQ159">
            <v>12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2</v>
          </cell>
        </row>
        <row r="160">
          <cell r="A160" t="str">
            <v>1522</v>
          </cell>
          <cell r="B160">
            <v>152</v>
          </cell>
          <cell r="C160" t="str">
            <v>1522</v>
          </cell>
          <cell r="D160">
            <v>152</v>
          </cell>
          <cell r="E160">
            <v>152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2</v>
          </cell>
          <cell r="Q160">
            <v>2</v>
          </cell>
          <cell r="R160">
            <v>12</v>
          </cell>
          <cell r="S160">
            <v>12</v>
          </cell>
          <cell r="T160" t="str">
            <v>01</v>
          </cell>
          <cell r="U160">
            <v>12</v>
          </cell>
          <cell r="V160">
            <v>12</v>
          </cell>
          <cell r="W160" t="str">
            <v xml:space="preserve"> 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67500000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1</v>
          </cell>
          <cell r="BO160">
            <v>0</v>
          </cell>
          <cell r="BP160">
            <v>1</v>
          </cell>
          <cell r="BQ160">
            <v>12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2</v>
          </cell>
        </row>
        <row r="161">
          <cell r="A161" t="str">
            <v>1532</v>
          </cell>
          <cell r="B161">
            <v>153</v>
          </cell>
          <cell r="C161" t="str">
            <v>1532</v>
          </cell>
          <cell r="D161">
            <v>153</v>
          </cell>
          <cell r="E161">
            <v>153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2</v>
          </cell>
          <cell r="Q161">
            <v>2</v>
          </cell>
          <cell r="R161">
            <v>12</v>
          </cell>
          <cell r="S161">
            <v>12</v>
          </cell>
          <cell r="T161" t="str">
            <v>01</v>
          </cell>
          <cell r="U161">
            <v>12</v>
          </cell>
          <cell r="V161">
            <v>12</v>
          </cell>
          <cell r="W161" t="str">
            <v xml:space="preserve"> 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67500000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1</v>
          </cell>
          <cell r="BO161">
            <v>0</v>
          </cell>
          <cell r="BP161">
            <v>1</v>
          </cell>
          <cell r="BQ161">
            <v>12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2</v>
          </cell>
        </row>
        <row r="162">
          <cell r="A162" t="str">
            <v>1542</v>
          </cell>
          <cell r="B162">
            <v>154</v>
          </cell>
          <cell r="C162" t="str">
            <v>1542</v>
          </cell>
          <cell r="D162">
            <v>154</v>
          </cell>
          <cell r="E162">
            <v>154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2</v>
          </cell>
          <cell r="Q162">
            <v>2</v>
          </cell>
          <cell r="R162">
            <v>12</v>
          </cell>
          <cell r="S162">
            <v>12</v>
          </cell>
          <cell r="T162" t="str">
            <v>01</v>
          </cell>
          <cell r="U162">
            <v>12</v>
          </cell>
          <cell r="V162">
            <v>12</v>
          </cell>
          <cell r="W162" t="str">
            <v xml:space="preserve"> 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67500000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1</v>
          </cell>
          <cell r="BO162">
            <v>0</v>
          </cell>
          <cell r="BP162">
            <v>1</v>
          </cell>
          <cell r="BQ162">
            <v>12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2</v>
          </cell>
        </row>
        <row r="163">
          <cell r="A163" t="str">
            <v>1552</v>
          </cell>
          <cell r="B163">
            <v>155</v>
          </cell>
          <cell r="C163" t="str">
            <v>1552</v>
          </cell>
          <cell r="D163">
            <v>155</v>
          </cell>
          <cell r="E163">
            <v>155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2</v>
          </cell>
          <cell r="Q163">
            <v>2</v>
          </cell>
          <cell r="R163">
            <v>12</v>
          </cell>
          <cell r="S163">
            <v>12</v>
          </cell>
          <cell r="T163" t="str">
            <v>01</v>
          </cell>
          <cell r="U163">
            <v>12</v>
          </cell>
          <cell r="V163">
            <v>12</v>
          </cell>
          <cell r="W163" t="str">
            <v xml:space="preserve"> 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67500000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1</v>
          </cell>
          <cell r="BO163">
            <v>0</v>
          </cell>
          <cell r="BP163">
            <v>1</v>
          </cell>
          <cell r="BQ163">
            <v>12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2</v>
          </cell>
        </row>
        <row r="164">
          <cell r="A164" t="str">
            <v>1562</v>
          </cell>
          <cell r="B164">
            <v>156</v>
          </cell>
          <cell r="C164" t="str">
            <v>1562</v>
          </cell>
          <cell r="D164">
            <v>156</v>
          </cell>
          <cell r="E164">
            <v>156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2</v>
          </cell>
          <cell r="Q164">
            <v>2</v>
          </cell>
          <cell r="R164">
            <v>12</v>
          </cell>
          <cell r="S164">
            <v>12</v>
          </cell>
          <cell r="T164" t="str">
            <v>01</v>
          </cell>
          <cell r="U164">
            <v>12</v>
          </cell>
          <cell r="V164">
            <v>12</v>
          </cell>
          <cell r="W164" t="str">
            <v xml:space="preserve"> 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67500000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1</v>
          </cell>
          <cell r="BO164">
            <v>0</v>
          </cell>
          <cell r="BP164">
            <v>1</v>
          </cell>
          <cell r="BQ164">
            <v>12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2</v>
          </cell>
        </row>
        <row r="165">
          <cell r="A165" t="str">
            <v>1572</v>
          </cell>
          <cell r="B165">
            <v>157</v>
          </cell>
          <cell r="C165" t="str">
            <v>1572</v>
          </cell>
          <cell r="D165">
            <v>157</v>
          </cell>
          <cell r="E165">
            <v>157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2</v>
          </cell>
          <cell r="Q165">
            <v>2</v>
          </cell>
          <cell r="R165">
            <v>12</v>
          </cell>
          <cell r="S165">
            <v>12</v>
          </cell>
          <cell r="T165" t="str">
            <v>01</v>
          </cell>
          <cell r="U165">
            <v>12</v>
          </cell>
          <cell r="V165">
            <v>12</v>
          </cell>
          <cell r="W165" t="str">
            <v xml:space="preserve"> 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67500000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1</v>
          </cell>
          <cell r="BO165">
            <v>0</v>
          </cell>
          <cell r="BP165">
            <v>1</v>
          </cell>
          <cell r="BQ165">
            <v>12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2</v>
          </cell>
        </row>
        <row r="166">
          <cell r="A166" t="str">
            <v>1582</v>
          </cell>
          <cell r="B166">
            <v>158</v>
          </cell>
          <cell r="C166" t="str">
            <v>1582</v>
          </cell>
          <cell r="D166">
            <v>158</v>
          </cell>
          <cell r="E166">
            <v>158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2</v>
          </cell>
          <cell r="Q166">
            <v>2</v>
          </cell>
          <cell r="R166">
            <v>12</v>
          </cell>
          <cell r="S166">
            <v>12</v>
          </cell>
          <cell r="T166" t="str">
            <v>01</v>
          </cell>
          <cell r="U166">
            <v>12</v>
          </cell>
          <cell r="V166">
            <v>12</v>
          </cell>
          <cell r="W166" t="str">
            <v xml:space="preserve"> 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67500000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1</v>
          </cell>
          <cell r="BO166">
            <v>0</v>
          </cell>
          <cell r="BP166">
            <v>1</v>
          </cell>
          <cell r="BQ166">
            <v>12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2</v>
          </cell>
        </row>
        <row r="167">
          <cell r="A167" t="str">
            <v>1592</v>
          </cell>
          <cell r="B167">
            <v>159</v>
          </cell>
          <cell r="C167" t="str">
            <v>1592</v>
          </cell>
          <cell r="D167">
            <v>159</v>
          </cell>
          <cell r="E167">
            <v>159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2</v>
          </cell>
          <cell r="Q167">
            <v>2</v>
          </cell>
          <cell r="R167">
            <v>12</v>
          </cell>
          <cell r="S167">
            <v>12</v>
          </cell>
          <cell r="T167" t="str">
            <v>01</v>
          </cell>
          <cell r="U167">
            <v>12</v>
          </cell>
          <cell r="V167">
            <v>12</v>
          </cell>
          <cell r="W167" t="str">
            <v xml:space="preserve"> 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67500000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1</v>
          </cell>
          <cell r="BO167">
            <v>0</v>
          </cell>
          <cell r="BP167">
            <v>1</v>
          </cell>
          <cell r="BQ167">
            <v>12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  <cell r="BZ167">
            <v>2</v>
          </cell>
        </row>
        <row r="168">
          <cell r="A168" t="str">
            <v>1602</v>
          </cell>
          <cell r="B168">
            <v>160</v>
          </cell>
          <cell r="C168" t="str">
            <v>1602</v>
          </cell>
          <cell r="D168">
            <v>160</v>
          </cell>
          <cell r="E168">
            <v>160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2</v>
          </cell>
          <cell r="Q168">
            <v>2</v>
          </cell>
          <cell r="R168">
            <v>12</v>
          </cell>
          <cell r="S168">
            <v>12</v>
          </cell>
          <cell r="T168" t="str">
            <v>01</v>
          </cell>
          <cell r="U168">
            <v>12</v>
          </cell>
          <cell r="V168">
            <v>12</v>
          </cell>
          <cell r="W168" t="str">
            <v xml:space="preserve"> 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67500000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1</v>
          </cell>
          <cell r="BO168">
            <v>0</v>
          </cell>
          <cell r="BP168">
            <v>1</v>
          </cell>
          <cell r="BQ168">
            <v>12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2</v>
          </cell>
        </row>
        <row r="169">
          <cell r="A169" t="str">
            <v>1612</v>
          </cell>
          <cell r="B169">
            <v>161</v>
          </cell>
          <cell r="C169" t="str">
            <v>1612</v>
          </cell>
          <cell r="D169">
            <v>161</v>
          </cell>
          <cell r="E169">
            <v>161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2</v>
          </cell>
          <cell r="Q169">
            <v>2</v>
          </cell>
          <cell r="R169">
            <v>12</v>
          </cell>
          <cell r="S169">
            <v>12</v>
          </cell>
          <cell r="T169" t="str">
            <v>01</v>
          </cell>
          <cell r="U169">
            <v>12</v>
          </cell>
          <cell r="V169">
            <v>12</v>
          </cell>
          <cell r="W169" t="str">
            <v xml:space="preserve"> 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67500000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1</v>
          </cell>
          <cell r="BO169">
            <v>0</v>
          </cell>
          <cell r="BP169">
            <v>1</v>
          </cell>
          <cell r="BQ169">
            <v>12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2</v>
          </cell>
        </row>
        <row r="170">
          <cell r="A170" t="str">
            <v>1622</v>
          </cell>
          <cell r="B170">
            <v>162</v>
          </cell>
          <cell r="C170" t="str">
            <v>1622</v>
          </cell>
          <cell r="D170">
            <v>162</v>
          </cell>
          <cell r="E170">
            <v>162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2</v>
          </cell>
          <cell r="Q170">
            <v>2</v>
          </cell>
          <cell r="R170">
            <v>12</v>
          </cell>
          <cell r="S170">
            <v>12</v>
          </cell>
          <cell r="T170" t="str">
            <v>01</v>
          </cell>
          <cell r="U170">
            <v>12</v>
          </cell>
          <cell r="V170">
            <v>12</v>
          </cell>
          <cell r="W170" t="str">
            <v xml:space="preserve"> 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67500000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1</v>
          </cell>
          <cell r="BO170">
            <v>0</v>
          </cell>
          <cell r="BP170">
            <v>1</v>
          </cell>
          <cell r="BQ170">
            <v>12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2</v>
          </cell>
        </row>
        <row r="171">
          <cell r="A171" t="str">
            <v>1632</v>
          </cell>
          <cell r="B171">
            <v>163</v>
          </cell>
          <cell r="C171" t="str">
            <v>1632</v>
          </cell>
          <cell r="D171">
            <v>163</v>
          </cell>
          <cell r="E171">
            <v>163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2</v>
          </cell>
          <cell r="Q171">
            <v>2</v>
          </cell>
          <cell r="R171">
            <v>12</v>
          </cell>
          <cell r="S171">
            <v>12</v>
          </cell>
          <cell r="T171" t="str">
            <v>01</v>
          </cell>
          <cell r="U171">
            <v>12</v>
          </cell>
          <cell r="V171">
            <v>12</v>
          </cell>
          <cell r="W171" t="str">
            <v xml:space="preserve"> 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67500000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1</v>
          </cell>
          <cell r="BO171">
            <v>0</v>
          </cell>
          <cell r="BP171">
            <v>1</v>
          </cell>
          <cell r="BQ171">
            <v>12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>
            <v>0</v>
          </cell>
          <cell r="BZ171">
            <v>2</v>
          </cell>
        </row>
        <row r="172">
          <cell r="A172" t="str">
            <v>1642</v>
          </cell>
          <cell r="B172">
            <v>164</v>
          </cell>
          <cell r="C172" t="str">
            <v>1642</v>
          </cell>
          <cell r="D172">
            <v>164</v>
          </cell>
          <cell r="E172">
            <v>164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2</v>
          </cell>
          <cell r="Q172">
            <v>2</v>
          </cell>
          <cell r="R172">
            <v>12</v>
          </cell>
          <cell r="S172">
            <v>12</v>
          </cell>
          <cell r="T172" t="str">
            <v>01</v>
          </cell>
          <cell r="U172">
            <v>12</v>
          </cell>
          <cell r="V172">
            <v>12</v>
          </cell>
          <cell r="W172" t="str">
            <v xml:space="preserve"> 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67500000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1</v>
          </cell>
          <cell r="BO172">
            <v>0</v>
          </cell>
          <cell r="BP172">
            <v>1</v>
          </cell>
          <cell r="BQ172">
            <v>12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2</v>
          </cell>
        </row>
        <row r="173">
          <cell r="A173" t="str">
            <v>1652</v>
          </cell>
          <cell r="B173">
            <v>165</v>
          </cell>
          <cell r="C173" t="str">
            <v>1652</v>
          </cell>
          <cell r="D173">
            <v>165</v>
          </cell>
          <cell r="E173">
            <v>165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2</v>
          </cell>
          <cell r="Q173">
            <v>2</v>
          </cell>
          <cell r="R173">
            <v>12</v>
          </cell>
          <cell r="S173">
            <v>12</v>
          </cell>
          <cell r="T173" t="str">
            <v>01</v>
          </cell>
          <cell r="U173">
            <v>12</v>
          </cell>
          <cell r="V173">
            <v>12</v>
          </cell>
          <cell r="W173" t="str">
            <v xml:space="preserve"> 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67500000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1</v>
          </cell>
          <cell r="BO173">
            <v>0</v>
          </cell>
          <cell r="BP173">
            <v>1</v>
          </cell>
          <cell r="BQ173">
            <v>12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2</v>
          </cell>
        </row>
        <row r="174">
          <cell r="A174" t="str">
            <v>1662</v>
          </cell>
          <cell r="B174">
            <v>166</v>
          </cell>
          <cell r="C174" t="str">
            <v>1662</v>
          </cell>
          <cell r="D174">
            <v>166</v>
          </cell>
          <cell r="E174">
            <v>166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2</v>
          </cell>
          <cell r="Q174">
            <v>2</v>
          </cell>
          <cell r="R174">
            <v>12</v>
          </cell>
          <cell r="S174">
            <v>12</v>
          </cell>
          <cell r="T174" t="str">
            <v>01</v>
          </cell>
          <cell r="U174">
            <v>12</v>
          </cell>
          <cell r="V174">
            <v>12</v>
          </cell>
          <cell r="W174" t="str">
            <v xml:space="preserve"> 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67500000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1</v>
          </cell>
          <cell r="BO174">
            <v>0</v>
          </cell>
          <cell r="BP174">
            <v>1</v>
          </cell>
          <cell r="BQ174">
            <v>12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2</v>
          </cell>
        </row>
        <row r="175">
          <cell r="A175" t="str">
            <v>1672</v>
          </cell>
          <cell r="B175">
            <v>167</v>
          </cell>
          <cell r="C175" t="str">
            <v>1672</v>
          </cell>
          <cell r="D175">
            <v>167</v>
          </cell>
          <cell r="E175">
            <v>167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2</v>
          </cell>
          <cell r="Q175">
            <v>2</v>
          </cell>
          <cell r="R175">
            <v>12</v>
          </cell>
          <cell r="S175">
            <v>12</v>
          </cell>
          <cell r="T175" t="str">
            <v>01</v>
          </cell>
          <cell r="U175">
            <v>12</v>
          </cell>
          <cell r="V175">
            <v>12</v>
          </cell>
          <cell r="W175" t="str">
            <v xml:space="preserve"> 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67500000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1</v>
          </cell>
          <cell r="BO175">
            <v>0</v>
          </cell>
          <cell r="BP175">
            <v>1</v>
          </cell>
          <cell r="BQ175">
            <v>12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2</v>
          </cell>
        </row>
        <row r="176">
          <cell r="A176" t="str">
            <v>1682</v>
          </cell>
          <cell r="B176">
            <v>168</v>
          </cell>
          <cell r="C176" t="str">
            <v>1682</v>
          </cell>
          <cell r="D176">
            <v>168</v>
          </cell>
          <cell r="E176">
            <v>168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2</v>
          </cell>
          <cell r="Q176">
            <v>2</v>
          </cell>
          <cell r="R176">
            <v>12</v>
          </cell>
          <cell r="S176">
            <v>12</v>
          </cell>
          <cell r="T176" t="str">
            <v>01</v>
          </cell>
          <cell r="U176">
            <v>12</v>
          </cell>
          <cell r="V176">
            <v>12</v>
          </cell>
          <cell r="W176" t="str">
            <v xml:space="preserve"> 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67500000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1</v>
          </cell>
          <cell r="BO176">
            <v>0</v>
          </cell>
          <cell r="BP176">
            <v>1</v>
          </cell>
          <cell r="BQ176">
            <v>12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2</v>
          </cell>
        </row>
        <row r="177">
          <cell r="A177" t="str">
            <v>1692</v>
          </cell>
          <cell r="B177">
            <v>169</v>
          </cell>
          <cell r="C177" t="str">
            <v>1692</v>
          </cell>
          <cell r="D177">
            <v>169</v>
          </cell>
          <cell r="E177">
            <v>169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2</v>
          </cell>
          <cell r="Q177">
            <v>2</v>
          </cell>
          <cell r="R177">
            <v>12</v>
          </cell>
          <cell r="S177">
            <v>12</v>
          </cell>
          <cell r="T177" t="str">
            <v>01</v>
          </cell>
          <cell r="U177">
            <v>12</v>
          </cell>
          <cell r="V177">
            <v>12</v>
          </cell>
          <cell r="W177" t="str">
            <v xml:space="preserve"> 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67500000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BM177">
            <v>0</v>
          </cell>
          <cell r="BN177">
            <v>1</v>
          </cell>
          <cell r="BO177">
            <v>0</v>
          </cell>
          <cell r="BP177">
            <v>1</v>
          </cell>
          <cell r="BQ177">
            <v>12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0</v>
          </cell>
          <cell r="BX177">
            <v>0</v>
          </cell>
          <cell r="BY177">
            <v>0</v>
          </cell>
          <cell r="BZ177">
            <v>2</v>
          </cell>
        </row>
        <row r="178">
          <cell r="A178" t="str">
            <v>1702</v>
          </cell>
          <cell r="B178">
            <v>170</v>
          </cell>
          <cell r="C178" t="str">
            <v>1702</v>
          </cell>
          <cell r="D178">
            <v>170</v>
          </cell>
          <cell r="E178">
            <v>170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2</v>
          </cell>
          <cell r="Q178">
            <v>2</v>
          </cell>
          <cell r="R178">
            <v>12</v>
          </cell>
          <cell r="S178">
            <v>12</v>
          </cell>
          <cell r="T178" t="str">
            <v>01</v>
          </cell>
          <cell r="U178">
            <v>12</v>
          </cell>
          <cell r="V178">
            <v>12</v>
          </cell>
          <cell r="W178" t="str">
            <v xml:space="preserve"> 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67500000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1</v>
          </cell>
          <cell r="BO178">
            <v>0</v>
          </cell>
          <cell r="BP178">
            <v>1</v>
          </cell>
          <cell r="BQ178">
            <v>12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2</v>
          </cell>
        </row>
        <row r="179">
          <cell r="A179" t="str">
            <v>1712</v>
          </cell>
          <cell r="B179">
            <v>171</v>
          </cell>
          <cell r="C179" t="str">
            <v>1712</v>
          </cell>
          <cell r="D179">
            <v>171</v>
          </cell>
          <cell r="E179">
            <v>171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2</v>
          </cell>
          <cell r="Q179">
            <v>2</v>
          </cell>
          <cell r="R179">
            <v>12</v>
          </cell>
          <cell r="S179">
            <v>12</v>
          </cell>
          <cell r="T179" t="str">
            <v>01</v>
          </cell>
          <cell r="U179">
            <v>12</v>
          </cell>
          <cell r="V179">
            <v>12</v>
          </cell>
          <cell r="W179" t="str">
            <v xml:space="preserve"> 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67500000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1</v>
          </cell>
          <cell r="BO179">
            <v>0</v>
          </cell>
          <cell r="BP179">
            <v>1</v>
          </cell>
          <cell r="BQ179">
            <v>12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0</v>
          </cell>
          <cell r="BX179">
            <v>0</v>
          </cell>
          <cell r="BY179">
            <v>0</v>
          </cell>
          <cell r="BZ179">
            <v>2</v>
          </cell>
        </row>
        <row r="180">
          <cell r="A180" t="str">
            <v>1722</v>
          </cell>
          <cell r="B180">
            <v>172</v>
          </cell>
          <cell r="C180" t="str">
            <v>1722</v>
          </cell>
          <cell r="D180">
            <v>172</v>
          </cell>
          <cell r="E180">
            <v>172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2</v>
          </cell>
          <cell r="Q180">
            <v>2</v>
          </cell>
          <cell r="R180">
            <v>12</v>
          </cell>
          <cell r="S180">
            <v>12</v>
          </cell>
          <cell r="T180" t="str">
            <v>01</v>
          </cell>
          <cell r="U180">
            <v>12</v>
          </cell>
          <cell r="V180">
            <v>12</v>
          </cell>
          <cell r="W180" t="str">
            <v xml:space="preserve"> 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67500000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1</v>
          </cell>
          <cell r="BO180">
            <v>0</v>
          </cell>
          <cell r="BP180">
            <v>1</v>
          </cell>
          <cell r="BQ180">
            <v>12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2</v>
          </cell>
        </row>
        <row r="181">
          <cell r="A181" t="str">
            <v>1732</v>
          </cell>
          <cell r="B181">
            <v>173</v>
          </cell>
          <cell r="C181" t="str">
            <v>1732</v>
          </cell>
          <cell r="D181">
            <v>173</v>
          </cell>
          <cell r="E181">
            <v>173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2</v>
          </cell>
          <cell r="Q181">
            <v>2</v>
          </cell>
          <cell r="R181">
            <v>12</v>
          </cell>
          <cell r="S181">
            <v>12</v>
          </cell>
          <cell r="T181" t="str">
            <v>01</v>
          </cell>
          <cell r="U181">
            <v>12</v>
          </cell>
          <cell r="V181">
            <v>12</v>
          </cell>
          <cell r="W181" t="str">
            <v xml:space="preserve"> 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67500000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1</v>
          </cell>
          <cell r="BO181">
            <v>0</v>
          </cell>
          <cell r="BP181">
            <v>1</v>
          </cell>
          <cell r="BQ181">
            <v>12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0</v>
          </cell>
          <cell r="BY181">
            <v>0</v>
          </cell>
          <cell r="BZ181">
            <v>2</v>
          </cell>
        </row>
        <row r="182">
          <cell r="A182" t="str">
            <v>1742</v>
          </cell>
          <cell r="B182">
            <v>174</v>
          </cell>
          <cell r="C182" t="str">
            <v>1742</v>
          </cell>
          <cell r="D182">
            <v>174</v>
          </cell>
          <cell r="E182">
            <v>174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2</v>
          </cell>
          <cell r="Q182">
            <v>2</v>
          </cell>
          <cell r="R182">
            <v>12</v>
          </cell>
          <cell r="S182">
            <v>12</v>
          </cell>
          <cell r="T182" t="str">
            <v>01</v>
          </cell>
          <cell r="U182">
            <v>12</v>
          </cell>
          <cell r="V182">
            <v>12</v>
          </cell>
          <cell r="W182" t="str">
            <v xml:space="preserve"> 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67500000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1</v>
          </cell>
          <cell r="BO182">
            <v>0</v>
          </cell>
          <cell r="BP182">
            <v>1</v>
          </cell>
          <cell r="BQ182">
            <v>12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2</v>
          </cell>
        </row>
        <row r="183">
          <cell r="A183" t="str">
            <v>1752</v>
          </cell>
          <cell r="B183">
            <v>175</v>
          </cell>
          <cell r="C183" t="str">
            <v>1752</v>
          </cell>
          <cell r="D183">
            <v>175</v>
          </cell>
          <cell r="E183">
            <v>175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2</v>
          </cell>
          <cell r="Q183">
            <v>2</v>
          </cell>
          <cell r="R183">
            <v>12</v>
          </cell>
          <cell r="S183">
            <v>12</v>
          </cell>
          <cell r="T183" t="str">
            <v>01</v>
          </cell>
          <cell r="U183">
            <v>12</v>
          </cell>
          <cell r="V183">
            <v>12</v>
          </cell>
          <cell r="W183" t="str">
            <v xml:space="preserve"> 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67500000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1</v>
          </cell>
          <cell r="BO183">
            <v>0</v>
          </cell>
          <cell r="BP183">
            <v>1</v>
          </cell>
          <cell r="BQ183">
            <v>12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0</v>
          </cell>
          <cell r="BY183">
            <v>0</v>
          </cell>
          <cell r="BZ183">
            <v>2</v>
          </cell>
        </row>
        <row r="184">
          <cell r="A184" t="str">
            <v>1762</v>
          </cell>
          <cell r="B184">
            <v>176</v>
          </cell>
          <cell r="C184" t="str">
            <v>1762</v>
          </cell>
          <cell r="D184">
            <v>176</v>
          </cell>
          <cell r="E184">
            <v>176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2</v>
          </cell>
          <cell r="Q184">
            <v>2</v>
          </cell>
          <cell r="R184">
            <v>12</v>
          </cell>
          <cell r="S184">
            <v>12</v>
          </cell>
          <cell r="T184" t="str">
            <v>01</v>
          </cell>
          <cell r="U184">
            <v>12</v>
          </cell>
          <cell r="V184">
            <v>12</v>
          </cell>
          <cell r="W184" t="str">
            <v xml:space="preserve"> 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67500000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1</v>
          </cell>
          <cell r="BO184">
            <v>0</v>
          </cell>
          <cell r="BP184">
            <v>1</v>
          </cell>
          <cell r="BQ184">
            <v>12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  <cell r="BX184">
            <v>0</v>
          </cell>
          <cell r="BY184">
            <v>0</v>
          </cell>
          <cell r="BZ184">
            <v>2</v>
          </cell>
        </row>
        <row r="185">
          <cell r="A185" t="str">
            <v>1772</v>
          </cell>
          <cell r="B185">
            <v>177</v>
          </cell>
          <cell r="C185" t="str">
            <v>1772</v>
          </cell>
          <cell r="D185">
            <v>177</v>
          </cell>
          <cell r="E185">
            <v>177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2</v>
          </cell>
          <cell r="Q185">
            <v>2</v>
          </cell>
          <cell r="R185">
            <v>12</v>
          </cell>
          <cell r="S185">
            <v>12</v>
          </cell>
          <cell r="T185" t="str">
            <v>01</v>
          </cell>
          <cell r="U185">
            <v>12</v>
          </cell>
          <cell r="V185">
            <v>12</v>
          </cell>
          <cell r="W185" t="str">
            <v xml:space="preserve"> 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67500000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1</v>
          </cell>
          <cell r="BO185">
            <v>0</v>
          </cell>
          <cell r="BP185">
            <v>1</v>
          </cell>
          <cell r="BQ185">
            <v>12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  <cell r="BY185">
            <v>0</v>
          </cell>
          <cell r="BZ185">
            <v>2</v>
          </cell>
        </row>
        <row r="186">
          <cell r="A186" t="str">
            <v>1782</v>
          </cell>
          <cell r="B186">
            <v>178</v>
          </cell>
          <cell r="C186" t="str">
            <v>1782</v>
          </cell>
          <cell r="D186">
            <v>178</v>
          </cell>
          <cell r="E186">
            <v>178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2</v>
          </cell>
          <cell r="Q186">
            <v>2</v>
          </cell>
          <cell r="R186">
            <v>12</v>
          </cell>
          <cell r="S186">
            <v>12</v>
          </cell>
          <cell r="T186" t="str">
            <v>01</v>
          </cell>
          <cell r="U186">
            <v>12</v>
          </cell>
          <cell r="V186">
            <v>12</v>
          </cell>
          <cell r="W186" t="str">
            <v xml:space="preserve"> 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67500000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1</v>
          </cell>
          <cell r="BO186">
            <v>0</v>
          </cell>
          <cell r="BP186">
            <v>1</v>
          </cell>
          <cell r="BQ186">
            <v>12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2</v>
          </cell>
        </row>
        <row r="187">
          <cell r="A187" t="str">
            <v>1792</v>
          </cell>
          <cell r="B187">
            <v>179</v>
          </cell>
          <cell r="C187" t="str">
            <v>1792</v>
          </cell>
          <cell r="D187">
            <v>179</v>
          </cell>
          <cell r="E187">
            <v>179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2</v>
          </cell>
          <cell r="Q187">
            <v>2</v>
          </cell>
          <cell r="R187">
            <v>12</v>
          </cell>
          <cell r="S187">
            <v>12</v>
          </cell>
          <cell r="T187" t="str">
            <v>01</v>
          </cell>
          <cell r="U187">
            <v>12</v>
          </cell>
          <cell r="V187">
            <v>12</v>
          </cell>
          <cell r="W187" t="str">
            <v xml:space="preserve"> 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67500000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1</v>
          </cell>
          <cell r="BO187">
            <v>0</v>
          </cell>
          <cell r="BP187">
            <v>1</v>
          </cell>
          <cell r="BQ187">
            <v>12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2</v>
          </cell>
        </row>
        <row r="188">
          <cell r="A188" t="str">
            <v>1802</v>
          </cell>
          <cell r="B188">
            <v>180</v>
          </cell>
          <cell r="C188" t="str">
            <v>1802</v>
          </cell>
          <cell r="D188">
            <v>180</v>
          </cell>
          <cell r="E188">
            <v>180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2</v>
          </cell>
          <cell r="Q188">
            <v>2</v>
          </cell>
          <cell r="R188">
            <v>12</v>
          </cell>
          <cell r="S188">
            <v>12</v>
          </cell>
          <cell r="T188" t="str">
            <v>01</v>
          </cell>
          <cell r="U188">
            <v>12</v>
          </cell>
          <cell r="V188">
            <v>12</v>
          </cell>
          <cell r="W188" t="str">
            <v xml:space="preserve"> 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67500000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1</v>
          </cell>
          <cell r="BO188">
            <v>0</v>
          </cell>
          <cell r="BP188">
            <v>1</v>
          </cell>
          <cell r="BQ188">
            <v>12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2</v>
          </cell>
        </row>
        <row r="189">
          <cell r="A189" t="str">
            <v>1812</v>
          </cell>
          <cell r="B189">
            <v>181</v>
          </cell>
          <cell r="C189" t="str">
            <v>1812</v>
          </cell>
          <cell r="D189">
            <v>181</v>
          </cell>
          <cell r="E189">
            <v>181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2</v>
          </cell>
          <cell r="Q189">
            <v>2</v>
          </cell>
          <cell r="R189">
            <v>12</v>
          </cell>
          <cell r="S189">
            <v>12</v>
          </cell>
          <cell r="T189" t="str">
            <v>01</v>
          </cell>
          <cell r="U189">
            <v>12</v>
          </cell>
          <cell r="V189">
            <v>12</v>
          </cell>
          <cell r="W189" t="str">
            <v xml:space="preserve"> 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67500000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1</v>
          </cell>
          <cell r="BO189">
            <v>0</v>
          </cell>
          <cell r="BP189">
            <v>1</v>
          </cell>
          <cell r="BQ189">
            <v>12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2</v>
          </cell>
        </row>
        <row r="190">
          <cell r="A190" t="str">
            <v>1822</v>
          </cell>
          <cell r="B190">
            <v>182</v>
          </cell>
          <cell r="C190" t="str">
            <v>1822</v>
          </cell>
          <cell r="D190">
            <v>182</v>
          </cell>
          <cell r="E190">
            <v>182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2</v>
          </cell>
          <cell r="Q190">
            <v>2</v>
          </cell>
          <cell r="R190">
            <v>12</v>
          </cell>
          <cell r="S190">
            <v>12</v>
          </cell>
          <cell r="T190" t="str">
            <v>01</v>
          </cell>
          <cell r="U190">
            <v>12</v>
          </cell>
          <cell r="V190">
            <v>12</v>
          </cell>
          <cell r="W190" t="str">
            <v xml:space="preserve"> 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67500000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1</v>
          </cell>
          <cell r="BO190">
            <v>0</v>
          </cell>
          <cell r="BP190">
            <v>1</v>
          </cell>
          <cell r="BQ190">
            <v>12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2</v>
          </cell>
        </row>
        <row r="191">
          <cell r="A191" t="str">
            <v>1832</v>
          </cell>
          <cell r="B191">
            <v>183</v>
          </cell>
          <cell r="C191" t="str">
            <v>1832</v>
          </cell>
          <cell r="D191">
            <v>183</v>
          </cell>
          <cell r="E191">
            <v>183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2</v>
          </cell>
          <cell r="Q191">
            <v>2</v>
          </cell>
          <cell r="R191">
            <v>12</v>
          </cell>
          <cell r="S191">
            <v>12</v>
          </cell>
          <cell r="T191" t="str">
            <v>01</v>
          </cell>
          <cell r="U191">
            <v>12</v>
          </cell>
          <cell r="V191">
            <v>12</v>
          </cell>
          <cell r="W191" t="str">
            <v xml:space="preserve"> 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67500000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1</v>
          </cell>
          <cell r="BO191">
            <v>0</v>
          </cell>
          <cell r="BP191">
            <v>1</v>
          </cell>
          <cell r="BQ191">
            <v>12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  <cell r="BY191">
            <v>0</v>
          </cell>
          <cell r="BZ191">
            <v>2</v>
          </cell>
        </row>
        <row r="192">
          <cell r="A192" t="str">
            <v>1842</v>
          </cell>
          <cell r="B192">
            <v>184</v>
          </cell>
          <cell r="C192" t="str">
            <v>1842</v>
          </cell>
          <cell r="D192">
            <v>184</v>
          </cell>
          <cell r="E192">
            <v>184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2</v>
          </cell>
          <cell r="Q192">
            <v>2</v>
          </cell>
          <cell r="R192">
            <v>12</v>
          </cell>
          <cell r="S192">
            <v>12</v>
          </cell>
          <cell r="T192" t="str">
            <v>01</v>
          </cell>
          <cell r="U192">
            <v>12</v>
          </cell>
          <cell r="V192">
            <v>12</v>
          </cell>
          <cell r="W192" t="str">
            <v xml:space="preserve"> 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67500000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1</v>
          </cell>
          <cell r="BO192">
            <v>0</v>
          </cell>
          <cell r="BP192">
            <v>1</v>
          </cell>
          <cell r="BQ192">
            <v>12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2</v>
          </cell>
        </row>
        <row r="193">
          <cell r="A193" t="str">
            <v>1852</v>
          </cell>
          <cell r="B193">
            <v>185</v>
          </cell>
          <cell r="C193" t="str">
            <v>1852</v>
          </cell>
          <cell r="D193">
            <v>185</v>
          </cell>
          <cell r="E193">
            <v>185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2</v>
          </cell>
          <cell r="Q193">
            <v>2</v>
          </cell>
          <cell r="R193">
            <v>12</v>
          </cell>
          <cell r="S193">
            <v>12</v>
          </cell>
          <cell r="T193" t="str">
            <v>01</v>
          </cell>
          <cell r="U193">
            <v>12</v>
          </cell>
          <cell r="V193">
            <v>12</v>
          </cell>
          <cell r="W193" t="str">
            <v xml:space="preserve"> 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67500000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1</v>
          </cell>
          <cell r="BO193">
            <v>0</v>
          </cell>
          <cell r="BP193">
            <v>1</v>
          </cell>
          <cell r="BQ193">
            <v>12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2</v>
          </cell>
        </row>
        <row r="194">
          <cell r="A194" t="str">
            <v>1862</v>
          </cell>
          <cell r="B194">
            <v>186</v>
          </cell>
          <cell r="C194" t="str">
            <v>1862</v>
          </cell>
          <cell r="D194">
            <v>186</v>
          </cell>
          <cell r="E194">
            <v>186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2</v>
          </cell>
          <cell r="Q194">
            <v>2</v>
          </cell>
          <cell r="R194">
            <v>12</v>
          </cell>
          <cell r="S194">
            <v>12</v>
          </cell>
          <cell r="T194" t="str">
            <v>01</v>
          </cell>
          <cell r="U194">
            <v>12</v>
          </cell>
          <cell r="V194">
            <v>12</v>
          </cell>
          <cell r="W194" t="str">
            <v xml:space="preserve"> 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67500000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1</v>
          </cell>
          <cell r="BO194">
            <v>0</v>
          </cell>
          <cell r="BP194">
            <v>1</v>
          </cell>
          <cell r="BQ194">
            <v>12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2</v>
          </cell>
        </row>
        <row r="195">
          <cell r="A195" t="str">
            <v>1872</v>
          </cell>
          <cell r="B195">
            <v>187</v>
          </cell>
          <cell r="C195" t="str">
            <v>1872</v>
          </cell>
          <cell r="D195">
            <v>187</v>
          </cell>
          <cell r="E195">
            <v>187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2</v>
          </cell>
          <cell r="Q195">
            <v>2</v>
          </cell>
          <cell r="R195">
            <v>12</v>
          </cell>
          <cell r="S195">
            <v>12</v>
          </cell>
          <cell r="T195" t="str">
            <v>01</v>
          </cell>
          <cell r="U195">
            <v>12</v>
          </cell>
          <cell r="V195">
            <v>12</v>
          </cell>
          <cell r="W195" t="str">
            <v xml:space="preserve"> 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67500000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1</v>
          </cell>
          <cell r="BO195">
            <v>0</v>
          </cell>
          <cell r="BP195">
            <v>1</v>
          </cell>
          <cell r="BQ195">
            <v>12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2</v>
          </cell>
        </row>
        <row r="196">
          <cell r="A196" t="str">
            <v>1882</v>
          </cell>
          <cell r="B196">
            <v>188</v>
          </cell>
          <cell r="C196" t="str">
            <v>1882</v>
          </cell>
          <cell r="D196">
            <v>188</v>
          </cell>
          <cell r="E196">
            <v>188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2</v>
          </cell>
          <cell r="Q196">
            <v>2</v>
          </cell>
          <cell r="R196">
            <v>12</v>
          </cell>
          <cell r="S196">
            <v>12</v>
          </cell>
          <cell r="T196" t="str">
            <v>01</v>
          </cell>
          <cell r="U196">
            <v>12</v>
          </cell>
          <cell r="V196">
            <v>12</v>
          </cell>
          <cell r="W196" t="str">
            <v xml:space="preserve"> 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67500000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1</v>
          </cell>
          <cell r="BO196">
            <v>0</v>
          </cell>
          <cell r="BP196">
            <v>1</v>
          </cell>
          <cell r="BQ196">
            <v>12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2</v>
          </cell>
        </row>
        <row r="197">
          <cell r="A197" t="str">
            <v>1892</v>
          </cell>
          <cell r="B197">
            <v>189</v>
          </cell>
          <cell r="C197" t="str">
            <v>1892</v>
          </cell>
          <cell r="D197">
            <v>189</v>
          </cell>
          <cell r="E197">
            <v>189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2</v>
          </cell>
          <cell r="Q197">
            <v>2</v>
          </cell>
          <cell r="R197">
            <v>12</v>
          </cell>
          <cell r="S197">
            <v>12</v>
          </cell>
          <cell r="T197" t="str">
            <v>01</v>
          </cell>
          <cell r="U197">
            <v>12</v>
          </cell>
          <cell r="V197">
            <v>12</v>
          </cell>
          <cell r="W197" t="str">
            <v xml:space="preserve"> 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67500000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1</v>
          </cell>
          <cell r="BO197">
            <v>0</v>
          </cell>
          <cell r="BP197">
            <v>1</v>
          </cell>
          <cell r="BQ197">
            <v>12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2</v>
          </cell>
        </row>
        <row r="198">
          <cell r="A198" t="str">
            <v>1902</v>
          </cell>
          <cell r="B198">
            <v>190</v>
          </cell>
          <cell r="C198" t="str">
            <v>1902</v>
          </cell>
          <cell r="D198">
            <v>190</v>
          </cell>
          <cell r="E198">
            <v>190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2</v>
          </cell>
          <cell r="Q198">
            <v>2</v>
          </cell>
          <cell r="R198">
            <v>12</v>
          </cell>
          <cell r="S198">
            <v>12</v>
          </cell>
          <cell r="T198" t="str">
            <v>01</v>
          </cell>
          <cell r="U198">
            <v>12</v>
          </cell>
          <cell r="V198">
            <v>12</v>
          </cell>
          <cell r="W198" t="str">
            <v xml:space="preserve"> 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67500000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1</v>
          </cell>
          <cell r="BO198">
            <v>0</v>
          </cell>
          <cell r="BP198">
            <v>1</v>
          </cell>
          <cell r="BQ198">
            <v>12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2</v>
          </cell>
        </row>
        <row r="199">
          <cell r="A199" t="str">
            <v>1912</v>
          </cell>
          <cell r="B199">
            <v>191</v>
          </cell>
          <cell r="C199" t="str">
            <v>1912</v>
          </cell>
          <cell r="D199">
            <v>191</v>
          </cell>
          <cell r="E199">
            <v>191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2</v>
          </cell>
          <cell r="Q199">
            <v>2</v>
          </cell>
          <cell r="R199">
            <v>12</v>
          </cell>
          <cell r="S199">
            <v>12</v>
          </cell>
          <cell r="T199" t="str">
            <v>01</v>
          </cell>
          <cell r="U199">
            <v>12</v>
          </cell>
          <cell r="V199">
            <v>12</v>
          </cell>
          <cell r="W199" t="str">
            <v xml:space="preserve"> 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67500000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1</v>
          </cell>
          <cell r="BO199">
            <v>0</v>
          </cell>
          <cell r="BP199">
            <v>1</v>
          </cell>
          <cell r="BQ199">
            <v>12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2</v>
          </cell>
        </row>
        <row r="200">
          <cell r="A200" t="str">
            <v>1922</v>
          </cell>
          <cell r="B200">
            <v>192</v>
          </cell>
          <cell r="C200" t="str">
            <v>1922</v>
          </cell>
          <cell r="D200">
            <v>192</v>
          </cell>
          <cell r="E200">
            <v>192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2</v>
          </cell>
          <cell r="Q200">
            <v>2</v>
          </cell>
          <cell r="R200">
            <v>12</v>
          </cell>
          <cell r="S200">
            <v>12</v>
          </cell>
          <cell r="T200" t="str">
            <v>01</v>
          </cell>
          <cell r="U200">
            <v>12</v>
          </cell>
          <cell r="V200">
            <v>12</v>
          </cell>
          <cell r="W200" t="str">
            <v xml:space="preserve"> 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67500000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1</v>
          </cell>
          <cell r="BO200">
            <v>0</v>
          </cell>
          <cell r="BP200">
            <v>1</v>
          </cell>
          <cell r="BQ200">
            <v>12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2</v>
          </cell>
        </row>
        <row r="201">
          <cell r="A201" t="str">
            <v>1932</v>
          </cell>
          <cell r="B201">
            <v>193</v>
          </cell>
          <cell r="C201" t="str">
            <v>1932</v>
          </cell>
          <cell r="D201">
            <v>193</v>
          </cell>
          <cell r="E201">
            <v>193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2</v>
          </cell>
          <cell r="Q201">
            <v>2</v>
          </cell>
          <cell r="R201">
            <v>12</v>
          </cell>
          <cell r="S201">
            <v>12</v>
          </cell>
          <cell r="T201" t="str">
            <v>01</v>
          </cell>
          <cell r="U201">
            <v>12</v>
          </cell>
          <cell r="V201">
            <v>12</v>
          </cell>
          <cell r="W201" t="str">
            <v xml:space="preserve"> 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67500000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1</v>
          </cell>
          <cell r="BO201">
            <v>0</v>
          </cell>
          <cell r="BP201">
            <v>1</v>
          </cell>
          <cell r="BQ201">
            <v>12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2</v>
          </cell>
        </row>
        <row r="202">
          <cell r="A202" t="str">
            <v>1942</v>
          </cell>
          <cell r="B202">
            <v>194</v>
          </cell>
          <cell r="C202" t="str">
            <v>1942</v>
          </cell>
          <cell r="D202">
            <v>194</v>
          </cell>
          <cell r="E202">
            <v>194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2</v>
          </cell>
          <cell r="Q202">
            <v>2</v>
          </cell>
          <cell r="R202">
            <v>12</v>
          </cell>
          <cell r="S202">
            <v>12</v>
          </cell>
          <cell r="T202" t="str">
            <v>01</v>
          </cell>
          <cell r="U202">
            <v>12</v>
          </cell>
          <cell r="V202">
            <v>12</v>
          </cell>
          <cell r="W202" t="str">
            <v xml:space="preserve"> 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67500000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1</v>
          </cell>
          <cell r="BO202">
            <v>0</v>
          </cell>
          <cell r="BP202">
            <v>1</v>
          </cell>
          <cell r="BQ202">
            <v>12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2</v>
          </cell>
        </row>
        <row r="203">
          <cell r="A203" t="str">
            <v>1952</v>
          </cell>
          <cell r="B203">
            <v>195</v>
          </cell>
          <cell r="C203" t="str">
            <v>1952</v>
          </cell>
          <cell r="D203">
            <v>195</v>
          </cell>
          <cell r="E203">
            <v>195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2</v>
          </cell>
          <cell r="Q203">
            <v>2</v>
          </cell>
          <cell r="R203">
            <v>12</v>
          </cell>
          <cell r="S203">
            <v>12</v>
          </cell>
          <cell r="T203" t="str">
            <v>01</v>
          </cell>
          <cell r="U203">
            <v>12</v>
          </cell>
          <cell r="V203">
            <v>12</v>
          </cell>
          <cell r="W203" t="str">
            <v xml:space="preserve"> 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67500000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1</v>
          </cell>
          <cell r="BO203">
            <v>0</v>
          </cell>
          <cell r="BP203">
            <v>1</v>
          </cell>
          <cell r="BQ203">
            <v>12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2</v>
          </cell>
        </row>
        <row r="204">
          <cell r="A204" t="str">
            <v>1962</v>
          </cell>
          <cell r="B204">
            <v>196</v>
          </cell>
          <cell r="C204" t="str">
            <v>1962</v>
          </cell>
          <cell r="D204">
            <v>196</v>
          </cell>
          <cell r="E204">
            <v>196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2</v>
          </cell>
          <cell r="Q204">
            <v>2</v>
          </cell>
          <cell r="R204">
            <v>12</v>
          </cell>
          <cell r="S204">
            <v>12</v>
          </cell>
          <cell r="T204" t="str">
            <v>01</v>
          </cell>
          <cell r="U204">
            <v>12</v>
          </cell>
          <cell r="V204">
            <v>12</v>
          </cell>
          <cell r="W204" t="str">
            <v xml:space="preserve"> 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67500000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1</v>
          </cell>
          <cell r="BO204">
            <v>0</v>
          </cell>
          <cell r="BP204">
            <v>1</v>
          </cell>
          <cell r="BQ204">
            <v>12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2</v>
          </cell>
        </row>
        <row r="205">
          <cell r="A205" t="str">
            <v>1972</v>
          </cell>
          <cell r="B205">
            <v>197</v>
          </cell>
          <cell r="C205" t="str">
            <v>1972</v>
          </cell>
          <cell r="D205">
            <v>197</v>
          </cell>
          <cell r="E205">
            <v>197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2</v>
          </cell>
          <cell r="Q205">
            <v>2</v>
          </cell>
          <cell r="R205">
            <v>12</v>
          </cell>
          <cell r="S205">
            <v>12</v>
          </cell>
          <cell r="T205" t="str">
            <v>01</v>
          </cell>
          <cell r="U205">
            <v>12</v>
          </cell>
          <cell r="V205">
            <v>12</v>
          </cell>
          <cell r="W205" t="str">
            <v xml:space="preserve"> 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67500000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1</v>
          </cell>
          <cell r="BO205">
            <v>0</v>
          </cell>
          <cell r="BP205">
            <v>1</v>
          </cell>
          <cell r="BQ205">
            <v>12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  <cell r="BY205">
            <v>0</v>
          </cell>
          <cell r="BZ205">
            <v>2</v>
          </cell>
        </row>
        <row r="206">
          <cell r="A206" t="str">
            <v>1982</v>
          </cell>
          <cell r="B206">
            <v>198</v>
          </cell>
          <cell r="C206" t="str">
            <v>1982</v>
          </cell>
          <cell r="D206">
            <v>198</v>
          </cell>
          <cell r="E206">
            <v>198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2</v>
          </cell>
          <cell r="Q206">
            <v>2</v>
          </cell>
          <cell r="R206">
            <v>12</v>
          </cell>
          <cell r="S206">
            <v>12</v>
          </cell>
          <cell r="T206" t="str">
            <v>01</v>
          </cell>
          <cell r="U206">
            <v>12</v>
          </cell>
          <cell r="V206">
            <v>12</v>
          </cell>
          <cell r="W206" t="str">
            <v xml:space="preserve"> 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67500000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1</v>
          </cell>
          <cell r="BO206">
            <v>0</v>
          </cell>
          <cell r="BP206">
            <v>1</v>
          </cell>
          <cell r="BQ206">
            <v>12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2</v>
          </cell>
        </row>
        <row r="207">
          <cell r="A207" t="str">
            <v>1992</v>
          </cell>
          <cell r="B207">
            <v>199</v>
          </cell>
          <cell r="C207" t="str">
            <v>1992</v>
          </cell>
          <cell r="D207">
            <v>199</v>
          </cell>
          <cell r="E207">
            <v>199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2</v>
          </cell>
          <cell r="Q207">
            <v>2</v>
          </cell>
          <cell r="R207">
            <v>12</v>
          </cell>
          <cell r="S207">
            <v>12</v>
          </cell>
          <cell r="T207" t="str">
            <v>01</v>
          </cell>
          <cell r="U207">
            <v>12</v>
          </cell>
          <cell r="V207">
            <v>12</v>
          </cell>
          <cell r="W207" t="str">
            <v xml:space="preserve"> 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67500000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1</v>
          </cell>
          <cell r="BO207">
            <v>0</v>
          </cell>
          <cell r="BP207">
            <v>1</v>
          </cell>
          <cell r="BQ207">
            <v>12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2</v>
          </cell>
        </row>
        <row r="208">
          <cell r="A208" t="str">
            <v>2002</v>
          </cell>
          <cell r="B208">
            <v>200</v>
          </cell>
          <cell r="C208" t="str">
            <v>2002</v>
          </cell>
          <cell r="D208">
            <v>200</v>
          </cell>
          <cell r="E208">
            <v>200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2</v>
          </cell>
          <cell r="Q208">
            <v>2</v>
          </cell>
          <cell r="R208">
            <v>12</v>
          </cell>
          <cell r="S208">
            <v>12</v>
          </cell>
          <cell r="T208" t="str">
            <v>01</v>
          </cell>
          <cell r="U208">
            <v>12</v>
          </cell>
          <cell r="V208">
            <v>12</v>
          </cell>
          <cell r="W208" t="str">
            <v xml:space="preserve"> 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67500000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1</v>
          </cell>
          <cell r="BO208">
            <v>0</v>
          </cell>
          <cell r="BP208">
            <v>1</v>
          </cell>
          <cell r="BQ208">
            <v>12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2</v>
          </cell>
        </row>
        <row r="209">
          <cell r="A209" t="str">
            <v>2012</v>
          </cell>
          <cell r="B209">
            <v>201</v>
          </cell>
          <cell r="C209" t="str">
            <v>2012</v>
          </cell>
          <cell r="D209">
            <v>201</v>
          </cell>
          <cell r="E209">
            <v>201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2</v>
          </cell>
          <cell r="Q209">
            <v>2</v>
          </cell>
          <cell r="R209">
            <v>12</v>
          </cell>
          <cell r="S209">
            <v>12</v>
          </cell>
          <cell r="T209" t="str">
            <v>01</v>
          </cell>
          <cell r="U209">
            <v>12</v>
          </cell>
          <cell r="V209">
            <v>12</v>
          </cell>
          <cell r="W209" t="str">
            <v xml:space="preserve"> 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67500000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1</v>
          </cell>
          <cell r="BO209">
            <v>0</v>
          </cell>
          <cell r="BP209">
            <v>1</v>
          </cell>
          <cell r="BQ209">
            <v>12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2</v>
          </cell>
        </row>
        <row r="210">
          <cell r="A210" t="str">
            <v>2022</v>
          </cell>
          <cell r="B210">
            <v>202</v>
          </cell>
          <cell r="C210" t="str">
            <v>2022</v>
          </cell>
          <cell r="D210">
            <v>202</v>
          </cell>
          <cell r="E210">
            <v>202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2</v>
          </cell>
          <cell r="Q210">
            <v>2</v>
          </cell>
          <cell r="R210">
            <v>12</v>
          </cell>
          <cell r="S210">
            <v>12</v>
          </cell>
          <cell r="T210" t="str">
            <v>01</v>
          </cell>
          <cell r="U210">
            <v>12</v>
          </cell>
          <cell r="V210">
            <v>12</v>
          </cell>
          <cell r="W210" t="str">
            <v xml:space="preserve"> 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67500000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1</v>
          </cell>
          <cell r="BO210">
            <v>0</v>
          </cell>
          <cell r="BP210">
            <v>1</v>
          </cell>
          <cell r="BQ210">
            <v>12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2</v>
          </cell>
        </row>
        <row r="211">
          <cell r="A211" t="str">
            <v>2032</v>
          </cell>
          <cell r="B211">
            <v>203</v>
          </cell>
          <cell r="C211" t="str">
            <v>2032</v>
          </cell>
          <cell r="D211">
            <v>203</v>
          </cell>
          <cell r="E211">
            <v>203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2</v>
          </cell>
          <cell r="Q211">
            <v>2</v>
          </cell>
          <cell r="R211">
            <v>12</v>
          </cell>
          <cell r="S211">
            <v>12</v>
          </cell>
          <cell r="T211" t="str">
            <v>01</v>
          </cell>
          <cell r="U211">
            <v>12</v>
          </cell>
          <cell r="V211">
            <v>12</v>
          </cell>
          <cell r="W211" t="str">
            <v xml:space="preserve"> 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67500000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1</v>
          </cell>
          <cell r="BO211">
            <v>0</v>
          </cell>
          <cell r="BP211">
            <v>1</v>
          </cell>
          <cell r="BQ211">
            <v>12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2</v>
          </cell>
        </row>
        <row r="212">
          <cell r="A212" t="str">
            <v>2042</v>
          </cell>
          <cell r="B212">
            <v>204</v>
          </cell>
          <cell r="C212" t="str">
            <v>2042</v>
          </cell>
          <cell r="D212">
            <v>204</v>
          </cell>
          <cell r="E212">
            <v>204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2</v>
          </cell>
          <cell r="Q212">
            <v>2</v>
          </cell>
          <cell r="R212">
            <v>12</v>
          </cell>
          <cell r="S212">
            <v>12</v>
          </cell>
          <cell r="T212" t="str">
            <v>01</v>
          </cell>
          <cell r="U212">
            <v>12</v>
          </cell>
          <cell r="V212">
            <v>12</v>
          </cell>
          <cell r="W212" t="str">
            <v xml:space="preserve"> 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67500000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1</v>
          </cell>
          <cell r="BO212">
            <v>0</v>
          </cell>
          <cell r="BP212">
            <v>1</v>
          </cell>
          <cell r="BQ212">
            <v>12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2</v>
          </cell>
        </row>
        <row r="213">
          <cell r="A213" t="str">
            <v>2052</v>
          </cell>
          <cell r="B213">
            <v>205</v>
          </cell>
          <cell r="C213" t="str">
            <v>2052</v>
          </cell>
          <cell r="D213">
            <v>205</v>
          </cell>
          <cell r="E213">
            <v>205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2</v>
          </cell>
          <cell r="Q213">
            <v>2</v>
          </cell>
          <cell r="R213">
            <v>12</v>
          </cell>
          <cell r="S213">
            <v>12</v>
          </cell>
          <cell r="T213" t="str">
            <v>01</v>
          </cell>
          <cell r="U213">
            <v>12</v>
          </cell>
          <cell r="V213">
            <v>12</v>
          </cell>
          <cell r="W213" t="str">
            <v xml:space="preserve"> 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67500000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1</v>
          </cell>
          <cell r="BO213">
            <v>0</v>
          </cell>
          <cell r="BP213">
            <v>1</v>
          </cell>
          <cell r="BQ213">
            <v>12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  <cell r="BZ213">
            <v>2</v>
          </cell>
        </row>
        <row r="214">
          <cell r="A214" t="str">
            <v>2062</v>
          </cell>
          <cell r="B214">
            <v>206</v>
          </cell>
          <cell r="C214" t="str">
            <v>2062</v>
          </cell>
          <cell r="D214">
            <v>206</v>
          </cell>
          <cell r="E214">
            <v>206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2</v>
          </cell>
          <cell r="Q214">
            <v>2</v>
          </cell>
          <cell r="R214">
            <v>12</v>
          </cell>
          <cell r="S214">
            <v>12</v>
          </cell>
          <cell r="T214" t="str">
            <v>01</v>
          </cell>
          <cell r="U214">
            <v>12</v>
          </cell>
          <cell r="V214">
            <v>12</v>
          </cell>
          <cell r="W214" t="str">
            <v xml:space="preserve"> 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67500000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1</v>
          </cell>
          <cell r="BO214">
            <v>0</v>
          </cell>
          <cell r="BP214">
            <v>1</v>
          </cell>
          <cell r="BQ214">
            <v>12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2</v>
          </cell>
        </row>
        <row r="215">
          <cell r="A215" t="str">
            <v>2072</v>
          </cell>
          <cell r="B215">
            <v>207</v>
          </cell>
          <cell r="C215" t="str">
            <v>2072</v>
          </cell>
          <cell r="D215">
            <v>207</v>
          </cell>
          <cell r="E215">
            <v>207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2</v>
          </cell>
          <cell r="Q215">
            <v>2</v>
          </cell>
          <cell r="R215">
            <v>12</v>
          </cell>
          <cell r="S215">
            <v>12</v>
          </cell>
          <cell r="T215" t="str">
            <v>01</v>
          </cell>
          <cell r="U215">
            <v>12</v>
          </cell>
          <cell r="V215">
            <v>12</v>
          </cell>
          <cell r="W215" t="str">
            <v xml:space="preserve"> 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67500000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1</v>
          </cell>
          <cell r="BO215">
            <v>0</v>
          </cell>
          <cell r="BP215">
            <v>1</v>
          </cell>
          <cell r="BQ215">
            <v>12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2</v>
          </cell>
        </row>
        <row r="216">
          <cell r="A216" t="str">
            <v>2082</v>
          </cell>
          <cell r="B216">
            <v>208</v>
          </cell>
          <cell r="C216" t="str">
            <v>2082</v>
          </cell>
          <cell r="D216">
            <v>208</v>
          </cell>
          <cell r="E216">
            <v>208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2</v>
          </cell>
          <cell r="Q216">
            <v>2</v>
          </cell>
          <cell r="R216">
            <v>12</v>
          </cell>
          <cell r="S216">
            <v>12</v>
          </cell>
          <cell r="T216" t="str">
            <v>01</v>
          </cell>
          <cell r="U216">
            <v>12</v>
          </cell>
          <cell r="V216">
            <v>12</v>
          </cell>
          <cell r="W216" t="str">
            <v xml:space="preserve"> 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67500000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1</v>
          </cell>
          <cell r="BO216">
            <v>0</v>
          </cell>
          <cell r="BP216">
            <v>1</v>
          </cell>
          <cell r="BQ216">
            <v>12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2</v>
          </cell>
        </row>
        <row r="217">
          <cell r="A217" t="str">
            <v>2092</v>
          </cell>
          <cell r="B217">
            <v>209</v>
          </cell>
          <cell r="C217" t="str">
            <v>2092</v>
          </cell>
          <cell r="D217">
            <v>209</v>
          </cell>
          <cell r="E217">
            <v>209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2</v>
          </cell>
          <cell r="Q217">
            <v>2</v>
          </cell>
          <cell r="R217">
            <v>12</v>
          </cell>
          <cell r="S217">
            <v>12</v>
          </cell>
          <cell r="T217" t="str">
            <v>01</v>
          </cell>
          <cell r="U217">
            <v>12</v>
          </cell>
          <cell r="V217">
            <v>12</v>
          </cell>
          <cell r="W217" t="str">
            <v xml:space="preserve"> 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67500000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1</v>
          </cell>
          <cell r="BO217">
            <v>0</v>
          </cell>
          <cell r="BP217">
            <v>1</v>
          </cell>
          <cell r="BQ217">
            <v>12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>
            <v>0</v>
          </cell>
          <cell r="BZ217">
            <v>2</v>
          </cell>
        </row>
        <row r="218">
          <cell r="A218" t="str">
            <v>2102</v>
          </cell>
          <cell r="B218">
            <v>210</v>
          </cell>
          <cell r="C218" t="str">
            <v>2102</v>
          </cell>
          <cell r="D218">
            <v>210</v>
          </cell>
          <cell r="E218">
            <v>210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2</v>
          </cell>
          <cell r="Q218">
            <v>2</v>
          </cell>
          <cell r="R218">
            <v>12</v>
          </cell>
          <cell r="S218">
            <v>12</v>
          </cell>
          <cell r="T218" t="str">
            <v>01</v>
          </cell>
          <cell r="U218">
            <v>12</v>
          </cell>
          <cell r="V218">
            <v>12</v>
          </cell>
          <cell r="W218" t="str">
            <v xml:space="preserve"> 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67500000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1</v>
          </cell>
          <cell r="BO218">
            <v>0</v>
          </cell>
          <cell r="BP218">
            <v>1</v>
          </cell>
          <cell r="BQ218">
            <v>12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  <cell r="BY218">
            <v>0</v>
          </cell>
          <cell r="BZ218">
            <v>2</v>
          </cell>
        </row>
        <row r="219">
          <cell r="A219" t="str">
            <v>2112</v>
          </cell>
          <cell r="B219">
            <v>211</v>
          </cell>
          <cell r="C219" t="str">
            <v>2112</v>
          </cell>
          <cell r="D219">
            <v>211</v>
          </cell>
          <cell r="E219">
            <v>211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2</v>
          </cell>
          <cell r="Q219">
            <v>2</v>
          </cell>
          <cell r="R219">
            <v>12</v>
          </cell>
          <cell r="S219">
            <v>12</v>
          </cell>
          <cell r="T219" t="str">
            <v>01</v>
          </cell>
          <cell r="U219">
            <v>12</v>
          </cell>
          <cell r="V219">
            <v>12</v>
          </cell>
          <cell r="W219" t="str">
            <v xml:space="preserve"> 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67500000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1</v>
          </cell>
          <cell r="BO219">
            <v>0</v>
          </cell>
          <cell r="BP219">
            <v>1</v>
          </cell>
          <cell r="BQ219">
            <v>12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>
            <v>0</v>
          </cell>
          <cell r="BZ219">
            <v>2</v>
          </cell>
        </row>
        <row r="220">
          <cell r="A220" t="str">
            <v>2122</v>
          </cell>
          <cell r="B220">
            <v>212</v>
          </cell>
          <cell r="C220" t="str">
            <v>2122</v>
          </cell>
          <cell r="D220">
            <v>212</v>
          </cell>
          <cell r="E220">
            <v>212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2</v>
          </cell>
          <cell r="Q220">
            <v>2</v>
          </cell>
          <cell r="R220">
            <v>12</v>
          </cell>
          <cell r="S220">
            <v>12</v>
          </cell>
          <cell r="T220" t="str">
            <v>01</v>
          </cell>
          <cell r="U220">
            <v>12</v>
          </cell>
          <cell r="V220">
            <v>12</v>
          </cell>
          <cell r="W220" t="str">
            <v xml:space="preserve"> 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67500000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1</v>
          </cell>
          <cell r="BO220">
            <v>0</v>
          </cell>
          <cell r="BP220">
            <v>1</v>
          </cell>
          <cell r="BQ220">
            <v>12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2</v>
          </cell>
        </row>
        <row r="221">
          <cell r="A221" t="str">
            <v>2132</v>
          </cell>
          <cell r="B221">
            <v>213</v>
          </cell>
          <cell r="C221" t="str">
            <v>2132</v>
          </cell>
          <cell r="D221">
            <v>213</v>
          </cell>
          <cell r="E221">
            <v>213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2</v>
          </cell>
          <cell r="Q221">
            <v>2</v>
          </cell>
          <cell r="R221">
            <v>12</v>
          </cell>
          <cell r="S221">
            <v>12</v>
          </cell>
          <cell r="T221" t="str">
            <v>01</v>
          </cell>
          <cell r="U221">
            <v>12</v>
          </cell>
          <cell r="V221">
            <v>12</v>
          </cell>
          <cell r="W221" t="str">
            <v xml:space="preserve"> 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67500000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1</v>
          </cell>
          <cell r="BO221">
            <v>0</v>
          </cell>
          <cell r="BP221">
            <v>1</v>
          </cell>
          <cell r="BQ221">
            <v>12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2</v>
          </cell>
        </row>
        <row r="222">
          <cell r="A222" t="str">
            <v>2142</v>
          </cell>
          <cell r="B222">
            <v>214</v>
          </cell>
          <cell r="C222" t="str">
            <v>2142</v>
          </cell>
          <cell r="D222">
            <v>214</v>
          </cell>
          <cell r="E222">
            <v>214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2</v>
          </cell>
          <cell r="Q222">
            <v>2</v>
          </cell>
          <cell r="R222">
            <v>12</v>
          </cell>
          <cell r="S222">
            <v>12</v>
          </cell>
          <cell r="T222" t="str">
            <v>01</v>
          </cell>
          <cell r="U222">
            <v>12</v>
          </cell>
          <cell r="V222">
            <v>12</v>
          </cell>
          <cell r="W222" t="str">
            <v xml:space="preserve"> 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67500000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1</v>
          </cell>
          <cell r="BO222">
            <v>0</v>
          </cell>
          <cell r="BP222">
            <v>1</v>
          </cell>
          <cell r="BQ222">
            <v>12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2</v>
          </cell>
        </row>
        <row r="223">
          <cell r="A223" t="str">
            <v>2152</v>
          </cell>
          <cell r="B223">
            <v>215</v>
          </cell>
          <cell r="C223" t="str">
            <v>2152</v>
          </cell>
          <cell r="D223">
            <v>215</v>
          </cell>
          <cell r="E223">
            <v>215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2</v>
          </cell>
          <cell r="Q223">
            <v>2</v>
          </cell>
          <cell r="R223">
            <v>12</v>
          </cell>
          <cell r="S223">
            <v>12</v>
          </cell>
          <cell r="T223" t="str">
            <v>01</v>
          </cell>
          <cell r="U223">
            <v>12</v>
          </cell>
          <cell r="V223">
            <v>12</v>
          </cell>
          <cell r="W223" t="str">
            <v xml:space="preserve"> 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67500000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1</v>
          </cell>
          <cell r="BO223">
            <v>0</v>
          </cell>
          <cell r="BP223">
            <v>1</v>
          </cell>
          <cell r="BQ223">
            <v>12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2</v>
          </cell>
        </row>
        <row r="224">
          <cell r="A224" t="str">
            <v>2162</v>
          </cell>
          <cell r="B224">
            <v>216</v>
          </cell>
          <cell r="C224" t="str">
            <v>2162</v>
          </cell>
          <cell r="D224">
            <v>216</v>
          </cell>
          <cell r="E224">
            <v>216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2</v>
          </cell>
          <cell r="Q224">
            <v>2</v>
          </cell>
          <cell r="R224">
            <v>12</v>
          </cell>
          <cell r="S224">
            <v>12</v>
          </cell>
          <cell r="T224" t="str">
            <v>01</v>
          </cell>
          <cell r="U224">
            <v>12</v>
          </cell>
          <cell r="V224">
            <v>12</v>
          </cell>
          <cell r="W224" t="str">
            <v xml:space="preserve"> 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67500000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1</v>
          </cell>
          <cell r="BO224">
            <v>0</v>
          </cell>
          <cell r="BP224">
            <v>1</v>
          </cell>
          <cell r="BQ224">
            <v>12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2</v>
          </cell>
        </row>
        <row r="225">
          <cell r="A225" t="str">
            <v>2172</v>
          </cell>
          <cell r="B225">
            <v>217</v>
          </cell>
          <cell r="C225" t="str">
            <v>2172</v>
          </cell>
          <cell r="D225">
            <v>217</v>
          </cell>
          <cell r="E225">
            <v>217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2</v>
          </cell>
          <cell r="Q225">
            <v>2</v>
          </cell>
          <cell r="R225">
            <v>12</v>
          </cell>
          <cell r="S225">
            <v>12</v>
          </cell>
          <cell r="T225" t="str">
            <v>01</v>
          </cell>
          <cell r="U225">
            <v>12</v>
          </cell>
          <cell r="V225">
            <v>12</v>
          </cell>
          <cell r="W225" t="str">
            <v xml:space="preserve"> 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67500000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1</v>
          </cell>
          <cell r="BO225">
            <v>0</v>
          </cell>
          <cell r="BP225">
            <v>1</v>
          </cell>
          <cell r="BQ225">
            <v>12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  <cell r="BZ225">
            <v>2</v>
          </cell>
        </row>
        <row r="226">
          <cell r="A226" t="str">
            <v>2182</v>
          </cell>
          <cell r="B226">
            <v>218</v>
          </cell>
          <cell r="C226" t="str">
            <v>2182</v>
          </cell>
          <cell r="D226">
            <v>218</v>
          </cell>
          <cell r="E226">
            <v>218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2</v>
          </cell>
          <cell r="Q226">
            <v>2</v>
          </cell>
          <cell r="R226">
            <v>12</v>
          </cell>
          <cell r="S226">
            <v>12</v>
          </cell>
          <cell r="T226" t="str">
            <v>01</v>
          </cell>
          <cell r="U226">
            <v>12</v>
          </cell>
          <cell r="V226">
            <v>12</v>
          </cell>
          <cell r="W226" t="str">
            <v xml:space="preserve"> 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67500000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1</v>
          </cell>
          <cell r="BO226">
            <v>0</v>
          </cell>
          <cell r="BP226">
            <v>1</v>
          </cell>
          <cell r="BQ226">
            <v>12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2</v>
          </cell>
        </row>
        <row r="227">
          <cell r="A227" t="str">
            <v>2192</v>
          </cell>
          <cell r="B227">
            <v>219</v>
          </cell>
          <cell r="C227" t="str">
            <v>2192</v>
          </cell>
          <cell r="D227">
            <v>219</v>
          </cell>
          <cell r="E227">
            <v>219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2</v>
          </cell>
          <cell r="Q227">
            <v>2</v>
          </cell>
          <cell r="R227">
            <v>12</v>
          </cell>
          <cell r="S227">
            <v>12</v>
          </cell>
          <cell r="T227" t="str">
            <v>01</v>
          </cell>
          <cell r="U227">
            <v>12</v>
          </cell>
          <cell r="V227">
            <v>12</v>
          </cell>
          <cell r="W227" t="str">
            <v xml:space="preserve"> 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67500000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1</v>
          </cell>
          <cell r="BO227">
            <v>0</v>
          </cell>
          <cell r="BP227">
            <v>1</v>
          </cell>
          <cell r="BQ227">
            <v>12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2</v>
          </cell>
        </row>
        <row r="228">
          <cell r="A228" t="str">
            <v>2202</v>
          </cell>
          <cell r="B228">
            <v>220</v>
          </cell>
          <cell r="C228" t="str">
            <v>2202</v>
          </cell>
          <cell r="D228">
            <v>220</v>
          </cell>
          <cell r="E228">
            <v>220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2</v>
          </cell>
          <cell r="Q228">
            <v>2</v>
          </cell>
          <cell r="R228">
            <v>12</v>
          </cell>
          <cell r="S228">
            <v>12</v>
          </cell>
          <cell r="T228" t="str">
            <v>01</v>
          </cell>
          <cell r="U228">
            <v>12</v>
          </cell>
          <cell r="V228">
            <v>12</v>
          </cell>
          <cell r="W228" t="str">
            <v xml:space="preserve"> 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67500000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1</v>
          </cell>
          <cell r="BO228">
            <v>0</v>
          </cell>
          <cell r="BP228">
            <v>1</v>
          </cell>
          <cell r="BQ228">
            <v>12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2</v>
          </cell>
        </row>
        <row r="229">
          <cell r="A229" t="str">
            <v>2212</v>
          </cell>
          <cell r="B229">
            <v>221</v>
          </cell>
          <cell r="C229" t="str">
            <v>2212</v>
          </cell>
          <cell r="D229">
            <v>221</v>
          </cell>
          <cell r="E229">
            <v>221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2</v>
          </cell>
          <cell r="Q229">
            <v>2</v>
          </cell>
          <cell r="R229">
            <v>12</v>
          </cell>
          <cell r="S229">
            <v>12</v>
          </cell>
          <cell r="T229" t="str">
            <v>01</v>
          </cell>
          <cell r="U229">
            <v>12</v>
          </cell>
          <cell r="V229">
            <v>12</v>
          </cell>
          <cell r="W229" t="str">
            <v xml:space="preserve"> 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67500000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1</v>
          </cell>
          <cell r="BO229">
            <v>0</v>
          </cell>
          <cell r="BP229">
            <v>1</v>
          </cell>
          <cell r="BQ229">
            <v>12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2</v>
          </cell>
        </row>
        <row r="230">
          <cell r="A230" t="str">
            <v>2222</v>
          </cell>
          <cell r="B230">
            <v>222</v>
          </cell>
          <cell r="C230" t="str">
            <v>2222</v>
          </cell>
          <cell r="D230">
            <v>222</v>
          </cell>
          <cell r="E230">
            <v>222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2</v>
          </cell>
          <cell r="Q230">
            <v>2</v>
          </cell>
          <cell r="R230">
            <v>12</v>
          </cell>
          <cell r="S230">
            <v>12</v>
          </cell>
          <cell r="T230" t="str">
            <v>01</v>
          </cell>
          <cell r="U230">
            <v>12</v>
          </cell>
          <cell r="V230">
            <v>12</v>
          </cell>
          <cell r="W230" t="str">
            <v xml:space="preserve"> 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67500000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1</v>
          </cell>
          <cell r="BO230">
            <v>0</v>
          </cell>
          <cell r="BP230">
            <v>1</v>
          </cell>
          <cell r="BQ230">
            <v>12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2</v>
          </cell>
        </row>
        <row r="231">
          <cell r="A231" t="str">
            <v>2232</v>
          </cell>
          <cell r="B231">
            <v>223</v>
          </cell>
          <cell r="C231" t="str">
            <v>2232</v>
          </cell>
          <cell r="D231">
            <v>223</v>
          </cell>
          <cell r="E231">
            <v>223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2</v>
          </cell>
          <cell r="Q231">
            <v>2</v>
          </cell>
          <cell r="R231">
            <v>12</v>
          </cell>
          <cell r="S231">
            <v>12</v>
          </cell>
          <cell r="T231" t="str">
            <v>01</v>
          </cell>
          <cell r="U231">
            <v>12</v>
          </cell>
          <cell r="V231">
            <v>12</v>
          </cell>
          <cell r="W231" t="str">
            <v xml:space="preserve"> 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67500000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1</v>
          </cell>
          <cell r="BO231">
            <v>0</v>
          </cell>
          <cell r="BP231">
            <v>1</v>
          </cell>
          <cell r="BQ231">
            <v>12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2</v>
          </cell>
        </row>
        <row r="232">
          <cell r="A232" t="str">
            <v>2242</v>
          </cell>
          <cell r="B232">
            <v>224</v>
          </cell>
          <cell r="C232" t="str">
            <v>2242</v>
          </cell>
          <cell r="D232">
            <v>224</v>
          </cell>
          <cell r="E232">
            <v>224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2</v>
          </cell>
          <cell r="Q232">
            <v>2</v>
          </cell>
          <cell r="R232">
            <v>12</v>
          </cell>
          <cell r="S232">
            <v>12</v>
          </cell>
          <cell r="T232" t="str">
            <v>01</v>
          </cell>
          <cell r="U232">
            <v>12</v>
          </cell>
          <cell r="V232">
            <v>12</v>
          </cell>
          <cell r="W232" t="str">
            <v xml:space="preserve"> 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67500000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1</v>
          </cell>
          <cell r="BO232">
            <v>0</v>
          </cell>
          <cell r="BP232">
            <v>1</v>
          </cell>
          <cell r="BQ232">
            <v>12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2</v>
          </cell>
        </row>
        <row r="233">
          <cell r="A233" t="str">
            <v>2252</v>
          </cell>
          <cell r="B233">
            <v>225</v>
          </cell>
          <cell r="C233" t="str">
            <v>2252</v>
          </cell>
          <cell r="D233">
            <v>225</v>
          </cell>
          <cell r="E233">
            <v>225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2</v>
          </cell>
          <cell r="Q233">
            <v>2</v>
          </cell>
          <cell r="R233">
            <v>12</v>
          </cell>
          <cell r="S233">
            <v>12</v>
          </cell>
          <cell r="T233" t="str">
            <v>01</v>
          </cell>
          <cell r="U233">
            <v>12</v>
          </cell>
          <cell r="V233">
            <v>12</v>
          </cell>
          <cell r="W233" t="str">
            <v xml:space="preserve"> 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67500000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1</v>
          </cell>
          <cell r="BO233">
            <v>0</v>
          </cell>
          <cell r="BP233">
            <v>1</v>
          </cell>
          <cell r="BQ233">
            <v>12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2</v>
          </cell>
        </row>
        <row r="234">
          <cell r="A234" t="str">
            <v>2262</v>
          </cell>
          <cell r="B234">
            <v>226</v>
          </cell>
          <cell r="C234" t="str">
            <v>2262</v>
          </cell>
          <cell r="D234">
            <v>226</v>
          </cell>
          <cell r="E234">
            <v>226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2</v>
          </cell>
          <cell r="Q234">
            <v>2</v>
          </cell>
          <cell r="R234">
            <v>12</v>
          </cell>
          <cell r="S234">
            <v>12</v>
          </cell>
          <cell r="T234" t="str">
            <v>01</v>
          </cell>
          <cell r="U234">
            <v>12</v>
          </cell>
          <cell r="V234">
            <v>12</v>
          </cell>
          <cell r="W234" t="str">
            <v xml:space="preserve"> 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67500000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1</v>
          </cell>
          <cell r="BO234">
            <v>0</v>
          </cell>
          <cell r="BP234">
            <v>1</v>
          </cell>
          <cell r="BQ234">
            <v>12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2</v>
          </cell>
        </row>
        <row r="235">
          <cell r="A235" t="str">
            <v>2272</v>
          </cell>
          <cell r="B235">
            <v>227</v>
          </cell>
          <cell r="C235" t="str">
            <v>2272</v>
          </cell>
          <cell r="D235">
            <v>227</v>
          </cell>
          <cell r="E235">
            <v>227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2</v>
          </cell>
          <cell r="Q235">
            <v>2</v>
          </cell>
          <cell r="R235">
            <v>12</v>
          </cell>
          <cell r="S235">
            <v>12</v>
          </cell>
          <cell r="T235" t="str">
            <v>01</v>
          </cell>
          <cell r="U235">
            <v>12</v>
          </cell>
          <cell r="V235">
            <v>12</v>
          </cell>
          <cell r="W235" t="str">
            <v xml:space="preserve"> 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67500000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1</v>
          </cell>
          <cell r="BO235">
            <v>0</v>
          </cell>
          <cell r="BP235">
            <v>1</v>
          </cell>
          <cell r="BQ235">
            <v>12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2</v>
          </cell>
        </row>
        <row r="236">
          <cell r="A236" t="str">
            <v>2282</v>
          </cell>
          <cell r="B236">
            <v>228</v>
          </cell>
          <cell r="C236" t="str">
            <v>2282</v>
          </cell>
          <cell r="D236">
            <v>228</v>
          </cell>
          <cell r="E236">
            <v>228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2</v>
          </cell>
          <cell r="Q236">
            <v>2</v>
          </cell>
          <cell r="R236">
            <v>12</v>
          </cell>
          <cell r="S236">
            <v>12</v>
          </cell>
          <cell r="T236" t="str">
            <v>01</v>
          </cell>
          <cell r="U236">
            <v>12</v>
          </cell>
          <cell r="V236">
            <v>12</v>
          </cell>
          <cell r="W236" t="str">
            <v xml:space="preserve"> 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67500000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1</v>
          </cell>
          <cell r="BO236">
            <v>0</v>
          </cell>
          <cell r="BP236">
            <v>1</v>
          </cell>
          <cell r="BQ236">
            <v>12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2</v>
          </cell>
        </row>
        <row r="237">
          <cell r="A237" t="str">
            <v>2292</v>
          </cell>
          <cell r="B237">
            <v>229</v>
          </cell>
          <cell r="C237" t="str">
            <v>2292</v>
          </cell>
          <cell r="D237">
            <v>229</v>
          </cell>
          <cell r="E237">
            <v>229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2</v>
          </cell>
          <cell r="Q237">
            <v>2</v>
          </cell>
          <cell r="R237">
            <v>12</v>
          </cell>
          <cell r="S237">
            <v>12</v>
          </cell>
          <cell r="T237" t="str">
            <v>01</v>
          </cell>
          <cell r="U237">
            <v>12</v>
          </cell>
          <cell r="V237">
            <v>12</v>
          </cell>
          <cell r="W237" t="str">
            <v xml:space="preserve"> 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67500000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1</v>
          </cell>
          <cell r="BO237">
            <v>0</v>
          </cell>
          <cell r="BP237">
            <v>1</v>
          </cell>
          <cell r="BQ237">
            <v>12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0</v>
          </cell>
          <cell r="BZ237">
            <v>2</v>
          </cell>
        </row>
        <row r="238">
          <cell r="A238" t="str">
            <v>2302</v>
          </cell>
          <cell r="B238">
            <v>230</v>
          </cell>
          <cell r="C238" t="str">
            <v>2302</v>
          </cell>
          <cell r="D238">
            <v>230</v>
          </cell>
          <cell r="E238">
            <v>230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2</v>
          </cell>
          <cell r="Q238">
            <v>2</v>
          </cell>
          <cell r="R238">
            <v>12</v>
          </cell>
          <cell r="S238">
            <v>12</v>
          </cell>
          <cell r="T238" t="str">
            <v>01</v>
          </cell>
          <cell r="U238">
            <v>12</v>
          </cell>
          <cell r="V238">
            <v>12</v>
          </cell>
          <cell r="W238" t="str">
            <v xml:space="preserve"> 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67500000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1</v>
          </cell>
          <cell r="BO238">
            <v>0</v>
          </cell>
          <cell r="BP238">
            <v>1</v>
          </cell>
          <cell r="BQ238">
            <v>12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  <cell r="BZ238">
            <v>2</v>
          </cell>
        </row>
        <row r="239">
          <cell r="A239" t="str">
            <v>2312</v>
          </cell>
          <cell r="B239">
            <v>231</v>
          </cell>
          <cell r="C239" t="str">
            <v>2312</v>
          </cell>
          <cell r="D239">
            <v>231</v>
          </cell>
          <cell r="E239">
            <v>231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2</v>
          </cell>
          <cell r="Q239">
            <v>2</v>
          </cell>
          <cell r="R239">
            <v>12</v>
          </cell>
          <cell r="S239">
            <v>12</v>
          </cell>
          <cell r="T239" t="str">
            <v>01</v>
          </cell>
          <cell r="U239">
            <v>12</v>
          </cell>
          <cell r="V239">
            <v>12</v>
          </cell>
          <cell r="W239" t="str">
            <v xml:space="preserve"> 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67500000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1</v>
          </cell>
          <cell r="BO239">
            <v>0</v>
          </cell>
          <cell r="BP239">
            <v>1</v>
          </cell>
          <cell r="BQ239">
            <v>12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2</v>
          </cell>
        </row>
        <row r="240">
          <cell r="A240" t="str">
            <v>2322</v>
          </cell>
          <cell r="B240">
            <v>232</v>
          </cell>
          <cell r="C240" t="str">
            <v>2322</v>
          </cell>
          <cell r="D240">
            <v>232</v>
          </cell>
          <cell r="E240">
            <v>232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2</v>
          </cell>
          <cell r="Q240">
            <v>2</v>
          </cell>
          <cell r="R240">
            <v>12</v>
          </cell>
          <cell r="S240">
            <v>12</v>
          </cell>
          <cell r="T240" t="str">
            <v>01</v>
          </cell>
          <cell r="U240">
            <v>12</v>
          </cell>
          <cell r="V240">
            <v>12</v>
          </cell>
          <cell r="W240" t="str">
            <v xml:space="preserve"> 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67500000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1</v>
          </cell>
          <cell r="BO240">
            <v>0</v>
          </cell>
          <cell r="BP240">
            <v>1</v>
          </cell>
          <cell r="BQ240">
            <v>12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2</v>
          </cell>
        </row>
        <row r="241">
          <cell r="A241" t="str">
            <v>2332</v>
          </cell>
          <cell r="B241">
            <v>233</v>
          </cell>
          <cell r="C241" t="str">
            <v>2332</v>
          </cell>
          <cell r="D241">
            <v>233</v>
          </cell>
          <cell r="E241">
            <v>233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2</v>
          </cell>
          <cell r="Q241">
            <v>2</v>
          </cell>
          <cell r="R241">
            <v>12</v>
          </cell>
          <cell r="S241">
            <v>12</v>
          </cell>
          <cell r="T241" t="str">
            <v>01</v>
          </cell>
          <cell r="U241">
            <v>12</v>
          </cell>
          <cell r="V241">
            <v>12</v>
          </cell>
          <cell r="W241" t="str">
            <v xml:space="preserve"> 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67500000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1</v>
          </cell>
          <cell r="BO241">
            <v>0</v>
          </cell>
          <cell r="BP241">
            <v>1</v>
          </cell>
          <cell r="BQ241">
            <v>12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2</v>
          </cell>
        </row>
        <row r="242">
          <cell r="A242" t="str">
            <v>2342</v>
          </cell>
          <cell r="B242">
            <v>234</v>
          </cell>
          <cell r="C242" t="str">
            <v>2342</v>
          </cell>
          <cell r="D242">
            <v>234</v>
          </cell>
          <cell r="E242">
            <v>234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2</v>
          </cell>
          <cell r="Q242">
            <v>2</v>
          </cell>
          <cell r="R242">
            <v>12</v>
          </cell>
          <cell r="S242">
            <v>12</v>
          </cell>
          <cell r="T242" t="str">
            <v>01</v>
          </cell>
          <cell r="U242">
            <v>12</v>
          </cell>
          <cell r="V242">
            <v>12</v>
          </cell>
          <cell r="W242" t="str">
            <v xml:space="preserve"> 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67500000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1</v>
          </cell>
          <cell r="BO242">
            <v>0</v>
          </cell>
          <cell r="BP242">
            <v>1</v>
          </cell>
          <cell r="BQ242">
            <v>12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2</v>
          </cell>
        </row>
        <row r="243">
          <cell r="A243" t="str">
            <v>2352</v>
          </cell>
          <cell r="B243">
            <v>235</v>
          </cell>
          <cell r="C243" t="str">
            <v>2352</v>
          </cell>
          <cell r="D243">
            <v>235</v>
          </cell>
          <cell r="E243">
            <v>235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2</v>
          </cell>
          <cell r="Q243">
            <v>2</v>
          </cell>
          <cell r="R243">
            <v>12</v>
          </cell>
          <cell r="S243">
            <v>12</v>
          </cell>
          <cell r="T243" t="str">
            <v>01</v>
          </cell>
          <cell r="U243">
            <v>12</v>
          </cell>
          <cell r="V243">
            <v>12</v>
          </cell>
          <cell r="W243" t="str">
            <v xml:space="preserve"> 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67500000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1</v>
          </cell>
          <cell r="BO243">
            <v>0</v>
          </cell>
          <cell r="BP243">
            <v>1</v>
          </cell>
          <cell r="BQ243">
            <v>12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  <cell r="BZ243">
            <v>2</v>
          </cell>
        </row>
        <row r="244">
          <cell r="A244" t="str">
            <v>2362</v>
          </cell>
          <cell r="B244">
            <v>236</v>
          </cell>
          <cell r="C244" t="str">
            <v>2362</v>
          </cell>
          <cell r="D244">
            <v>236</v>
          </cell>
          <cell r="E244">
            <v>236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2</v>
          </cell>
          <cell r="Q244">
            <v>2</v>
          </cell>
          <cell r="R244">
            <v>12</v>
          </cell>
          <cell r="S244">
            <v>12</v>
          </cell>
          <cell r="T244" t="str">
            <v>01</v>
          </cell>
          <cell r="U244">
            <v>12</v>
          </cell>
          <cell r="V244">
            <v>12</v>
          </cell>
          <cell r="W244" t="str">
            <v xml:space="preserve"> 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67500000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1</v>
          </cell>
          <cell r="BO244">
            <v>0</v>
          </cell>
          <cell r="BP244">
            <v>1</v>
          </cell>
          <cell r="BQ244">
            <v>12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2</v>
          </cell>
        </row>
        <row r="245">
          <cell r="A245" t="str">
            <v>2372</v>
          </cell>
          <cell r="B245">
            <v>237</v>
          </cell>
          <cell r="C245" t="str">
            <v>2372</v>
          </cell>
          <cell r="D245">
            <v>237</v>
          </cell>
          <cell r="E245">
            <v>237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2</v>
          </cell>
          <cell r="Q245">
            <v>2</v>
          </cell>
          <cell r="R245">
            <v>12</v>
          </cell>
          <cell r="S245">
            <v>12</v>
          </cell>
          <cell r="T245" t="str">
            <v>01</v>
          </cell>
          <cell r="U245">
            <v>12</v>
          </cell>
          <cell r="V245">
            <v>12</v>
          </cell>
          <cell r="W245" t="str">
            <v xml:space="preserve"> 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67500000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1</v>
          </cell>
          <cell r="BO245">
            <v>0</v>
          </cell>
          <cell r="BP245">
            <v>1</v>
          </cell>
          <cell r="BQ245">
            <v>12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2</v>
          </cell>
        </row>
        <row r="246">
          <cell r="A246" t="str">
            <v>2382</v>
          </cell>
          <cell r="B246">
            <v>238</v>
          </cell>
          <cell r="C246" t="str">
            <v>2382</v>
          </cell>
          <cell r="D246">
            <v>238</v>
          </cell>
          <cell r="E246">
            <v>238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2</v>
          </cell>
          <cell r="Q246">
            <v>2</v>
          </cell>
          <cell r="R246">
            <v>12</v>
          </cell>
          <cell r="S246">
            <v>12</v>
          </cell>
          <cell r="T246" t="str">
            <v>01</v>
          </cell>
          <cell r="U246">
            <v>12</v>
          </cell>
          <cell r="V246">
            <v>12</v>
          </cell>
          <cell r="W246" t="str">
            <v xml:space="preserve"> 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67500000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1</v>
          </cell>
          <cell r="BO246">
            <v>0</v>
          </cell>
          <cell r="BP246">
            <v>1</v>
          </cell>
          <cell r="BQ246">
            <v>12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2</v>
          </cell>
        </row>
        <row r="247">
          <cell r="A247" t="str">
            <v>2392</v>
          </cell>
          <cell r="B247">
            <v>239</v>
          </cell>
          <cell r="C247" t="str">
            <v>2392</v>
          </cell>
          <cell r="D247">
            <v>239</v>
          </cell>
          <cell r="E247">
            <v>239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2</v>
          </cell>
          <cell r="Q247">
            <v>2</v>
          </cell>
          <cell r="R247">
            <v>12</v>
          </cell>
          <cell r="S247">
            <v>12</v>
          </cell>
          <cell r="T247" t="str">
            <v>01</v>
          </cell>
          <cell r="U247">
            <v>12</v>
          </cell>
          <cell r="V247">
            <v>12</v>
          </cell>
          <cell r="W247" t="str">
            <v xml:space="preserve"> 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67500000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1</v>
          </cell>
          <cell r="BO247">
            <v>0</v>
          </cell>
          <cell r="BP247">
            <v>1</v>
          </cell>
          <cell r="BQ247">
            <v>12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2</v>
          </cell>
        </row>
        <row r="248">
          <cell r="A248" t="str">
            <v>2402</v>
          </cell>
          <cell r="B248">
            <v>240</v>
          </cell>
          <cell r="C248" t="str">
            <v>2402</v>
          </cell>
          <cell r="D248">
            <v>240</v>
          </cell>
          <cell r="E248">
            <v>240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2</v>
          </cell>
          <cell r="Q248">
            <v>2</v>
          </cell>
          <cell r="R248">
            <v>12</v>
          </cell>
          <cell r="S248">
            <v>12</v>
          </cell>
          <cell r="T248" t="str">
            <v>01</v>
          </cell>
          <cell r="U248">
            <v>12</v>
          </cell>
          <cell r="V248">
            <v>12</v>
          </cell>
          <cell r="W248" t="str">
            <v xml:space="preserve"> 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67500000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1</v>
          </cell>
          <cell r="BO248">
            <v>0</v>
          </cell>
          <cell r="BP248">
            <v>1</v>
          </cell>
          <cell r="BQ248">
            <v>12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2</v>
          </cell>
        </row>
        <row r="249">
          <cell r="A249" t="str">
            <v>2412</v>
          </cell>
          <cell r="B249">
            <v>241</v>
          </cell>
          <cell r="C249" t="str">
            <v>2412</v>
          </cell>
          <cell r="D249">
            <v>241</v>
          </cell>
          <cell r="E249">
            <v>241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2</v>
          </cell>
          <cell r="Q249">
            <v>2</v>
          </cell>
          <cell r="R249">
            <v>12</v>
          </cell>
          <cell r="S249">
            <v>12</v>
          </cell>
          <cell r="T249" t="str">
            <v>01</v>
          </cell>
          <cell r="U249">
            <v>12</v>
          </cell>
          <cell r="V249">
            <v>12</v>
          </cell>
          <cell r="W249" t="str">
            <v xml:space="preserve"> 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67500000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1</v>
          </cell>
          <cell r="BO249">
            <v>0</v>
          </cell>
          <cell r="BP249">
            <v>1</v>
          </cell>
          <cell r="BQ249">
            <v>12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2</v>
          </cell>
        </row>
        <row r="250">
          <cell r="A250" t="str">
            <v>2422</v>
          </cell>
          <cell r="B250">
            <v>242</v>
          </cell>
          <cell r="C250" t="str">
            <v>2422</v>
          </cell>
          <cell r="D250">
            <v>242</v>
          </cell>
          <cell r="E250">
            <v>242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2</v>
          </cell>
          <cell r="Q250">
            <v>2</v>
          </cell>
          <cell r="R250">
            <v>12</v>
          </cell>
          <cell r="S250">
            <v>12</v>
          </cell>
          <cell r="T250" t="str">
            <v>01</v>
          </cell>
          <cell r="U250">
            <v>12</v>
          </cell>
          <cell r="V250">
            <v>12</v>
          </cell>
          <cell r="W250" t="str">
            <v xml:space="preserve"> 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67500000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1</v>
          </cell>
          <cell r="BO250">
            <v>0</v>
          </cell>
          <cell r="BP250">
            <v>1</v>
          </cell>
          <cell r="BQ250">
            <v>12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2</v>
          </cell>
        </row>
        <row r="251">
          <cell r="A251" t="str">
            <v>2432</v>
          </cell>
          <cell r="B251">
            <v>243</v>
          </cell>
          <cell r="C251" t="str">
            <v>2432</v>
          </cell>
          <cell r="D251">
            <v>243</v>
          </cell>
          <cell r="E251">
            <v>243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2</v>
          </cell>
          <cell r="Q251">
            <v>2</v>
          </cell>
          <cell r="R251">
            <v>12</v>
          </cell>
          <cell r="S251">
            <v>12</v>
          </cell>
          <cell r="T251" t="str">
            <v>01</v>
          </cell>
          <cell r="U251">
            <v>12</v>
          </cell>
          <cell r="V251">
            <v>12</v>
          </cell>
          <cell r="W251" t="str">
            <v xml:space="preserve"> 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67500000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1</v>
          </cell>
          <cell r="BO251">
            <v>0</v>
          </cell>
          <cell r="BP251">
            <v>1</v>
          </cell>
          <cell r="BQ251">
            <v>12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2</v>
          </cell>
        </row>
        <row r="252">
          <cell r="A252" t="str">
            <v>2442</v>
          </cell>
          <cell r="B252">
            <v>244</v>
          </cell>
          <cell r="C252" t="str">
            <v>2442</v>
          </cell>
          <cell r="D252">
            <v>244</v>
          </cell>
          <cell r="E252">
            <v>244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2</v>
          </cell>
          <cell r="Q252">
            <v>2</v>
          </cell>
          <cell r="R252">
            <v>12</v>
          </cell>
          <cell r="S252">
            <v>12</v>
          </cell>
          <cell r="T252" t="str">
            <v>01</v>
          </cell>
          <cell r="U252">
            <v>12</v>
          </cell>
          <cell r="V252">
            <v>12</v>
          </cell>
          <cell r="W252" t="str">
            <v xml:space="preserve"> 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67500000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1</v>
          </cell>
          <cell r="BO252">
            <v>0</v>
          </cell>
          <cell r="BP252">
            <v>1</v>
          </cell>
          <cell r="BQ252">
            <v>12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2</v>
          </cell>
        </row>
        <row r="253">
          <cell r="A253" t="str">
            <v>2452</v>
          </cell>
          <cell r="B253">
            <v>245</v>
          </cell>
          <cell r="C253" t="str">
            <v>2452</v>
          </cell>
          <cell r="D253">
            <v>245</v>
          </cell>
          <cell r="E253">
            <v>245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2</v>
          </cell>
          <cell r="Q253">
            <v>2</v>
          </cell>
          <cell r="R253">
            <v>12</v>
          </cell>
          <cell r="S253">
            <v>12</v>
          </cell>
          <cell r="T253" t="str">
            <v>01</v>
          </cell>
          <cell r="U253">
            <v>12</v>
          </cell>
          <cell r="V253">
            <v>12</v>
          </cell>
          <cell r="W253" t="str">
            <v xml:space="preserve"> 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67500000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1</v>
          </cell>
          <cell r="BO253">
            <v>0</v>
          </cell>
          <cell r="BP253">
            <v>1</v>
          </cell>
          <cell r="BQ253">
            <v>12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2</v>
          </cell>
        </row>
        <row r="254">
          <cell r="A254" t="str">
            <v>2462</v>
          </cell>
          <cell r="B254">
            <v>246</v>
          </cell>
          <cell r="C254" t="str">
            <v>2462</v>
          </cell>
          <cell r="D254">
            <v>246</v>
          </cell>
          <cell r="E254">
            <v>246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2</v>
          </cell>
          <cell r="Q254">
            <v>2</v>
          </cell>
          <cell r="R254">
            <v>12</v>
          </cell>
          <cell r="S254">
            <v>12</v>
          </cell>
          <cell r="T254" t="str">
            <v>01</v>
          </cell>
          <cell r="U254">
            <v>12</v>
          </cell>
          <cell r="V254">
            <v>12</v>
          </cell>
          <cell r="W254" t="str">
            <v xml:space="preserve"> 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67500000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1</v>
          </cell>
          <cell r="BO254">
            <v>0</v>
          </cell>
          <cell r="BP254">
            <v>1</v>
          </cell>
          <cell r="BQ254">
            <v>12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2</v>
          </cell>
        </row>
        <row r="255">
          <cell r="A255" t="str">
            <v>2472</v>
          </cell>
          <cell r="B255">
            <v>247</v>
          </cell>
          <cell r="C255" t="str">
            <v>2472</v>
          </cell>
          <cell r="D255">
            <v>247</v>
          </cell>
          <cell r="E255">
            <v>247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2</v>
          </cell>
          <cell r="Q255">
            <v>2</v>
          </cell>
          <cell r="R255">
            <v>12</v>
          </cell>
          <cell r="S255">
            <v>12</v>
          </cell>
          <cell r="T255" t="str">
            <v>01</v>
          </cell>
          <cell r="U255">
            <v>12</v>
          </cell>
          <cell r="V255">
            <v>12</v>
          </cell>
          <cell r="W255" t="str">
            <v xml:space="preserve"> 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67500000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1</v>
          </cell>
          <cell r="BO255">
            <v>0</v>
          </cell>
          <cell r="BP255">
            <v>1</v>
          </cell>
          <cell r="BQ255">
            <v>12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2</v>
          </cell>
        </row>
        <row r="256">
          <cell r="A256" t="str">
            <v>2482</v>
          </cell>
          <cell r="B256">
            <v>248</v>
          </cell>
          <cell r="C256" t="str">
            <v>2482</v>
          </cell>
          <cell r="D256">
            <v>248</v>
          </cell>
          <cell r="E256">
            <v>248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2</v>
          </cell>
          <cell r="Q256">
            <v>2</v>
          </cell>
          <cell r="R256">
            <v>12</v>
          </cell>
          <cell r="S256">
            <v>12</v>
          </cell>
          <cell r="T256" t="str">
            <v>01</v>
          </cell>
          <cell r="U256">
            <v>12</v>
          </cell>
          <cell r="V256">
            <v>12</v>
          </cell>
          <cell r="W256" t="str">
            <v xml:space="preserve"> 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67500000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1</v>
          </cell>
          <cell r="BO256">
            <v>0</v>
          </cell>
          <cell r="BP256">
            <v>1</v>
          </cell>
          <cell r="BQ256">
            <v>12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2</v>
          </cell>
        </row>
        <row r="257">
          <cell r="A257" t="str">
            <v>2492</v>
          </cell>
          <cell r="B257">
            <v>249</v>
          </cell>
          <cell r="C257" t="str">
            <v>2492</v>
          </cell>
          <cell r="D257">
            <v>249</v>
          </cell>
          <cell r="E257">
            <v>249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2</v>
          </cell>
          <cell r="Q257">
            <v>2</v>
          </cell>
          <cell r="R257">
            <v>12</v>
          </cell>
          <cell r="S257">
            <v>12</v>
          </cell>
          <cell r="T257" t="str">
            <v>01</v>
          </cell>
          <cell r="U257">
            <v>12</v>
          </cell>
          <cell r="V257">
            <v>12</v>
          </cell>
          <cell r="W257" t="str">
            <v xml:space="preserve"> 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67500000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1</v>
          </cell>
          <cell r="BO257">
            <v>0</v>
          </cell>
          <cell r="BP257">
            <v>1</v>
          </cell>
          <cell r="BQ257">
            <v>12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2</v>
          </cell>
        </row>
        <row r="258">
          <cell r="A258" t="str">
            <v>2502</v>
          </cell>
          <cell r="B258">
            <v>250</v>
          </cell>
          <cell r="C258" t="str">
            <v>2502</v>
          </cell>
          <cell r="D258">
            <v>250</v>
          </cell>
          <cell r="E258">
            <v>250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2</v>
          </cell>
          <cell r="Q258">
            <v>2</v>
          </cell>
          <cell r="R258">
            <v>12</v>
          </cell>
          <cell r="S258">
            <v>12</v>
          </cell>
          <cell r="T258" t="str">
            <v>01</v>
          </cell>
          <cell r="U258">
            <v>12</v>
          </cell>
          <cell r="V258">
            <v>12</v>
          </cell>
          <cell r="W258" t="str">
            <v xml:space="preserve"> 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67500000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1</v>
          </cell>
          <cell r="BO258">
            <v>0</v>
          </cell>
          <cell r="BP258">
            <v>1</v>
          </cell>
          <cell r="BQ258">
            <v>12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2</v>
          </cell>
        </row>
        <row r="259">
          <cell r="A259" t="str">
            <v>2512</v>
          </cell>
          <cell r="B259">
            <v>251</v>
          </cell>
          <cell r="C259" t="str">
            <v>2512</v>
          </cell>
          <cell r="D259">
            <v>251</v>
          </cell>
          <cell r="E259">
            <v>251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2</v>
          </cell>
          <cell r="Q259">
            <v>2</v>
          </cell>
          <cell r="R259">
            <v>12</v>
          </cell>
          <cell r="S259">
            <v>12</v>
          </cell>
          <cell r="T259" t="str">
            <v>01</v>
          </cell>
          <cell r="U259">
            <v>12</v>
          </cell>
          <cell r="V259">
            <v>12</v>
          </cell>
          <cell r="W259" t="str">
            <v xml:space="preserve"> 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67500000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1</v>
          </cell>
          <cell r="BO259">
            <v>0</v>
          </cell>
          <cell r="BP259">
            <v>1</v>
          </cell>
          <cell r="BQ259">
            <v>12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2</v>
          </cell>
        </row>
        <row r="260">
          <cell r="A260" t="str">
            <v>2522</v>
          </cell>
          <cell r="B260">
            <v>252</v>
          </cell>
          <cell r="C260" t="str">
            <v>2522</v>
          </cell>
          <cell r="D260">
            <v>252</v>
          </cell>
          <cell r="E260">
            <v>252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2</v>
          </cell>
          <cell r="Q260">
            <v>2</v>
          </cell>
          <cell r="R260">
            <v>12</v>
          </cell>
          <cell r="S260">
            <v>12</v>
          </cell>
          <cell r="T260" t="str">
            <v>01</v>
          </cell>
          <cell r="U260">
            <v>12</v>
          </cell>
          <cell r="V260">
            <v>12</v>
          </cell>
          <cell r="W260" t="str">
            <v xml:space="preserve"> 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67500000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1</v>
          </cell>
          <cell r="BO260">
            <v>0</v>
          </cell>
          <cell r="BP260">
            <v>1</v>
          </cell>
          <cell r="BQ260">
            <v>12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  <cell r="BZ260">
            <v>2</v>
          </cell>
        </row>
        <row r="261">
          <cell r="A261" t="str">
            <v>2532</v>
          </cell>
          <cell r="B261">
            <v>253</v>
          </cell>
          <cell r="C261" t="str">
            <v>2532</v>
          </cell>
          <cell r="D261">
            <v>253</v>
          </cell>
          <cell r="E261">
            <v>253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2</v>
          </cell>
          <cell r="Q261">
            <v>2</v>
          </cell>
          <cell r="R261">
            <v>12</v>
          </cell>
          <cell r="S261">
            <v>12</v>
          </cell>
          <cell r="T261" t="str">
            <v>01</v>
          </cell>
          <cell r="U261">
            <v>12</v>
          </cell>
          <cell r="V261">
            <v>12</v>
          </cell>
          <cell r="W261" t="str">
            <v xml:space="preserve"> 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67500000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1</v>
          </cell>
          <cell r="BO261">
            <v>0</v>
          </cell>
          <cell r="BP261">
            <v>1</v>
          </cell>
          <cell r="BQ261">
            <v>12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2</v>
          </cell>
        </row>
        <row r="262">
          <cell r="A262" t="str">
            <v>2542</v>
          </cell>
          <cell r="B262">
            <v>254</v>
          </cell>
          <cell r="C262" t="str">
            <v>2542</v>
          </cell>
          <cell r="D262">
            <v>254</v>
          </cell>
          <cell r="E262">
            <v>254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2</v>
          </cell>
          <cell r="Q262">
            <v>2</v>
          </cell>
          <cell r="R262">
            <v>12</v>
          </cell>
          <cell r="S262">
            <v>12</v>
          </cell>
          <cell r="T262" t="str">
            <v>01</v>
          </cell>
          <cell r="U262">
            <v>12</v>
          </cell>
          <cell r="V262">
            <v>12</v>
          </cell>
          <cell r="W262" t="str">
            <v xml:space="preserve"> 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67500000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1</v>
          </cell>
          <cell r="BO262">
            <v>0</v>
          </cell>
          <cell r="BP262">
            <v>1</v>
          </cell>
          <cell r="BQ262">
            <v>12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2</v>
          </cell>
        </row>
        <row r="263">
          <cell r="A263" t="str">
            <v>2552</v>
          </cell>
          <cell r="B263">
            <v>255</v>
          </cell>
          <cell r="C263" t="str">
            <v>2552</v>
          </cell>
          <cell r="D263">
            <v>255</v>
          </cell>
          <cell r="E263">
            <v>255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2</v>
          </cell>
          <cell r="Q263">
            <v>2</v>
          </cell>
          <cell r="R263">
            <v>12</v>
          </cell>
          <cell r="S263">
            <v>12</v>
          </cell>
          <cell r="T263" t="str">
            <v>01</v>
          </cell>
          <cell r="U263">
            <v>12</v>
          </cell>
          <cell r="V263">
            <v>12</v>
          </cell>
          <cell r="W263" t="str">
            <v xml:space="preserve"> 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67500000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1</v>
          </cell>
          <cell r="BO263">
            <v>0</v>
          </cell>
          <cell r="BP263">
            <v>1</v>
          </cell>
          <cell r="BQ263">
            <v>12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2</v>
          </cell>
        </row>
        <row r="264">
          <cell r="A264" t="str">
            <v>2562</v>
          </cell>
          <cell r="B264">
            <v>256</v>
          </cell>
          <cell r="C264" t="str">
            <v>2562</v>
          </cell>
          <cell r="D264">
            <v>256</v>
          </cell>
          <cell r="E264">
            <v>256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2</v>
          </cell>
          <cell r="Q264">
            <v>2</v>
          </cell>
          <cell r="R264">
            <v>12</v>
          </cell>
          <cell r="S264">
            <v>12</v>
          </cell>
          <cell r="T264" t="str">
            <v>01</v>
          </cell>
          <cell r="U264">
            <v>12</v>
          </cell>
          <cell r="V264">
            <v>12</v>
          </cell>
          <cell r="W264" t="str">
            <v xml:space="preserve"> 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67500000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1</v>
          </cell>
          <cell r="BO264">
            <v>0</v>
          </cell>
          <cell r="BP264">
            <v>1</v>
          </cell>
          <cell r="BQ264">
            <v>12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2</v>
          </cell>
        </row>
        <row r="265">
          <cell r="A265" t="str">
            <v>2572</v>
          </cell>
          <cell r="B265">
            <v>257</v>
          </cell>
          <cell r="C265" t="str">
            <v>2572</v>
          </cell>
          <cell r="D265">
            <v>257</v>
          </cell>
          <cell r="E265">
            <v>257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2</v>
          </cell>
          <cell r="Q265">
            <v>2</v>
          </cell>
          <cell r="R265">
            <v>12</v>
          </cell>
          <cell r="S265">
            <v>12</v>
          </cell>
          <cell r="T265" t="str">
            <v>01</v>
          </cell>
          <cell r="U265">
            <v>12</v>
          </cell>
          <cell r="V265">
            <v>12</v>
          </cell>
          <cell r="W265" t="str">
            <v xml:space="preserve"> 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67500000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1</v>
          </cell>
          <cell r="BO265">
            <v>0</v>
          </cell>
          <cell r="BP265">
            <v>1</v>
          </cell>
          <cell r="BQ265">
            <v>12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2</v>
          </cell>
        </row>
        <row r="266">
          <cell r="A266" t="str">
            <v>2582</v>
          </cell>
          <cell r="B266">
            <v>258</v>
          </cell>
          <cell r="C266" t="str">
            <v>2582</v>
          </cell>
          <cell r="D266">
            <v>258</v>
          </cell>
          <cell r="E266">
            <v>258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2</v>
          </cell>
          <cell r="Q266">
            <v>2</v>
          </cell>
          <cell r="R266">
            <v>12</v>
          </cell>
          <cell r="S266">
            <v>12</v>
          </cell>
          <cell r="T266" t="str">
            <v>01</v>
          </cell>
          <cell r="U266">
            <v>12</v>
          </cell>
          <cell r="V266">
            <v>12</v>
          </cell>
          <cell r="W266" t="str">
            <v xml:space="preserve"> 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67500000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1</v>
          </cell>
          <cell r="BO266">
            <v>0</v>
          </cell>
          <cell r="BP266">
            <v>1</v>
          </cell>
          <cell r="BQ266">
            <v>12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2</v>
          </cell>
        </row>
        <row r="267">
          <cell r="A267" t="str">
            <v>2592</v>
          </cell>
          <cell r="B267">
            <v>259</v>
          </cell>
          <cell r="C267" t="str">
            <v>2592</v>
          </cell>
          <cell r="D267">
            <v>259</v>
          </cell>
          <cell r="E267">
            <v>259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2</v>
          </cell>
          <cell r="Q267">
            <v>2</v>
          </cell>
          <cell r="R267">
            <v>12</v>
          </cell>
          <cell r="S267">
            <v>12</v>
          </cell>
          <cell r="T267" t="str">
            <v>01</v>
          </cell>
          <cell r="U267">
            <v>12</v>
          </cell>
          <cell r="V267">
            <v>12</v>
          </cell>
          <cell r="W267" t="str">
            <v xml:space="preserve"> 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67500000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1</v>
          </cell>
          <cell r="BO267">
            <v>0</v>
          </cell>
          <cell r="BP267">
            <v>1</v>
          </cell>
          <cell r="BQ267">
            <v>12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2</v>
          </cell>
        </row>
        <row r="268">
          <cell r="A268" t="str">
            <v>2602</v>
          </cell>
          <cell r="B268">
            <v>260</v>
          </cell>
          <cell r="C268" t="str">
            <v>2602</v>
          </cell>
          <cell r="D268">
            <v>260</v>
          </cell>
          <cell r="E268">
            <v>260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2</v>
          </cell>
          <cell r="Q268">
            <v>2</v>
          </cell>
          <cell r="R268">
            <v>12</v>
          </cell>
          <cell r="S268">
            <v>12</v>
          </cell>
          <cell r="T268" t="str">
            <v>01</v>
          </cell>
          <cell r="U268">
            <v>12</v>
          </cell>
          <cell r="V268">
            <v>12</v>
          </cell>
          <cell r="W268" t="str">
            <v xml:space="preserve"> 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67500000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1</v>
          </cell>
          <cell r="BO268">
            <v>0</v>
          </cell>
          <cell r="BP268">
            <v>1</v>
          </cell>
          <cell r="BQ268">
            <v>12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2</v>
          </cell>
        </row>
        <row r="269">
          <cell r="A269" t="str">
            <v>2612</v>
          </cell>
          <cell r="B269">
            <v>261</v>
          </cell>
          <cell r="C269" t="str">
            <v>2612</v>
          </cell>
          <cell r="D269">
            <v>261</v>
          </cell>
          <cell r="E269">
            <v>261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2</v>
          </cell>
          <cell r="Q269">
            <v>2</v>
          </cell>
          <cell r="R269">
            <v>12</v>
          </cell>
          <cell r="S269">
            <v>12</v>
          </cell>
          <cell r="T269" t="str">
            <v>01</v>
          </cell>
          <cell r="U269">
            <v>12</v>
          </cell>
          <cell r="V269">
            <v>12</v>
          </cell>
          <cell r="W269" t="str">
            <v xml:space="preserve"> 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67500000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1</v>
          </cell>
          <cell r="BO269">
            <v>0</v>
          </cell>
          <cell r="BP269">
            <v>1</v>
          </cell>
          <cell r="BQ269">
            <v>12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2</v>
          </cell>
        </row>
        <row r="270">
          <cell r="A270" t="str">
            <v>2622</v>
          </cell>
          <cell r="B270">
            <v>262</v>
          </cell>
          <cell r="C270" t="str">
            <v>2622</v>
          </cell>
          <cell r="D270">
            <v>262</v>
          </cell>
          <cell r="E270">
            <v>262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2</v>
          </cell>
          <cell r="Q270">
            <v>2</v>
          </cell>
          <cell r="R270">
            <v>12</v>
          </cell>
          <cell r="S270">
            <v>12</v>
          </cell>
          <cell r="T270" t="str">
            <v>01</v>
          </cell>
          <cell r="U270">
            <v>12</v>
          </cell>
          <cell r="V270">
            <v>12</v>
          </cell>
          <cell r="W270" t="str">
            <v xml:space="preserve"> 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67500000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1</v>
          </cell>
          <cell r="BO270">
            <v>0</v>
          </cell>
          <cell r="BP270">
            <v>1</v>
          </cell>
          <cell r="BQ270">
            <v>12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2</v>
          </cell>
        </row>
        <row r="271">
          <cell r="A271" t="str">
            <v>2632</v>
          </cell>
          <cell r="B271">
            <v>263</v>
          </cell>
          <cell r="C271" t="str">
            <v>2632</v>
          </cell>
          <cell r="D271">
            <v>263</v>
          </cell>
          <cell r="E271">
            <v>263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2</v>
          </cell>
          <cell r="Q271">
            <v>2</v>
          </cell>
          <cell r="R271">
            <v>12</v>
          </cell>
          <cell r="S271">
            <v>12</v>
          </cell>
          <cell r="T271" t="str">
            <v>01</v>
          </cell>
          <cell r="U271">
            <v>12</v>
          </cell>
          <cell r="V271">
            <v>12</v>
          </cell>
          <cell r="W271" t="str">
            <v xml:space="preserve"> 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67500000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1</v>
          </cell>
          <cell r="BO271">
            <v>0</v>
          </cell>
          <cell r="BP271">
            <v>1</v>
          </cell>
          <cell r="BQ271">
            <v>12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2</v>
          </cell>
        </row>
        <row r="272">
          <cell r="A272" t="str">
            <v>2642</v>
          </cell>
          <cell r="B272">
            <v>264</v>
          </cell>
          <cell r="C272" t="str">
            <v>2642</v>
          </cell>
          <cell r="D272">
            <v>264</v>
          </cell>
          <cell r="E272">
            <v>264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2</v>
          </cell>
          <cell r="Q272">
            <v>2</v>
          </cell>
          <cell r="R272">
            <v>12</v>
          </cell>
          <cell r="S272">
            <v>12</v>
          </cell>
          <cell r="T272" t="str">
            <v>01</v>
          </cell>
          <cell r="U272">
            <v>12</v>
          </cell>
          <cell r="V272">
            <v>12</v>
          </cell>
          <cell r="W272" t="str">
            <v xml:space="preserve"> 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67500000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1</v>
          </cell>
          <cell r="BO272">
            <v>0</v>
          </cell>
          <cell r="BP272">
            <v>1</v>
          </cell>
          <cell r="BQ272">
            <v>12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0</v>
          </cell>
          <cell r="BY272">
            <v>0</v>
          </cell>
          <cell r="BZ272">
            <v>2</v>
          </cell>
        </row>
        <row r="273">
          <cell r="A273" t="str">
            <v>2652</v>
          </cell>
          <cell r="B273">
            <v>265</v>
          </cell>
          <cell r="C273" t="str">
            <v>2652</v>
          </cell>
          <cell r="D273">
            <v>265</v>
          </cell>
          <cell r="E273">
            <v>265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2</v>
          </cell>
          <cell r="Q273">
            <v>2</v>
          </cell>
          <cell r="R273">
            <v>12</v>
          </cell>
          <cell r="S273">
            <v>12</v>
          </cell>
          <cell r="T273" t="str">
            <v>01</v>
          </cell>
          <cell r="U273">
            <v>12</v>
          </cell>
          <cell r="V273">
            <v>12</v>
          </cell>
          <cell r="W273" t="str">
            <v xml:space="preserve"> 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67500000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1</v>
          </cell>
          <cell r="BO273">
            <v>0</v>
          </cell>
          <cell r="BP273">
            <v>1</v>
          </cell>
          <cell r="BQ273">
            <v>12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0</v>
          </cell>
          <cell r="BW273">
            <v>0</v>
          </cell>
          <cell r="BX273">
            <v>0</v>
          </cell>
          <cell r="BY273">
            <v>0</v>
          </cell>
          <cell r="BZ273">
            <v>2</v>
          </cell>
        </row>
        <row r="274">
          <cell r="A274" t="str">
            <v>2662</v>
          </cell>
          <cell r="B274">
            <v>266</v>
          </cell>
          <cell r="C274" t="str">
            <v>2662</v>
          </cell>
          <cell r="D274">
            <v>266</v>
          </cell>
          <cell r="E274">
            <v>266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2</v>
          </cell>
          <cell r="Q274">
            <v>2</v>
          </cell>
          <cell r="R274">
            <v>12</v>
          </cell>
          <cell r="S274">
            <v>12</v>
          </cell>
          <cell r="T274" t="str">
            <v>01</v>
          </cell>
          <cell r="U274">
            <v>12</v>
          </cell>
          <cell r="V274">
            <v>12</v>
          </cell>
          <cell r="W274" t="str">
            <v xml:space="preserve"> 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67500000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1</v>
          </cell>
          <cell r="BO274">
            <v>0</v>
          </cell>
          <cell r="BP274">
            <v>1</v>
          </cell>
          <cell r="BQ274">
            <v>12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  <cell r="BZ274">
            <v>2</v>
          </cell>
        </row>
        <row r="275">
          <cell r="A275" t="str">
            <v>2672</v>
          </cell>
          <cell r="B275">
            <v>267</v>
          </cell>
          <cell r="C275" t="str">
            <v>2672</v>
          </cell>
          <cell r="D275">
            <v>267</v>
          </cell>
          <cell r="E275">
            <v>267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2</v>
          </cell>
          <cell r="Q275">
            <v>2</v>
          </cell>
          <cell r="R275">
            <v>12</v>
          </cell>
          <cell r="S275">
            <v>12</v>
          </cell>
          <cell r="T275" t="str">
            <v>01</v>
          </cell>
          <cell r="U275">
            <v>12</v>
          </cell>
          <cell r="V275">
            <v>12</v>
          </cell>
          <cell r="W275" t="str">
            <v xml:space="preserve"> 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67500000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1</v>
          </cell>
          <cell r="BO275">
            <v>0</v>
          </cell>
          <cell r="BP275">
            <v>1</v>
          </cell>
          <cell r="BQ275">
            <v>12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0</v>
          </cell>
          <cell r="BY275">
            <v>0</v>
          </cell>
          <cell r="BZ275">
            <v>2</v>
          </cell>
        </row>
        <row r="276">
          <cell r="A276" t="str">
            <v>2682</v>
          </cell>
          <cell r="B276">
            <v>268</v>
          </cell>
          <cell r="C276" t="str">
            <v>2682</v>
          </cell>
          <cell r="D276">
            <v>268</v>
          </cell>
          <cell r="E276">
            <v>268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2</v>
          </cell>
          <cell r="Q276">
            <v>2</v>
          </cell>
          <cell r="R276">
            <v>12</v>
          </cell>
          <cell r="S276">
            <v>12</v>
          </cell>
          <cell r="T276" t="str">
            <v>01</v>
          </cell>
          <cell r="U276">
            <v>12</v>
          </cell>
          <cell r="V276">
            <v>12</v>
          </cell>
          <cell r="W276" t="str">
            <v xml:space="preserve"> 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67500000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1</v>
          </cell>
          <cell r="BO276">
            <v>0</v>
          </cell>
          <cell r="BP276">
            <v>1</v>
          </cell>
          <cell r="BQ276">
            <v>12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  <cell r="BX276">
            <v>0</v>
          </cell>
          <cell r="BY276">
            <v>0</v>
          </cell>
          <cell r="BZ276">
            <v>2</v>
          </cell>
        </row>
        <row r="277">
          <cell r="A277" t="str">
            <v>2692</v>
          </cell>
          <cell r="B277">
            <v>269</v>
          </cell>
          <cell r="C277" t="str">
            <v>2692</v>
          </cell>
          <cell r="D277">
            <v>269</v>
          </cell>
          <cell r="E277">
            <v>269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2</v>
          </cell>
          <cell r="Q277">
            <v>2</v>
          </cell>
          <cell r="R277">
            <v>12</v>
          </cell>
          <cell r="S277">
            <v>12</v>
          </cell>
          <cell r="T277" t="str">
            <v>01</v>
          </cell>
          <cell r="U277">
            <v>12</v>
          </cell>
          <cell r="V277">
            <v>12</v>
          </cell>
          <cell r="W277" t="str">
            <v xml:space="preserve"> 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67500000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1</v>
          </cell>
          <cell r="BO277">
            <v>0</v>
          </cell>
          <cell r="BP277">
            <v>1</v>
          </cell>
          <cell r="BQ277">
            <v>12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  <cell r="BX277">
            <v>0</v>
          </cell>
          <cell r="BY277">
            <v>0</v>
          </cell>
          <cell r="BZ277">
            <v>2</v>
          </cell>
        </row>
        <row r="278">
          <cell r="A278" t="str">
            <v>2702</v>
          </cell>
          <cell r="B278">
            <v>270</v>
          </cell>
          <cell r="C278" t="str">
            <v>2702</v>
          </cell>
          <cell r="D278">
            <v>270</v>
          </cell>
          <cell r="E278">
            <v>270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2</v>
          </cell>
          <cell r="Q278">
            <v>2</v>
          </cell>
          <cell r="R278">
            <v>12</v>
          </cell>
          <cell r="S278">
            <v>12</v>
          </cell>
          <cell r="T278" t="str">
            <v>01</v>
          </cell>
          <cell r="U278">
            <v>12</v>
          </cell>
          <cell r="V278">
            <v>12</v>
          </cell>
          <cell r="W278" t="str">
            <v xml:space="preserve"> 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67500000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1</v>
          </cell>
          <cell r="BO278">
            <v>0</v>
          </cell>
          <cell r="BP278">
            <v>1</v>
          </cell>
          <cell r="BQ278">
            <v>12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  <cell r="BX278">
            <v>0</v>
          </cell>
          <cell r="BY278">
            <v>0</v>
          </cell>
          <cell r="BZ278">
            <v>2</v>
          </cell>
        </row>
        <row r="279">
          <cell r="A279" t="str">
            <v>2712</v>
          </cell>
          <cell r="B279">
            <v>271</v>
          </cell>
          <cell r="C279" t="str">
            <v>2712</v>
          </cell>
          <cell r="D279">
            <v>271</v>
          </cell>
          <cell r="E279">
            <v>271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2</v>
          </cell>
          <cell r="Q279">
            <v>2</v>
          </cell>
          <cell r="R279">
            <v>12</v>
          </cell>
          <cell r="S279">
            <v>12</v>
          </cell>
          <cell r="T279" t="str">
            <v>01</v>
          </cell>
          <cell r="U279">
            <v>12</v>
          </cell>
          <cell r="V279">
            <v>12</v>
          </cell>
          <cell r="W279" t="str">
            <v xml:space="preserve"> 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67500000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>
            <v>0</v>
          </cell>
          <cell r="BM279">
            <v>0</v>
          </cell>
          <cell r="BN279">
            <v>1</v>
          </cell>
          <cell r="BO279">
            <v>0</v>
          </cell>
          <cell r="BP279">
            <v>1</v>
          </cell>
          <cell r="BQ279">
            <v>12</v>
          </cell>
          <cell r="BR279">
            <v>0</v>
          </cell>
          <cell r="BS279">
            <v>0</v>
          </cell>
          <cell r="BT279">
            <v>0</v>
          </cell>
          <cell r="BU279">
            <v>0</v>
          </cell>
          <cell r="BV279">
            <v>0</v>
          </cell>
          <cell r="BW279">
            <v>0</v>
          </cell>
          <cell r="BX279">
            <v>0</v>
          </cell>
          <cell r="BY279">
            <v>0</v>
          </cell>
          <cell r="BZ279">
            <v>2</v>
          </cell>
        </row>
        <row r="280">
          <cell r="A280" t="str">
            <v>2722</v>
          </cell>
          <cell r="B280">
            <v>272</v>
          </cell>
          <cell r="C280" t="str">
            <v>2722</v>
          </cell>
          <cell r="D280">
            <v>272</v>
          </cell>
          <cell r="E280">
            <v>272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2</v>
          </cell>
          <cell r="Q280">
            <v>2</v>
          </cell>
          <cell r="R280">
            <v>12</v>
          </cell>
          <cell r="S280">
            <v>12</v>
          </cell>
          <cell r="T280" t="str">
            <v>01</v>
          </cell>
          <cell r="U280">
            <v>12</v>
          </cell>
          <cell r="V280">
            <v>12</v>
          </cell>
          <cell r="W280" t="str">
            <v xml:space="preserve"> 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67500000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1</v>
          </cell>
          <cell r="BO280">
            <v>0</v>
          </cell>
          <cell r="BP280">
            <v>1</v>
          </cell>
          <cell r="BQ280">
            <v>12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V280">
            <v>0</v>
          </cell>
          <cell r="BW280">
            <v>0</v>
          </cell>
          <cell r="BX280">
            <v>0</v>
          </cell>
          <cell r="BY280">
            <v>0</v>
          </cell>
          <cell r="BZ280">
            <v>2</v>
          </cell>
        </row>
        <row r="281">
          <cell r="A281" t="str">
            <v>2732</v>
          </cell>
          <cell r="B281">
            <v>273</v>
          </cell>
          <cell r="C281" t="str">
            <v>2732</v>
          </cell>
          <cell r="D281">
            <v>273</v>
          </cell>
          <cell r="E281">
            <v>273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2</v>
          </cell>
          <cell r="Q281">
            <v>2</v>
          </cell>
          <cell r="R281">
            <v>12</v>
          </cell>
          <cell r="S281">
            <v>12</v>
          </cell>
          <cell r="T281" t="str">
            <v>01</v>
          </cell>
          <cell r="U281">
            <v>12</v>
          </cell>
          <cell r="V281">
            <v>12</v>
          </cell>
          <cell r="W281" t="str">
            <v xml:space="preserve"> 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67500000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1</v>
          </cell>
          <cell r="BO281">
            <v>0</v>
          </cell>
          <cell r="BP281">
            <v>1</v>
          </cell>
          <cell r="BQ281">
            <v>12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>
            <v>0</v>
          </cell>
          <cell r="BZ281">
            <v>2</v>
          </cell>
        </row>
        <row r="282">
          <cell r="A282" t="str">
            <v>2742</v>
          </cell>
          <cell r="B282">
            <v>274</v>
          </cell>
          <cell r="C282" t="str">
            <v>2742</v>
          </cell>
          <cell r="D282">
            <v>274</v>
          </cell>
          <cell r="E282">
            <v>274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2</v>
          </cell>
          <cell r="Q282">
            <v>2</v>
          </cell>
          <cell r="R282">
            <v>12</v>
          </cell>
          <cell r="S282">
            <v>12</v>
          </cell>
          <cell r="T282" t="str">
            <v>01</v>
          </cell>
          <cell r="U282">
            <v>12</v>
          </cell>
          <cell r="V282">
            <v>12</v>
          </cell>
          <cell r="W282" t="str">
            <v xml:space="preserve"> 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67500000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1</v>
          </cell>
          <cell r="BO282">
            <v>0</v>
          </cell>
          <cell r="BP282">
            <v>1</v>
          </cell>
          <cell r="BQ282">
            <v>12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  <cell r="BY282">
            <v>0</v>
          </cell>
          <cell r="BZ282">
            <v>2</v>
          </cell>
        </row>
        <row r="283">
          <cell r="A283" t="str">
            <v>2752</v>
          </cell>
          <cell r="B283">
            <v>275</v>
          </cell>
          <cell r="C283" t="str">
            <v>2752</v>
          </cell>
          <cell r="D283">
            <v>275</v>
          </cell>
          <cell r="E283">
            <v>275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2</v>
          </cell>
          <cell r="Q283">
            <v>2</v>
          </cell>
          <cell r="R283">
            <v>12</v>
          </cell>
          <cell r="S283">
            <v>12</v>
          </cell>
          <cell r="T283" t="str">
            <v>01</v>
          </cell>
          <cell r="U283">
            <v>12</v>
          </cell>
          <cell r="V283">
            <v>12</v>
          </cell>
          <cell r="W283" t="str">
            <v xml:space="preserve"> 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67500000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1</v>
          </cell>
          <cell r="BO283">
            <v>0</v>
          </cell>
          <cell r="BP283">
            <v>1</v>
          </cell>
          <cell r="BQ283">
            <v>12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  <cell r="BZ283">
            <v>2</v>
          </cell>
        </row>
        <row r="284">
          <cell r="A284" t="str">
            <v>2762</v>
          </cell>
          <cell r="B284">
            <v>276</v>
          </cell>
          <cell r="C284" t="str">
            <v>2762</v>
          </cell>
          <cell r="D284">
            <v>276</v>
          </cell>
          <cell r="E284">
            <v>276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2</v>
          </cell>
          <cell r="Q284">
            <v>2</v>
          </cell>
          <cell r="R284">
            <v>12</v>
          </cell>
          <cell r="S284">
            <v>12</v>
          </cell>
          <cell r="T284" t="str">
            <v>01</v>
          </cell>
          <cell r="U284">
            <v>12</v>
          </cell>
          <cell r="V284">
            <v>12</v>
          </cell>
          <cell r="W284" t="str">
            <v xml:space="preserve"> 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67500000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1</v>
          </cell>
          <cell r="BO284">
            <v>0</v>
          </cell>
          <cell r="BP284">
            <v>1</v>
          </cell>
          <cell r="BQ284">
            <v>12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  <cell r="BY284">
            <v>0</v>
          </cell>
          <cell r="BZ284">
            <v>2</v>
          </cell>
        </row>
        <row r="285">
          <cell r="A285" t="str">
            <v>2772</v>
          </cell>
          <cell r="B285">
            <v>277</v>
          </cell>
          <cell r="C285" t="str">
            <v>2772</v>
          </cell>
          <cell r="D285">
            <v>277</v>
          </cell>
          <cell r="E285">
            <v>277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2</v>
          </cell>
          <cell r="Q285">
            <v>2</v>
          </cell>
          <cell r="R285">
            <v>12</v>
          </cell>
          <cell r="S285">
            <v>12</v>
          </cell>
          <cell r="T285" t="str">
            <v>01</v>
          </cell>
          <cell r="U285">
            <v>12</v>
          </cell>
          <cell r="V285">
            <v>12</v>
          </cell>
          <cell r="W285" t="str">
            <v xml:space="preserve"> 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67500000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1</v>
          </cell>
          <cell r="BO285">
            <v>0</v>
          </cell>
          <cell r="BP285">
            <v>1</v>
          </cell>
          <cell r="BQ285">
            <v>12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2</v>
          </cell>
        </row>
        <row r="286">
          <cell r="A286" t="str">
            <v>2782</v>
          </cell>
          <cell r="B286">
            <v>278</v>
          </cell>
          <cell r="C286" t="str">
            <v>2782</v>
          </cell>
          <cell r="D286">
            <v>278</v>
          </cell>
          <cell r="E286">
            <v>278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2</v>
          </cell>
          <cell r="Q286">
            <v>2</v>
          </cell>
          <cell r="R286">
            <v>12</v>
          </cell>
          <cell r="S286">
            <v>12</v>
          </cell>
          <cell r="T286" t="str">
            <v>01</v>
          </cell>
          <cell r="U286">
            <v>12</v>
          </cell>
          <cell r="V286">
            <v>12</v>
          </cell>
          <cell r="W286" t="str">
            <v xml:space="preserve"> 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67500000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1</v>
          </cell>
          <cell r="BO286">
            <v>0</v>
          </cell>
          <cell r="BP286">
            <v>1</v>
          </cell>
          <cell r="BQ286">
            <v>12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  <cell r="BY286">
            <v>0</v>
          </cell>
          <cell r="BZ286">
            <v>2</v>
          </cell>
        </row>
        <row r="287">
          <cell r="A287" t="str">
            <v>2792</v>
          </cell>
          <cell r="B287">
            <v>279</v>
          </cell>
          <cell r="C287" t="str">
            <v>2792</v>
          </cell>
          <cell r="D287">
            <v>279</v>
          </cell>
          <cell r="E287">
            <v>279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2</v>
          </cell>
          <cell r="Q287">
            <v>2</v>
          </cell>
          <cell r="R287">
            <v>12</v>
          </cell>
          <cell r="S287">
            <v>12</v>
          </cell>
          <cell r="T287" t="str">
            <v>01</v>
          </cell>
          <cell r="U287">
            <v>12</v>
          </cell>
          <cell r="V287">
            <v>12</v>
          </cell>
          <cell r="W287" t="str">
            <v xml:space="preserve"> 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67500000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0</v>
          </cell>
          <cell r="BM287">
            <v>0</v>
          </cell>
          <cell r="BN287">
            <v>1</v>
          </cell>
          <cell r="BO287">
            <v>0</v>
          </cell>
          <cell r="BP287">
            <v>1</v>
          </cell>
          <cell r="BQ287">
            <v>12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>
            <v>0</v>
          </cell>
          <cell r="BW287">
            <v>0</v>
          </cell>
          <cell r="BX287">
            <v>0</v>
          </cell>
          <cell r="BY287">
            <v>0</v>
          </cell>
          <cell r="BZ287">
            <v>2</v>
          </cell>
        </row>
        <row r="288">
          <cell r="A288" t="str">
            <v>2802</v>
          </cell>
          <cell r="B288">
            <v>280</v>
          </cell>
          <cell r="C288" t="str">
            <v>2802</v>
          </cell>
          <cell r="D288">
            <v>280</v>
          </cell>
          <cell r="E288">
            <v>280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2</v>
          </cell>
          <cell r="Q288">
            <v>2</v>
          </cell>
          <cell r="R288">
            <v>12</v>
          </cell>
          <cell r="S288">
            <v>12</v>
          </cell>
          <cell r="T288" t="str">
            <v>01</v>
          </cell>
          <cell r="U288">
            <v>12</v>
          </cell>
          <cell r="V288">
            <v>12</v>
          </cell>
          <cell r="W288" t="str">
            <v xml:space="preserve"> 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67500000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1</v>
          </cell>
          <cell r="BO288">
            <v>0</v>
          </cell>
          <cell r="BP288">
            <v>1</v>
          </cell>
          <cell r="BQ288">
            <v>12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  <cell r="BY288">
            <v>0</v>
          </cell>
          <cell r="BZ288">
            <v>2</v>
          </cell>
        </row>
        <row r="289">
          <cell r="A289" t="str">
            <v>2812</v>
          </cell>
          <cell r="B289">
            <v>281</v>
          </cell>
          <cell r="C289" t="str">
            <v>2812</v>
          </cell>
          <cell r="D289">
            <v>281</v>
          </cell>
          <cell r="E289">
            <v>281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2</v>
          </cell>
          <cell r="Q289">
            <v>2</v>
          </cell>
          <cell r="R289">
            <v>12</v>
          </cell>
          <cell r="S289">
            <v>12</v>
          </cell>
          <cell r="T289" t="str">
            <v>01</v>
          </cell>
          <cell r="U289">
            <v>12</v>
          </cell>
          <cell r="V289">
            <v>12</v>
          </cell>
          <cell r="W289" t="str">
            <v xml:space="preserve"> 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67500000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0</v>
          </cell>
          <cell r="BN289">
            <v>1</v>
          </cell>
          <cell r="BO289">
            <v>0</v>
          </cell>
          <cell r="BP289">
            <v>1</v>
          </cell>
          <cell r="BQ289">
            <v>12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0</v>
          </cell>
          <cell r="BY289">
            <v>0</v>
          </cell>
          <cell r="BZ289">
            <v>2</v>
          </cell>
        </row>
        <row r="290">
          <cell r="A290" t="str">
            <v>2822</v>
          </cell>
          <cell r="B290">
            <v>282</v>
          </cell>
          <cell r="C290" t="str">
            <v>2822</v>
          </cell>
          <cell r="D290">
            <v>282</v>
          </cell>
          <cell r="E290">
            <v>282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2</v>
          </cell>
          <cell r="Q290">
            <v>2</v>
          </cell>
          <cell r="R290">
            <v>12</v>
          </cell>
          <cell r="S290">
            <v>12</v>
          </cell>
          <cell r="T290" t="str">
            <v>01</v>
          </cell>
          <cell r="U290">
            <v>12</v>
          </cell>
          <cell r="V290">
            <v>12</v>
          </cell>
          <cell r="W290" t="str">
            <v xml:space="preserve"> 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67500000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1</v>
          </cell>
          <cell r="BO290">
            <v>0</v>
          </cell>
          <cell r="BP290">
            <v>1</v>
          </cell>
          <cell r="BQ290">
            <v>12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0</v>
          </cell>
          <cell r="BY290">
            <v>0</v>
          </cell>
          <cell r="BZ290">
            <v>2</v>
          </cell>
        </row>
        <row r="291">
          <cell r="A291" t="str">
            <v>2832</v>
          </cell>
          <cell r="B291">
            <v>283</v>
          </cell>
          <cell r="C291" t="str">
            <v>2832</v>
          </cell>
          <cell r="D291">
            <v>283</v>
          </cell>
          <cell r="E291">
            <v>283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2</v>
          </cell>
          <cell r="Q291">
            <v>2</v>
          </cell>
          <cell r="R291">
            <v>12</v>
          </cell>
          <cell r="S291">
            <v>12</v>
          </cell>
          <cell r="T291" t="str">
            <v>01</v>
          </cell>
          <cell r="U291">
            <v>12</v>
          </cell>
          <cell r="V291">
            <v>12</v>
          </cell>
          <cell r="W291" t="str">
            <v xml:space="preserve"> 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67500000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>
            <v>0</v>
          </cell>
          <cell r="BN291">
            <v>1</v>
          </cell>
          <cell r="BO291">
            <v>0</v>
          </cell>
          <cell r="BP291">
            <v>1</v>
          </cell>
          <cell r="BQ291">
            <v>12</v>
          </cell>
          <cell r="BR291">
            <v>0</v>
          </cell>
          <cell r="BS291">
            <v>0</v>
          </cell>
          <cell r="BT291">
            <v>0</v>
          </cell>
          <cell r="BU291">
            <v>0</v>
          </cell>
          <cell r="BV291">
            <v>0</v>
          </cell>
          <cell r="BW291">
            <v>0</v>
          </cell>
          <cell r="BX291">
            <v>0</v>
          </cell>
          <cell r="BY291">
            <v>0</v>
          </cell>
          <cell r="BZ291">
            <v>2</v>
          </cell>
        </row>
        <row r="292">
          <cell r="A292" t="str">
            <v>2842</v>
          </cell>
          <cell r="B292">
            <v>284</v>
          </cell>
          <cell r="C292" t="str">
            <v>2842</v>
          </cell>
          <cell r="D292">
            <v>284</v>
          </cell>
          <cell r="E292">
            <v>284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2</v>
          </cell>
          <cell r="Q292">
            <v>2</v>
          </cell>
          <cell r="R292">
            <v>12</v>
          </cell>
          <cell r="S292">
            <v>12</v>
          </cell>
          <cell r="T292" t="str">
            <v>01</v>
          </cell>
          <cell r="U292">
            <v>12</v>
          </cell>
          <cell r="V292">
            <v>12</v>
          </cell>
          <cell r="W292" t="str">
            <v xml:space="preserve"> 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67500000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1</v>
          </cell>
          <cell r="BO292">
            <v>0</v>
          </cell>
          <cell r="BP292">
            <v>1</v>
          </cell>
          <cell r="BQ292">
            <v>12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V292">
            <v>0</v>
          </cell>
          <cell r="BW292">
            <v>0</v>
          </cell>
          <cell r="BX292">
            <v>0</v>
          </cell>
          <cell r="BY292">
            <v>0</v>
          </cell>
          <cell r="BZ292">
            <v>2</v>
          </cell>
        </row>
        <row r="293">
          <cell r="A293" t="str">
            <v>2852</v>
          </cell>
          <cell r="B293">
            <v>285</v>
          </cell>
          <cell r="C293" t="str">
            <v>2852</v>
          </cell>
          <cell r="D293">
            <v>285</v>
          </cell>
          <cell r="E293">
            <v>285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2</v>
          </cell>
          <cell r="Q293">
            <v>2</v>
          </cell>
          <cell r="R293">
            <v>12</v>
          </cell>
          <cell r="S293">
            <v>12</v>
          </cell>
          <cell r="T293" t="str">
            <v>01</v>
          </cell>
          <cell r="U293">
            <v>12</v>
          </cell>
          <cell r="V293">
            <v>12</v>
          </cell>
          <cell r="W293" t="str">
            <v xml:space="preserve"> 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67500000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1</v>
          </cell>
          <cell r="BO293">
            <v>0</v>
          </cell>
          <cell r="BP293">
            <v>1</v>
          </cell>
          <cell r="BQ293">
            <v>12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0</v>
          </cell>
          <cell r="BY293">
            <v>0</v>
          </cell>
          <cell r="BZ293">
            <v>2</v>
          </cell>
        </row>
        <row r="294">
          <cell r="A294" t="str">
            <v>2862</v>
          </cell>
          <cell r="B294">
            <v>286</v>
          </cell>
          <cell r="C294" t="str">
            <v>2862</v>
          </cell>
          <cell r="D294">
            <v>286</v>
          </cell>
          <cell r="E294">
            <v>286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2</v>
          </cell>
          <cell r="Q294">
            <v>2</v>
          </cell>
          <cell r="R294">
            <v>12</v>
          </cell>
          <cell r="S294">
            <v>12</v>
          </cell>
          <cell r="T294" t="str">
            <v>01</v>
          </cell>
          <cell r="U294">
            <v>12</v>
          </cell>
          <cell r="V294">
            <v>12</v>
          </cell>
          <cell r="W294" t="str">
            <v xml:space="preserve"> 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67500000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1</v>
          </cell>
          <cell r="BO294">
            <v>0</v>
          </cell>
          <cell r="BP294">
            <v>1</v>
          </cell>
          <cell r="BQ294">
            <v>12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0</v>
          </cell>
          <cell r="BY294">
            <v>0</v>
          </cell>
          <cell r="BZ294">
            <v>2</v>
          </cell>
        </row>
        <row r="295">
          <cell r="A295" t="str">
            <v>2872</v>
          </cell>
          <cell r="B295">
            <v>287</v>
          </cell>
          <cell r="C295" t="str">
            <v>2872</v>
          </cell>
          <cell r="D295">
            <v>287</v>
          </cell>
          <cell r="E295">
            <v>287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2</v>
          </cell>
          <cell r="Q295">
            <v>2</v>
          </cell>
          <cell r="R295">
            <v>12</v>
          </cell>
          <cell r="S295">
            <v>12</v>
          </cell>
          <cell r="T295" t="str">
            <v>01</v>
          </cell>
          <cell r="U295">
            <v>12</v>
          </cell>
          <cell r="V295">
            <v>12</v>
          </cell>
          <cell r="W295" t="str">
            <v xml:space="preserve"> 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67500000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1</v>
          </cell>
          <cell r="BO295">
            <v>0</v>
          </cell>
          <cell r="BP295">
            <v>1</v>
          </cell>
          <cell r="BQ295">
            <v>12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2</v>
          </cell>
        </row>
        <row r="296">
          <cell r="A296" t="str">
            <v>2882</v>
          </cell>
          <cell r="B296">
            <v>288</v>
          </cell>
          <cell r="C296" t="str">
            <v>2882</v>
          </cell>
          <cell r="D296">
            <v>288</v>
          </cell>
          <cell r="E296">
            <v>288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2</v>
          </cell>
          <cell r="Q296">
            <v>2</v>
          </cell>
          <cell r="R296">
            <v>12</v>
          </cell>
          <cell r="S296">
            <v>12</v>
          </cell>
          <cell r="T296" t="str">
            <v>01</v>
          </cell>
          <cell r="U296">
            <v>12</v>
          </cell>
          <cell r="V296">
            <v>12</v>
          </cell>
          <cell r="W296" t="str">
            <v xml:space="preserve"> 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67500000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1</v>
          </cell>
          <cell r="BO296">
            <v>0</v>
          </cell>
          <cell r="BP296">
            <v>1</v>
          </cell>
          <cell r="BQ296">
            <v>12</v>
          </cell>
          <cell r="BR296">
            <v>0</v>
          </cell>
          <cell r="BS296">
            <v>0</v>
          </cell>
          <cell r="BT296">
            <v>0</v>
          </cell>
          <cell r="BU296">
            <v>0</v>
          </cell>
          <cell r="BV296">
            <v>0</v>
          </cell>
          <cell r="BW296">
            <v>0</v>
          </cell>
          <cell r="BX296">
            <v>0</v>
          </cell>
          <cell r="BY296">
            <v>0</v>
          </cell>
          <cell r="BZ296">
            <v>2</v>
          </cell>
        </row>
        <row r="297">
          <cell r="A297" t="str">
            <v>2892</v>
          </cell>
          <cell r="B297">
            <v>289</v>
          </cell>
          <cell r="C297" t="str">
            <v>2892</v>
          </cell>
          <cell r="D297">
            <v>289</v>
          </cell>
          <cell r="E297">
            <v>289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2</v>
          </cell>
          <cell r="Q297">
            <v>2</v>
          </cell>
          <cell r="R297">
            <v>12</v>
          </cell>
          <cell r="S297">
            <v>12</v>
          </cell>
          <cell r="T297" t="str">
            <v>01</v>
          </cell>
          <cell r="U297">
            <v>12</v>
          </cell>
          <cell r="V297">
            <v>12</v>
          </cell>
          <cell r="W297" t="str">
            <v xml:space="preserve"> 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67500000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1</v>
          </cell>
          <cell r="BO297">
            <v>0</v>
          </cell>
          <cell r="BP297">
            <v>1</v>
          </cell>
          <cell r="BQ297">
            <v>12</v>
          </cell>
          <cell r="BR297">
            <v>0</v>
          </cell>
          <cell r="BS297">
            <v>0</v>
          </cell>
          <cell r="BT297">
            <v>0</v>
          </cell>
          <cell r="BU297">
            <v>0</v>
          </cell>
          <cell r="BV297">
            <v>0</v>
          </cell>
          <cell r="BW297">
            <v>0</v>
          </cell>
          <cell r="BX297">
            <v>0</v>
          </cell>
          <cell r="BY297">
            <v>0</v>
          </cell>
          <cell r="BZ297">
            <v>2</v>
          </cell>
        </row>
        <row r="298">
          <cell r="A298" t="str">
            <v>2902</v>
          </cell>
          <cell r="B298">
            <v>290</v>
          </cell>
          <cell r="C298" t="str">
            <v>2902</v>
          </cell>
          <cell r="D298">
            <v>290</v>
          </cell>
          <cell r="E298">
            <v>290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2</v>
          </cell>
          <cell r="Q298">
            <v>2</v>
          </cell>
          <cell r="R298">
            <v>12</v>
          </cell>
          <cell r="S298">
            <v>12</v>
          </cell>
          <cell r="T298" t="str">
            <v>01</v>
          </cell>
          <cell r="U298">
            <v>12</v>
          </cell>
          <cell r="V298">
            <v>12</v>
          </cell>
          <cell r="W298" t="str">
            <v xml:space="preserve"> 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67500000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1</v>
          </cell>
          <cell r="BO298">
            <v>0</v>
          </cell>
          <cell r="BP298">
            <v>1</v>
          </cell>
          <cell r="BQ298">
            <v>12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0</v>
          </cell>
          <cell r="BY298">
            <v>0</v>
          </cell>
          <cell r="BZ298">
            <v>2</v>
          </cell>
        </row>
        <row r="299">
          <cell r="A299" t="str">
            <v>2912</v>
          </cell>
          <cell r="B299">
            <v>291</v>
          </cell>
          <cell r="C299" t="str">
            <v>2912</v>
          </cell>
          <cell r="D299">
            <v>291</v>
          </cell>
          <cell r="E299">
            <v>291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2</v>
          </cell>
          <cell r="Q299">
            <v>2</v>
          </cell>
          <cell r="R299">
            <v>12</v>
          </cell>
          <cell r="S299">
            <v>12</v>
          </cell>
          <cell r="T299" t="str">
            <v>01</v>
          </cell>
          <cell r="U299">
            <v>12</v>
          </cell>
          <cell r="V299">
            <v>12</v>
          </cell>
          <cell r="W299" t="str">
            <v xml:space="preserve"> 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67500000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>
            <v>0</v>
          </cell>
          <cell r="BN299">
            <v>1</v>
          </cell>
          <cell r="BO299">
            <v>0</v>
          </cell>
          <cell r="BP299">
            <v>1</v>
          </cell>
          <cell r="BQ299">
            <v>12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V299">
            <v>0</v>
          </cell>
          <cell r="BW299">
            <v>0</v>
          </cell>
          <cell r="BX299">
            <v>0</v>
          </cell>
          <cell r="BY299">
            <v>0</v>
          </cell>
          <cell r="BZ299">
            <v>2</v>
          </cell>
        </row>
        <row r="300">
          <cell r="A300" t="str">
            <v>2922</v>
          </cell>
          <cell r="B300">
            <v>292</v>
          </cell>
          <cell r="C300" t="str">
            <v>2922</v>
          </cell>
          <cell r="D300">
            <v>292</v>
          </cell>
          <cell r="E300">
            <v>292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2</v>
          </cell>
          <cell r="Q300">
            <v>2</v>
          </cell>
          <cell r="R300">
            <v>12</v>
          </cell>
          <cell r="S300">
            <v>12</v>
          </cell>
          <cell r="T300" t="str">
            <v>01</v>
          </cell>
          <cell r="U300">
            <v>12</v>
          </cell>
          <cell r="V300">
            <v>12</v>
          </cell>
          <cell r="W300" t="str">
            <v xml:space="preserve"> 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67500000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BM300">
            <v>0</v>
          </cell>
          <cell r="BN300">
            <v>1</v>
          </cell>
          <cell r="BO300">
            <v>0</v>
          </cell>
          <cell r="BP300">
            <v>1</v>
          </cell>
          <cell r="BQ300">
            <v>12</v>
          </cell>
          <cell r="BR300">
            <v>0</v>
          </cell>
          <cell r="BS300">
            <v>0</v>
          </cell>
          <cell r="BT300">
            <v>0</v>
          </cell>
          <cell r="BU300">
            <v>0</v>
          </cell>
          <cell r="BV300">
            <v>0</v>
          </cell>
          <cell r="BW300">
            <v>0</v>
          </cell>
          <cell r="BX300">
            <v>0</v>
          </cell>
          <cell r="BY300">
            <v>0</v>
          </cell>
          <cell r="BZ300">
            <v>2</v>
          </cell>
        </row>
        <row r="301">
          <cell r="A301" t="str">
            <v>2932</v>
          </cell>
          <cell r="B301">
            <v>293</v>
          </cell>
          <cell r="C301" t="str">
            <v>2932</v>
          </cell>
          <cell r="D301">
            <v>293</v>
          </cell>
          <cell r="E301">
            <v>293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2</v>
          </cell>
          <cell r="Q301">
            <v>2</v>
          </cell>
          <cell r="R301">
            <v>12</v>
          </cell>
          <cell r="S301">
            <v>12</v>
          </cell>
          <cell r="T301" t="str">
            <v>01</v>
          </cell>
          <cell r="U301">
            <v>12</v>
          </cell>
          <cell r="V301">
            <v>12</v>
          </cell>
          <cell r="W301" t="str">
            <v xml:space="preserve"> 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67500000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1</v>
          </cell>
          <cell r="BO301">
            <v>0</v>
          </cell>
          <cell r="BP301">
            <v>1</v>
          </cell>
          <cell r="BQ301">
            <v>12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V301">
            <v>0</v>
          </cell>
          <cell r="BW301">
            <v>0</v>
          </cell>
          <cell r="BX301">
            <v>0</v>
          </cell>
          <cell r="BY301">
            <v>0</v>
          </cell>
          <cell r="BZ301">
            <v>2</v>
          </cell>
        </row>
        <row r="302">
          <cell r="A302" t="str">
            <v>2942</v>
          </cell>
          <cell r="B302">
            <v>294</v>
          </cell>
          <cell r="C302" t="str">
            <v>2942</v>
          </cell>
          <cell r="D302">
            <v>294</v>
          </cell>
          <cell r="E302">
            <v>294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2</v>
          </cell>
          <cell r="Q302">
            <v>2</v>
          </cell>
          <cell r="R302">
            <v>12</v>
          </cell>
          <cell r="S302">
            <v>12</v>
          </cell>
          <cell r="T302" t="str">
            <v>01</v>
          </cell>
          <cell r="U302">
            <v>12</v>
          </cell>
          <cell r="V302">
            <v>12</v>
          </cell>
          <cell r="W302" t="str">
            <v xml:space="preserve"> 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67500000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1</v>
          </cell>
          <cell r="BO302">
            <v>0</v>
          </cell>
          <cell r="BP302">
            <v>1</v>
          </cell>
          <cell r="BQ302">
            <v>12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0</v>
          </cell>
          <cell r="BX302">
            <v>0</v>
          </cell>
          <cell r="BY302">
            <v>0</v>
          </cell>
          <cell r="BZ302">
            <v>2</v>
          </cell>
        </row>
        <row r="303">
          <cell r="A303" t="str">
            <v>2952</v>
          </cell>
          <cell r="B303">
            <v>295</v>
          </cell>
          <cell r="C303" t="str">
            <v>2952</v>
          </cell>
          <cell r="D303">
            <v>295</v>
          </cell>
          <cell r="E303">
            <v>295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2</v>
          </cell>
          <cell r="Q303">
            <v>2</v>
          </cell>
          <cell r="R303">
            <v>12</v>
          </cell>
          <cell r="S303">
            <v>12</v>
          </cell>
          <cell r="T303" t="str">
            <v>01</v>
          </cell>
          <cell r="U303">
            <v>12</v>
          </cell>
          <cell r="V303">
            <v>12</v>
          </cell>
          <cell r="W303" t="str">
            <v xml:space="preserve"> 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67500000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1</v>
          </cell>
          <cell r="BO303">
            <v>0</v>
          </cell>
          <cell r="BP303">
            <v>1</v>
          </cell>
          <cell r="BQ303">
            <v>12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2</v>
          </cell>
        </row>
        <row r="304">
          <cell r="A304" t="str">
            <v>2962</v>
          </cell>
          <cell r="B304">
            <v>296</v>
          </cell>
          <cell r="C304" t="str">
            <v>2962</v>
          </cell>
          <cell r="D304">
            <v>296</v>
          </cell>
          <cell r="E304">
            <v>296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2</v>
          </cell>
          <cell r="Q304">
            <v>2</v>
          </cell>
          <cell r="R304">
            <v>12</v>
          </cell>
          <cell r="S304">
            <v>12</v>
          </cell>
          <cell r="T304" t="str">
            <v>01</v>
          </cell>
          <cell r="U304">
            <v>12</v>
          </cell>
          <cell r="V304">
            <v>12</v>
          </cell>
          <cell r="W304" t="str">
            <v xml:space="preserve"> 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67500000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1</v>
          </cell>
          <cell r="BO304">
            <v>0</v>
          </cell>
          <cell r="BP304">
            <v>1</v>
          </cell>
          <cell r="BQ304">
            <v>12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2</v>
          </cell>
        </row>
        <row r="305">
          <cell r="A305" t="str">
            <v>2972</v>
          </cell>
          <cell r="B305">
            <v>297</v>
          </cell>
          <cell r="C305" t="str">
            <v>2972</v>
          </cell>
          <cell r="D305">
            <v>297</v>
          </cell>
          <cell r="E305">
            <v>297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2</v>
          </cell>
          <cell r="Q305">
            <v>2</v>
          </cell>
          <cell r="R305">
            <v>12</v>
          </cell>
          <cell r="S305">
            <v>12</v>
          </cell>
          <cell r="T305" t="str">
            <v>01</v>
          </cell>
          <cell r="U305">
            <v>12</v>
          </cell>
          <cell r="V305">
            <v>12</v>
          </cell>
          <cell r="W305" t="str">
            <v xml:space="preserve"> 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67500000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1</v>
          </cell>
          <cell r="BO305">
            <v>0</v>
          </cell>
          <cell r="BP305">
            <v>1</v>
          </cell>
          <cell r="BQ305">
            <v>12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2</v>
          </cell>
        </row>
        <row r="306">
          <cell r="A306" t="str">
            <v>2982</v>
          </cell>
          <cell r="B306">
            <v>298</v>
          </cell>
          <cell r="C306" t="str">
            <v>2982</v>
          </cell>
          <cell r="D306">
            <v>298</v>
          </cell>
          <cell r="E306">
            <v>298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2</v>
          </cell>
          <cell r="Q306">
            <v>2</v>
          </cell>
          <cell r="R306">
            <v>12</v>
          </cell>
          <cell r="S306">
            <v>12</v>
          </cell>
          <cell r="T306" t="str">
            <v>01</v>
          </cell>
          <cell r="U306">
            <v>12</v>
          </cell>
          <cell r="V306">
            <v>12</v>
          </cell>
          <cell r="W306" t="str">
            <v xml:space="preserve"> 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67500000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1</v>
          </cell>
          <cell r="BO306">
            <v>0</v>
          </cell>
          <cell r="BP306">
            <v>1</v>
          </cell>
          <cell r="BQ306">
            <v>12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2</v>
          </cell>
        </row>
        <row r="307">
          <cell r="A307" t="str">
            <v>2992</v>
          </cell>
          <cell r="B307">
            <v>299</v>
          </cell>
          <cell r="C307" t="str">
            <v>2992</v>
          </cell>
          <cell r="D307">
            <v>299</v>
          </cell>
          <cell r="E307">
            <v>299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2</v>
          </cell>
          <cell r="Q307">
            <v>2</v>
          </cell>
          <cell r="R307">
            <v>12</v>
          </cell>
          <cell r="S307">
            <v>12</v>
          </cell>
          <cell r="T307" t="str">
            <v>01</v>
          </cell>
          <cell r="U307">
            <v>12</v>
          </cell>
          <cell r="V307">
            <v>12</v>
          </cell>
          <cell r="W307" t="str">
            <v xml:space="preserve"> 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67500000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1</v>
          </cell>
          <cell r="BO307">
            <v>0</v>
          </cell>
          <cell r="BP307">
            <v>1</v>
          </cell>
          <cell r="BQ307">
            <v>12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2</v>
          </cell>
        </row>
        <row r="308">
          <cell r="A308" t="str">
            <v>3002</v>
          </cell>
          <cell r="B308">
            <v>300</v>
          </cell>
          <cell r="C308" t="str">
            <v>3002</v>
          </cell>
          <cell r="D308">
            <v>300</v>
          </cell>
          <cell r="E308">
            <v>300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2</v>
          </cell>
          <cell r="Q308">
            <v>2</v>
          </cell>
          <cell r="R308">
            <v>12</v>
          </cell>
          <cell r="S308">
            <v>12</v>
          </cell>
          <cell r="T308" t="str">
            <v>01</v>
          </cell>
          <cell r="U308">
            <v>12</v>
          </cell>
          <cell r="V308">
            <v>12</v>
          </cell>
          <cell r="W308" t="str">
            <v xml:space="preserve"> 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67500000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1</v>
          </cell>
          <cell r="BO308">
            <v>0</v>
          </cell>
          <cell r="BP308">
            <v>1</v>
          </cell>
          <cell r="BQ308">
            <v>12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2</v>
          </cell>
        </row>
        <row r="309">
          <cell r="A309" t="str">
            <v>3012</v>
          </cell>
          <cell r="B309">
            <v>301</v>
          </cell>
          <cell r="C309" t="str">
            <v>3012</v>
          </cell>
          <cell r="D309">
            <v>301</v>
          </cell>
          <cell r="E309">
            <v>301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2</v>
          </cell>
          <cell r="Q309">
            <v>2</v>
          </cell>
          <cell r="R309">
            <v>12</v>
          </cell>
          <cell r="S309">
            <v>12</v>
          </cell>
          <cell r="T309" t="str">
            <v>01</v>
          </cell>
          <cell r="U309">
            <v>12</v>
          </cell>
          <cell r="V309">
            <v>12</v>
          </cell>
          <cell r="W309" t="str">
            <v xml:space="preserve"> 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67500000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1</v>
          </cell>
          <cell r="BO309">
            <v>0</v>
          </cell>
          <cell r="BP309">
            <v>1</v>
          </cell>
          <cell r="BQ309">
            <v>12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2</v>
          </cell>
        </row>
        <row r="310">
          <cell r="A310" t="str">
            <v>3022</v>
          </cell>
          <cell r="B310">
            <v>302</v>
          </cell>
          <cell r="C310" t="str">
            <v>3022</v>
          </cell>
          <cell r="D310">
            <v>302</v>
          </cell>
          <cell r="E310">
            <v>302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2</v>
          </cell>
          <cell r="Q310">
            <v>2</v>
          </cell>
          <cell r="R310">
            <v>12</v>
          </cell>
          <cell r="S310">
            <v>12</v>
          </cell>
          <cell r="T310" t="str">
            <v>01</v>
          </cell>
          <cell r="U310">
            <v>12</v>
          </cell>
          <cell r="V310">
            <v>12</v>
          </cell>
          <cell r="W310" t="str">
            <v xml:space="preserve"> 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67500000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1</v>
          </cell>
          <cell r="BO310">
            <v>0</v>
          </cell>
          <cell r="BP310">
            <v>1</v>
          </cell>
          <cell r="BQ310">
            <v>12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2</v>
          </cell>
        </row>
        <row r="311">
          <cell r="A311" t="str">
            <v>3032</v>
          </cell>
          <cell r="B311">
            <v>303</v>
          </cell>
          <cell r="C311" t="str">
            <v>3032</v>
          </cell>
          <cell r="D311">
            <v>303</v>
          </cell>
          <cell r="E311">
            <v>303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2</v>
          </cell>
          <cell r="Q311">
            <v>2</v>
          </cell>
          <cell r="R311">
            <v>12</v>
          </cell>
          <cell r="S311">
            <v>12</v>
          </cell>
          <cell r="T311" t="str">
            <v>01</v>
          </cell>
          <cell r="U311">
            <v>12</v>
          </cell>
          <cell r="V311">
            <v>12</v>
          </cell>
          <cell r="W311" t="str">
            <v xml:space="preserve"> 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67500000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1</v>
          </cell>
          <cell r="BO311">
            <v>0</v>
          </cell>
          <cell r="BP311">
            <v>1</v>
          </cell>
          <cell r="BQ311">
            <v>12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  <cell r="BW311">
            <v>0</v>
          </cell>
          <cell r="BX311">
            <v>0</v>
          </cell>
          <cell r="BY311">
            <v>0</v>
          </cell>
          <cell r="BZ311">
            <v>2</v>
          </cell>
        </row>
        <row r="312">
          <cell r="A312" t="str">
            <v>3042</v>
          </cell>
          <cell r="B312">
            <v>304</v>
          </cell>
          <cell r="C312" t="str">
            <v>3042</v>
          </cell>
          <cell r="D312">
            <v>304</v>
          </cell>
          <cell r="E312">
            <v>304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2</v>
          </cell>
          <cell r="Q312">
            <v>2</v>
          </cell>
          <cell r="R312">
            <v>12</v>
          </cell>
          <cell r="S312">
            <v>12</v>
          </cell>
          <cell r="T312" t="str">
            <v>01</v>
          </cell>
          <cell r="U312">
            <v>12</v>
          </cell>
          <cell r="V312">
            <v>12</v>
          </cell>
          <cell r="W312" t="str">
            <v xml:space="preserve"> 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67500000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1</v>
          </cell>
          <cell r="BO312">
            <v>0</v>
          </cell>
          <cell r="BP312">
            <v>1</v>
          </cell>
          <cell r="BQ312">
            <v>12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0</v>
          </cell>
          <cell r="BY312">
            <v>0</v>
          </cell>
          <cell r="BZ312">
            <v>2</v>
          </cell>
        </row>
        <row r="313">
          <cell r="A313" t="str">
            <v>3052</v>
          </cell>
          <cell r="B313">
            <v>305</v>
          </cell>
          <cell r="C313" t="str">
            <v>3052</v>
          </cell>
          <cell r="D313">
            <v>305</v>
          </cell>
          <cell r="E313">
            <v>305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2</v>
          </cell>
          <cell r="Q313">
            <v>2</v>
          </cell>
          <cell r="R313">
            <v>12</v>
          </cell>
          <cell r="S313">
            <v>12</v>
          </cell>
          <cell r="T313" t="str">
            <v>01</v>
          </cell>
          <cell r="U313">
            <v>12</v>
          </cell>
          <cell r="V313">
            <v>12</v>
          </cell>
          <cell r="W313" t="str">
            <v xml:space="preserve"> 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67500000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1</v>
          </cell>
          <cell r="BO313">
            <v>0</v>
          </cell>
          <cell r="BP313">
            <v>1</v>
          </cell>
          <cell r="BQ313">
            <v>12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  <cell r="BW313">
            <v>0</v>
          </cell>
          <cell r="BX313">
            <v>0</v>
          </cell>
          <cell r="BY313">
            <v>0</v>
          </cell>
          <cell r="BZ313">
            <v>2</v>
          </cell>
        </row>
        <row r="314">
          <cell r="A314" t="str">
            <v>3062</v>
          </cell>
          <cell r="B314">
            <v>306</v>
          </cell>
          <cell r="C314" t="str">
            <v>3062</v>
          </cell>
          <cell r="D314">
            <v>306</v>
          </cell>
          <cell r="E314">
            <v>306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2</v>
          </cell>
          <cell r="Q314">
            <v>2</v>
          </cell>
          <cell r="R314">
            <v>12</v>
          </cell>
          <cell r="S314">
            <v>12</v>
          </cell>
          <cell r="T314" t="str">
            <v>01</v>
          </cell>
          <cell r="U314">
            <v>12</v>
          </cell>
          <cell r="V314">
            <v>12</v>
          </cell>
          <cell r="W314" t="str">
            <v xml:space="preserve"> 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67500000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1</v>
          </cell>
          <cell r="BO314">
            <v>0</v>
          </cell>
          <cell r="BP314">
            <v>1</v>
          </cell>
          <cell r="BQ314">
            <v>12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  <cell r="BZ314">
            <v>2</v>
          </cell>
        </row>
        <row r="315">
          <cell r="A315" t="str">
            <v>3072</v>
          </cell>
          <cell r="B315">
            <v>307</v>
          </cell>
          <cell r="C315" t="str">
            <v>3072</v>
          </cell>
          <cell r="D315">
            <v>307</v>
          </cell>
          <cell r="E315">
            <v>307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2</v>
          </cell>
          <cell r="Q315">
            <v>2</v>
          </cell>
          <cell r="R315">
            <v>12</v>
          </cell>
          <cell r="S315">
            <v>12</v>
          </cell>
          <cell r="T315" t="str">
            <v>01</v>
          </cell>
          <cell r="U315">
            <v>12</v>
          </cell>
          <cell r="V315">
            <v>12</v>
          </cell>
          <cell r="W315" t="str">
            <v xml:space="preserve"> 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67500000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1</v>
          </cell>
          <cell r="BO315">
            <v>0</v>
          </cell>
          <cell r="BP315">
            <v>1</v>
          </cell>
          <cell r="BQ315">
            <v>12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0</v>
          </cell>
          <cell r="BY315">
            <v>0</v>
          </cell>
          <cell r="BZ315">
            <v>2</v>
          </cell>
        </row>
        <row r="316">
          <cell r="A316" t="str">
            <v>3082</v>
          </cell>
          <cell r="B316">
            <v>308</v>
          </cell>
          <cell r="C316" t="str">
            <v>3082</v>
          </cell>
          <cell r="D316">
            <v>308</v>
          </cell>
          <cell r="E316">
            <v>308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2</v>
          </cell>
          <cell r="Q316">
            <v>2</v>
          </cell>
          <cell r="R316">
            <v>12</v>
          </cell>
          <cell r="S316">
            <v>12</v>
          </cell>
          <cell r="T316" t="str">
            <v>01</v>
          </cell>
          <cell r="U316">
            <v>12</v>
          </cell>
          <cell r="V316">
            <v>12</v>
          </cell>
          <cell r="W316" t="str">
            <v xml:space="preserve"> 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67500000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>
            <v>0</v>
          </cell>
          <cell r="BM316">
            <v>0</v>
          </cell>
          <cell r="BN316">
            <v>1</v>
          </cell>
          <cell r="BO316">
            <v>0</v>
          </cell>
          <cell r="BP316">
            <v>1</v>
          </cell>
          <cell r="BQ316">
            <v>12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V316">
            <v>0</v>
          </cell>
          <cell r="BW316">
            <v>0</v>
          </cell>
          <cell r="BX316">
            <v>0</v>
          </cell>
          <cell r="BY316">
            <v>0</v>
          </cell>
          <cell r="BZ316">
            <v>2</v>
          </cell>
        </row>
        <row r="317">
          <cell r="A317" t="str">
            <v>3092</v>
          </cell>
          <cell r="B317">
            <v>309</v>
          </cell>
          <cell r="C317" t="str">
            <v>3092</v>
          </cell>
          <cell r="D317">
            <v>309</v>
          </cell>
          <cell r="E317">
            <v>309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2</v>
          </cell>
          <cell r="Q317">
            <v>2</v>
          </cell>
          <cell r="R317">
            <v>12</v>
          </cell>
          <cell r="S317">
            <v>12</v>
          </cell>
          <cell r="T317" t="str">
            <v>01</v>
          </cell>
          <cell r="U317">
            <v>12</v>
          </cell>
          <cell r="V317">
            <v>12</v>
          </cell>
          <cell r="W317" t="str">
            <v xml:space="preserve"> 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67500000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1</v>
          </cell>
          <cell r="BO317">
            <v>0</v>
          </cell>
          <cell r="BP317">
            <v>1</v>
          </cell>
          <cell r="BQ317">
            <v>12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2</v>
          </cell>
        </row>
        <row r="318">
          <cell r="A318" t="str">
            <v>3102</v>
          </cell>
          <cell r="B318">
            <v>310</v>
          </cell>
          <cell r="C318" t="str">
            <v>3102</v>
          </cell>
          <cell r="D318">
            <v>310</v>
          </cell>
          <cell r="E318">
            <v>310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2</v>
          </cell>
          <cell r="Q318">
            <v>2</v>
          </cell>
          <cell r="R318">
            <v>12</v>
          </cell>
          <cell r="S318">
            <v>12</v>
          </cell>
          <cell r="T318" t="str">
            <v>01</v>
          </cell>
          <cell r="U318">
            <v>12</v>
          </cell>
          <cell r="V318">
            <v>12</v>
          </cell>
          <cell r="W318" t="str">
            <v xml:space="preserve"> 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67500000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1</v>
          </cell>
          <cell r="BO318">
            <v>0</v>
          </cell>
          <cell r="BP318">
            <v>1</v>
          </cell>
          <cell r="BQ318">
            <v>12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2</v>
          </cell>
        </row>
        <row r="319">
          <cell r="A319" t="str">
            <v>3112</v>
          </cell>
          <cell r="B319">
            <v>311</v>
          </cell>
          <cell r="C319" t="str">
            <v>3112</v>
          </cell>
          <cell r="D319">
            <v>311</v>
          </cell>
          <cell r="E319">
            <v>311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2</v>
          </cell>
          <cell r="Q319">
            <v>2</v>
          </cell>
          <cell r="R319">
            <v>12</v>
          </cell>
          <cell r="S319">
            <v>12</v>
          </cell>
          <cell r="T319" t="str">
            <v>01</v>
          </cell>
          <cell r="U319">
            <v>12</v>
          </cell>
          <cell r="V319">
            <v>12</v>
          </cell>
          <cell r="W319" t="str">
            <v xml:space="preserve"> 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67500000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1</v>
          </cell>
          <cell r="BO319">
            <v>0</v>
          </cell>
          <cell r="BP319">
            <v>1</v>
          </cell>
          <cell r="BQ319">
            <v>12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2</v>
          </cell>
        </row>
        <row r="320">
          <cell r="A320" t="str">
            <v>3122</v>
          </cell>
          <cell r="B320">
            <v>312</v>
          </cell>
          <cell r="C320" t="str">
            <v>3122</v>
          </cell>
          <cell r="D320">
            <v>312</v>
          </cell>
          <cell r="E320">
            <v>312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2</v>
          </cell>
          <cell r="Q320">
            <v>2</v>
          </cell>
          <cell r="R320">
            <v>12</v>
          </cell>
          <cell r="S320">
            <v>12</v>
          </cell>
          <cell r="T320" t="str">
            <v>01</v>
          </cell>
          <cell r="U320">
            <v>12</v>
          </cell>
          <cell r="V320">
            <v>12</v>
          </cell>
          <cell r="W320" t="str">
            <v xml:space="preserve"> 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67500000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1</v>
          </cell>
          <cell r="BO320">
            <v>0</v>
          </cell>
          <cell r="BP320">
            <v>1</v>
          </cell>
          <cell r="BQ320">
            <v>12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2</v>
          </cell>
        </row>
        <row r="321">
          <cell r="A321" t="str">
            <v>3132</v>
          </cell>
          <cell r="B321">
            <v>313</v>
          </cell>
          <cell r="C321" t="str">
            <v>3132</v>
          </cell>
          <cell r="D321">
            <v>313</v>
          </cell>
          <cell r="E321">
            <v>313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2</v>
          </cell>
          <cell r="Q321">
            <v>2</v>
          </cell>
          <cell r="R321">
            <v>12</v>
          </cell>
          <cell r="S321">
            <v>12</v>
          </cell>
          <cell r="T321" t="str">
            <v>01</v>
          </cell>
          <cell r="U321">
            <v>12</v>
          </cell>
          <cell r="V321">
            <v>12</v>
          </cell>
          <cell r="W321" t="str">
            <v xml:space="preserve"> 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67500000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1</v>
          </cell>
          <cell r="BO321">
            <v>0</v>
          </cell>
          <cell r="BP321">
            <v>1</v>
          </cell>
          <cell r="BQ321">
            <v>12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2</v>
          </cell>
        </row>
        <row r="322">
          <cell r="A322" t="str">
            <v>3142</v>
          </cell>
          <cell r="B322">
            <v>314</v>
          </cell>
          <cell r="C322" t="str">
            <v>3142</v>
          </cell>
          <cell r="D322">
            <v>314</v>
          </cell>
          <cell r="E322">
            <v>314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2</v>
          </cell>
          <cell r="Q322">
            <v>2</v>
          </cell>
          <cell r="R322">
            <v>12</v>
          </cell>
          <cell r="S322">
            <v>12</v>
          </cell>
          <cell r="T322" t="str">
            <v>01</v>
          </cell>
          <cell r="U322">
            <v>12</v>
          </cell>
          <cell r="V322">
            <v>12</v>
          </cell>
          <cell r="W322" t="str">
            <v xml:space="preserve"> 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67500000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1</v>
          </cell>
          <cell r="BO322">
            <v>0</v>
          </cell>
          <cell r="BP322">
            <v>1</v>
          </cell>
          <cell r="BQ322">
            <v>12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  <cell r="BZ322">
            <v>2</v>
          </cell>
        </row>
        <row r="323">
          <cell r="A323" t="str">
            <v>3152</v>
          </cell>
          <cell r="B323">
            <v>315</v>
          </cell>
          <cell r="C323" t="str">
            <v>3152</v>
          </cell>
          <cell r="D323">
            <v>315</v>
          </cell>
          <cell r="E323">
            <v>315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2</v>
          </cell>
          <cell r="Q323">
            <v>2</v>
          </cell>
          <cell r="R323">
            <v>12</v>
          </cell>
          <cell r="S323">
            <v>12</v>
          </cell>
          <cell r="T323" t="str">
            <v>01</v>
          </cell>
          <cell r="U323">
            <v>12</v>
          </cell>
          <cell r="V323">
            <v>12</v>
          </cell>
          <cell r="W323" t="str">
            <v xml:space="preserve"> 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67500000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1</v>
          </cell>
          <cell r="BO323">
            <v>0</v>
          </cell>
          <cell r="BP323">
            <v>1</v>
          </cell>
          <cell r="BQ323">
            <v>12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2</v>
          </cell>
        </row>
        <row r="324">
          <cell r="A324" t="str">
            <v>3162</v>
          </cell>
          <cell r="B324">
            <v>316</v>
          </cell>
          <cell r="C324" t="str">
            <v>3162</v>
          </cell>
          <cell r="D324">
            <v>316</v>
          </cell>
          <cell r="E324">
            <v>316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2</v>
          </cell>
          <cell r="Q324">
            <v>2</v>
          </cell>
          <cell r="R324">
            <v>12</v>
          </cell>
          <cell r="S324">
            <v>12</v>
          </cell>
          <cell r="T324" t="str">
            <v>01</v>
          </cell>
          <cell r="U324">
            <v>12</v>
          </cell>
          <cell r="V324">
            <v>12</v>
          </cell>
          <cell r="W324" t="str">
            <v xml:space="preserve"> 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67500000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1</v>
          </cell>
          <cell r="BO324">
            <v>0</v>
          </cell>
          <cell r="BP324">
            <v>1</v>
          </cell>
          <cell r="BQ324">
            <v>12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  <cell r="BZ324">
            <v>2</v>
          </cell>
        </row>
        <row r="325">
          <cell r="A325" t="str">
            <v>3172</v>
          </cell>
          <cell r="B325">
            <v>317</v>
          </cell>
          <cell r="C325" t="str">
            <v>3172</v>
          </cell>
          <cell r="D325">
            <v>317</v>
          </cell>
          <cell r="E325">
            <v>317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2</v>
          </cell>
          <cell r="Q325">
            <v>2</v>
          </cell>
          <cell r="R325">
            <v>12</v>
          </cell>
          <cell r="S325">
            <v>12</v>
          </cell>
          <cell r="T325" t="str">
            <v>01</v>
          </cell>
          <cell r="U325">
            <v>12</v>
          </cell>
          <cell r="V325">
            <v>12</v>
          </cell>
          <cell r="W325" t="str">
            <v xml:space="preserve"> 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67500000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1</v>
          </cell>
          <cell r="BO325">
            <v>0</v>
          </cell>
          <cell r="BP325">
            <v>1</v>
          </cell>
          <cell r="BQ325">
            <v>12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2</v>
          </cell>
        </row>
        <row r="326">
          <cell r="A326" t="str">
            <v>3182</v>
          </cell>
          <cell r="B326">
            <v>318</v>
          </cell>
          <cell r="C326" t="str">
            <v>3182</v>
          </cell>
          <cell r="D326">
            <v>318</v>
          </cell>
          <cell r="E326">
            <v>318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2</v>
          </cell>
          <cell r="Q326">
            <v>2</v>
          </cell>
          <cell r="R326">
            <v>12</v>
          </cell>
          <cell r="S326">
            <v>12</v>
          </cell>
          <cell r="T326" t="str">
            <v>01</v>
          </cell>
          <cell r="U326">
            <v>12</v>
          </cell>
          <cell r="V326">
            <v>12</v>
          </cell>
          <cell r="W326" t="str">
            <v xml:space="preserve"> 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67500000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1</v>
          </cell>
          <cell r="BO326">
            <v>0</v>
          </cell>
          <cell r="BP326">
            <v>1</v>
          </cell>
          <cell r="BQ326">
            <v>12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2</v>
          </cell>
        </row>
        <row r="327">
          <cell r="A327" t="str">
            <v>3192</v>
          </cell>
          <cell r="B327">
            <v>319</v>
          </cell>
          <cell r="C327" t="str">
            <v>3192</v>
          </cell>
          <cell r="D327">
            <v>319</v>
          </cell>
          <cell r="E327">
            <v>319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2</v>
          </cell>
          <cell r="Q327">
            <v>2</v>
          </cell>
          <cell r="R327">
            <v>12</v>
          </cell>
          <cell r="S327">
            <v>12</v>
          </cell>
          <cell r="T327" t="str">
            <v>01</v>
          </cell>
          <cell r="U327">
            <v>12</v>
          </cell>
          <cell r="V327">
            <v>12</v>
          </cell>
          <cell r="W327" t="str">
            <v xml:space="preserve"> 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67500000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1</v>
          </cell>
          <cell r="BO327">
            <v>0</v>
          </cell>
          <cell r="BP327">
            <v>1</v>
          </cell>
          <cell r="BQ327">
            <v>12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  <cell r="BY327">
            <v>0</v>
          </cell>
          <cell r="BZ327">
            <v>2</v>
          </cell>
        </row>
        <row r="328">
          <cell r="A328" t="str">
            <v>3202</v>
          </cell>
          <cell r="B328">
            <v>320</v>
          </cell>
          <cell r="C328" t="str">
            <v>3202</v>
          </cell>
          <cell r="D328">
            <v>320</v>
          </cell>
          <cell r="E328">
            <v>320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2</v>
          </cell>
          <cell r="Q328">
            <v>2</v>
          </cell>
          <cell r="R328">
            <v>12</v>
          </cell>
          <cell r="S328">
            <v>12</v>
          </cell>
          <cell r="T328" t="str">
            <v>01</v>
          </cell>
          <cell r="U328">
            <v>12</v>
          </cell>
          <cell r="V328">
            <v>12</v>
          </cell>
          <cell r="W328" t="str">
            <v xml:space="preserve"> 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67500000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1</v>
          </cell>
          <cell r="BO328">
            <v>0</v>
          </cell>
          <cell r="BP328">
            <v>1</v>
          </cell>
          <cell r="BQ328">
            <v>12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2</v>
          </cell>
        </row>
        <row r="329">
          <cell r="A329" t="str">
            <v>3212</v>
          </cell>
          <cell r="B329">
            <v>321</v>
          </cell>
          <cell r="C329" t="str">
            <v>3212</v>
          </cell>
          <cell r="D329">
            <v>321</v>
          </cell>
          <cell r="E329">
            <v>321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2</v>
          </cell>
          <cell r="Q329">
            <v>2</v>
          </cell>
          <cell r="R329">
            <v>12</v>
          </cell>
          <cell r="S329">
            <v>12</v>
          </cell>
          <cell r="T329" t="str">
            <v>01</v>
          </cell>
          <cell r="U329">
            <v>12</v>
          </cell>
          <cell r="V329">
            <v>12</v>
          </cell>
          <cell r="W329" t="str">
            <v xml:space="preserve"> 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67500000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1</v>
          </cell>
          <cell r="BO329">
            <v>0</v>
          </cell>
          <cell r="BP329">
            <v>1</v>
          </cell>
          <cell r="BQ329">
            <v>12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2</v>
          </cell>
        </row>
        <row r="330">
          <cell r="A330" t="str">
            <v>3222</v>
          </cell>
          <cell r="B330">
            <v>322</v>
          </cell>
          <cell r="C330" t="str">
            <v>3222</v>
          </cell>
          <cell r="D330">
            <v>322</v>
          </cell>
          <cell r="E330">
            <v>322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2</v>
          </cell>
          <cell r="Q330">
            <v>2</v>
          </cell>
          <cell r="R330">
            <v>12</v>
          </cell>
          <cell r="S330">
            <v>12</v>
          </cell>
          <cell r="T330" t="str">
            <v>01</v>
          </cell>
          <cell r="U330">
            <v>12</v>
          </cell>
          <cell r="V330">
            <v>12</v>
          </cell>
          <cell r="W330" t="str">
            <v xml:space="preserve"> 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67500000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1</v>
          </cell>
          <cell r="BO330">
            <v>0</v>
          </cell>
          <cell r="BP330">
            <v>1</v>
          </cell>
          <cell r="BQ330">
            <v>12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2</v>
          </cell>
        </row>
        <row r="331">
          <cell r="A331" t="str">
            <v>3232</v>
          </cell>
          <cell r="B331">
            <v>323</v>
          </cell>
          <cell r="C331" t="str">
            <v>3232</v>
          </cell>
          <cell r="D331">
            <v>323</v>
          </cell>
          <cell r="E331">
            <v>323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2</v>
          </cell>
          <cell r="Q331">
            <v>2</v>
          </cell>
          <cell r="R331">
            <v>12</v>
          </cell>
          <cell r="S331">
            <v>12</v>
          </cell>
          <cell r="T331" t="str">
            <v>01</v>
          </cell>
          <cell r="U331">
            <v>12</v>
          </cell>
          <cell r="V331">
            <v>12</v>
          </cell>
          <cell r="W331" t="str">
            <v xml:space="preserve"> 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67500000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1</v>
          </cell>
          <cell r="BO331">
            <v>0</v>
          </cell>
          <cell r="BP331">
            <v>1</v>
          </cell>
          <cell r="BQ331">
            <v>12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2</v>
          </cell>
        </row>
        <row r="332">
          <cell r="A332" t="str">
            <v>3242</v>
          </cell>
          <cell r="B332">
            <v>324</v>
          </cell>
          <cell r="C332" t="str">
            <v>3242</v>
          </cell>
          <cell r="D332">
            <v>324</v>
          </cell>
          <cell r="E332">
            <v>324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2</v>
          </cell>
          <cell r="Q332">
            <v>2</v>
          </cell>
          <cell r="R332">
            <v>12</v>
          </cell>
          <cell r="S332">
            <v>12</v>
          </cell>
          <cell r="T332" t="str">
            <v>01</v>
          </cell>
          <cell r="U332">
            <v>12</v>
          </cell>
          <cell r="V332">
            <v>12</v>
          </cell>
          <cell r="W332" t="str">
            <v xml:space="preserve"> 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67500000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BM332">
            <v>0</v>
          </cell>
          <cell r="BN332">
            <v>1</v>
          </cell>
          <cell r="BO332">
            <v>0</v>
          </cell>
          <cell r="BP332">
            <v>1</v>
          </cell>
          <cell r="BQ332">
            <v>12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>
            <v>0</v>
          </cell>
          <cell r="BZ332">
            <v>2</v>
          </cell>
        </row>
        <row r="333">
          <cell r="A333" t="str">
            <v>3252</v>
          </cell>
          <cell r="B333">
            <v>325</v>
          </cell>
          <cell r="C333" t="str">
            <v>3252</v>
          </cell>
          <cell r="D333">
            <v>325</v>
          </cell>
          <cell r="E333">
            <v>325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2</v>
          </cell>
          <cell r="Q333">
            <v>2</v>
          </cell>
          <cell r="R333">
            <v>12</v>
          </cell>
          <cell r="S333">
            <v>12</v>
          </cell>
          <cell r="T333" t="str">
            <v>01</v>
          </cell>
          <cell r="U333">
            <v>12</v>
          </cell>
          <cell r="V333">
            <v>12</v>
          </cell>
          <cell r="W333" t="str">
            <v xml:space="preserve"> 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67500000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>
            <v>0</v>
          </cell>
          <cell r="BM333">
            <v>0</v>
          </cell>
          <cell r="BN333">
            <v>1</v>
          </cell>
          <cell r="BO333">
            <v>0</v>
          </cell>
          <cell r="BP333">
            <v>1</v>
          </cell>
          <cell r="BQ333">
            <v>12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>
            <v>0</v>
          </cell>
          <cell r="BZ333">
            <v>2</v>
          </cell>
        </row>
        <row r="334">
          <cell r="A334" t="str">
            <v>3262</v>
          </cell>
          <cell r="B334">
            <v>326</v>
          </cell>
          <cell r="C334" t="str">
            <v>3262</v>
          </cell>
          <cell r="D334">
            <v>326</v>
          </cell>
          <cell r="E334">
            <v>326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2</v>
          </cell>
          <cell r="Q334">
            <v>2</v>
          </cell>
          <cell r="R334">
            <v>12</v>
          </cell>
          <cell r="S334">
            <v>12</v>
          </cell>
          <cell r="T334" t="str">
            <v>01</v>
          </cell>
          <cell r="U334">
            <v>12</v>
          </cell>
          <cell r="V334">
            <v>12</v>
          </cell>
          <cell r="W334" t="str">
            <v xml:space="preserve"> 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67500000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  <cell r="BK334">
            <v>0</v>
          </cell>
          <cell r="BL334">
            <v>0</v>
          </cell>
          <cell r="BM334">
            <v>0</v>
          </cell>
          <cell r="BN334">
            <v>1</v>
          </cell>
          <cell r="BO334">
            <v>0</v>
          </cell>
          <cell r="BP334">
            <v>1</v>
          </cell>
          <cell r="BQ334">
            <v>12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V334">
            <v>0</v>
          </cell>
          <cell r="BW334">
            <v>0</v>
          </cell>
          <cell r="BX334">
            <v>0</v>
          </cell>
          <cell r="BY334">
            <v>0</v>
          </cell>
          <cell r="BZ334">
            <v>2</v>
          </cell>
        </row>
        <row r="335">
          <cell r="A335" t="str">
            <v>3272</v>
          </cell>
          <cell r="B335">
            <v>327</v>
          </cell>
          <cell r="C335" t="str">
            <v>3272</v>
          </cell>
          <cell r="D335">
            <v>327</v>
          </cell>
          <cell r="E335">
            <v>327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2</v>
          </cell>
          <cell r="Q335">
            <v>2</v>
          </cell>
          <cell r="R335">
            <v>12</v>
          </cell>
          <cell r="S335">
            <v>12</v>
          </cell>
          <cell r="T335" t="str">
            <v>01</v>
          </cell>
          <cell r="U335">
            <v>12</v>
          </cell>
          <cell r="V335">
            <v>12</v>
          </cell>
          <cell r="W335" t="str">
            <v xml:space="preserve"> 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67500000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>
            <v>0</v>
          </cell>
          <cell r="BN335">
            <v>1</v>
          </cell>
          <cell r="BO335">
            <v>0</v>
          </cell>
          <cell r="BP335">
            <v>1</v>
          </cell>
          <cell r="BQ335">
            <v>12</v>
          </cell>
          <cell r="BR335">
            <v>0</v>
          </cell>
          <cell r="BS335">
            <v>0</v>
          </cell>
          <cell r="BT335">
            <v>0</v>
          </cell>
          <cell r="BU335">
            <v>0</v>
          </cell>
          <cell r="BV335">
            <v>0</v>
          </cell>
          <cell r="BW335">
            <v>0</v>
          </cell>
          <cell r="BX335">
            <v>0</v>
          </cell>
          <cell r="BY335">
            <v>0</v>
          </cell>
          <cell r="BZ335">
            <v>2</v>
          </cell>
        </row>
        <row r="336">
          <cell r="A336" t="str">
            <v>3282</v>
          </cell>
          <cell r="B336">
            <v>328</v>
          </cell>
          <cell r="C336" t="str">
            <v>3282</v>
          </cell>
          <cell r="D336">
            <v>328</v>
          </cell>
          <cell r="E336">
            <v>328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2</v>
          </cell>
          <cell r="Q336">
            <v>2</v>
          </cell>
          <cell r="R336">
            <v>12</v>
          </cell>
          <cell r="S336">
            <v>12</v>
          </cell>
          <cell r="T336" t="str">
            <v>01</v>
          </cell>
          <cell r="U336">
            <v>12</v>
          </cell>
          <cell r="V336">
            <v>12</v>
          </cell>
          <cell r="W336" t="str">
            <v xml:space="preserve"> 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67500000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>
            <v>0</v>
          </cell>
          <cell r="BN336">
            <v>1</v>
          </cell>
          <cell r="BO336">
            <v>0</v>
          </cell>
          <cell r="BP336">
            <v>1</v>
          </cell>
          <cell r="BQ336">
            <v>12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  <cell r="BY336">
            <v>0</v>
          </cell>
          <cell r="BZ336">
            <v>2</v>
          </cell>
        </row>
        <row r="337">
          <cell r="A337" t="str">
            <v>3292</v>
          </cell>
          <cell r="B337">
            <v>329</v>
          </cell>
          <cell r="C337" t="str">
            <v>3292</v>
          </cell>
          <cell r="D337">
            <v>329</v>
          </cell>
          <cell r="E337">
            <v>329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2</v>
          </cell>
          <cell r="Q337">
            <v>2</v>
          </cell>
          <cell r="R337">
            <v>12</v>
          </cell>
          <cell r="S337">
            <v>12</v>
          </cell>
          <cell r="T337" t="str">
            <v>01</v>
          </cell>
          <cell r="U337">
            <v>12</v>
          </cell>
          <cell r="V337">
            <v>12</v>
          </cell>
          <cell r="W337" t="str">
            <v xml:space="preserve"> 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67500000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1</v>
          </cell>
          <cell r="BO337">
            <v>0</v>
          </cell>
          <cell r="BP337">
            <v>1</v>
          </cell>
          <cell r="BQ337">
            <v>12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V337">
            <v>0</v>
          </cell>
          <cell r="BW337">
            <v>0</v>
          </cell>
          <cell r="BX337">
            <v>0</v>
          </cell>
          <cell r="BY337">
            <v>0</v>
          </cell>
          <cell r="BZ337">
            <v>2</v>
          </cell>
        </row>
        <row r="338">
          <cell r="A338" t="str">
            <v>3302</v>
          </cell>
          <cell r="B338">
            <v>330</v>
          </cell>
          <cell r="C338" t="str">
            <v>3302</v>
          </cell>
          <cell r="D338">
            <v>330</v>
          </cell>
          <cell r="E338">
            <v>330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2</v>
          </cell>
          <cell r="Q338">
            <v>2</v>
          </cell>
          <cell r="R338">
            <v>12</v>
          </cell>
          <cell r="S338">
            <v>12</v>
          </cell>
          <cell r="T338" t="str">
            <v>01</v>
          </cell>
          <cell r="U338">
            <v>12</v>
          </cell>
          <cell r="V338">
            <v>12</v>
          </cell>
          <cell r="W338" t="str">
            <v xml:space="preserve"> 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67500000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  <cell r="BL338">
            <v>0</v>
          </cell>
          <cell r="BM338">
            <v>0</v>
          </cell>
          <cell r="BN338">
            <v>1</v>
          </cell>
          <cell r="BO338">
            <v>0</v>
          </cell>
          <cell r="BP338">
            <v>1</v>
          </cell>
          <cell r="BQ338">
            <v>12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V338">
            <v>0</v>
          </cell>
          <cell r="BW338">
            <v>0</v>
          </cell>
          <cell r="BX338">
            <v>0</v>
          </cell>
          <cell r="BY338">
            <v>0</v>
          </cell>
          <cell r="BZ338">
            <v>2</v>
          </cell>
        </row>
        <row r="339">
          <cell r="A339" t="str">
            <v>3312</v>
          </cell>
          <cell r="B339">
            <v>331</v>
          </cell>
          <cell r="C339" t="str">
            <v>3312</v>
          </cell>
          <cell r="D339">
            <v>331</v>
          </cell>
          <cell r="E339">
            <v>331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2</v>
          </cell>
          <cell r="Q339">
            <v>2</v>
          </cell>
          <cell r="R339">
            <v>12</v>
          </cell>
          <cell r="S339">
            <v>12</v>
          </cell>
          <cell r="T339" t="str">
            <v>01</v>
          </cell>
          <cell r="U339">
            <v>12</v>
          </cell>
          <cell r="V339">
            <v>12</v>
          </cell>
          <cell r="W339" t="str">
            <v xml:space="preserve"> 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67500000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>
            <v>0</v>
          </cell>
          <cell r="BN339">
            <v>1</v>
          </cell>
          <cell r="BO339">
            <v>0</v>
          </cell>
          <cell r="BP339">
            <v>1</v>
          </cell>
          <cell r="BQ339">
            <v>12</v>
          </cell>
          <cell r="BR339">
            <v>0</v>
          </cell>
          <cell r="BS339">
            <v>0</v>
          </cell>
          <cell r="BT339">
            <v>0</v>
          </cell>
          <cell r="BU339">
            <v>0</v>
          </cell>
          <cell r="BV339">
            <v>0</v>
          </cell>
          <cell r="BW339">
            <v>0</v>
          </cell>
          <cell r="BX339">
            <v>0</v>
          </cell>
          <cell r="BY339">
            <v>0</v>
          </cell>
          <cell r="BZ339">
            <v>2</v>
          </cell>
        </row>
        <row r="340">
          <cell r="A340" t="str">
            <v>3322</v>
          </cell>
          <cell r="B340">
            <v>332</v>
          </cell>
          <cell r="C340" t="str">
            <v>3322</v>
          </cell>
          <cell r="D340">
            <v>332</v>
          </cell>
          <cell r="E340">
            <v>332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2</v>
          </cell>
          <cell r="Q340">
            <v>2</v>
          </cell>
          <cell r="R340">
            <v>12</v>
          </cell>
          <cell r="S340">
            <v>12</v>
          </cell>
          <cell r="T340" t="str">
            <v>01</v>
          </cell>
          <cell r="U340">
            <v>12</v>
          </cell>
          <cell r="V340">
            <v>12</v>
          </cell>
          <cell r="W340" t="str">
            <v xml:space="preserve"> 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67500000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>
            <v>0</v>
          </cell>
          <cell r="BN340">
            <v>1</v>
          </cell>
          <cell r="BO340">
            <v>0</v>
          </cell>
          <cell r="BP340">
            <v>1</v>
          </cell>
          <cell r="BQ340">
            <v>12</v>
          </cell>
          <cell r="BR340">
            <v>0</v>
          </cell>
          <cell r="BS340">
            <v>0</v>
          </cell>
          <cell r="BT340">
            <v>0</v>
          </cell>
          <cell r="BU340">
            <v>0</v>
          </cell>
          <cell r="BV340">
            <v>0</v>
          </cell>
          <cell r="BW340">
            <v>0</v>
          </cell>
          <cell r="BX340">
            <v>0</v>
          </cell>
          <cell r="BY340">
            <v>0</v>
          </cell>
          <cell r="BZ340">
            <v>2</v>
          </cell>
        </row>
        <row r="341">
          <cell r="A341" t="str">
            <v>3332</v>
          </cell>
          <cell r="B341">
            <v>333</v>
          </cell>
          <cell r="C341" t="str">
            <v>3332</v>
          </cell>
          <cell r="D341">
            <v>333</v>
          </cell>
          <cell r="E341">
            <v>333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2</v>
          </cell>
          <cell r="Q341">
            <v>2</v>
          </cell>
          <cell r="R341">
            <v>12</v>
          </cell>
          <cell r="S341">
            <v>12</v>
          </cell>
          <cell r="T341" t="str">
            <v>01</v>
          </cell>
          <cell r="U341">
            <v>12</v>
          </cell>
          <cell r="V341">
            <v>12</v>
          </cell>
          <cell r="W341" t="str">
            <v xml:space="preserve"> 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67500000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1</v>
          </cell>
          <cell r="BO341">
            <v>0</v>
          </cell>
          <cell r="BP341">
            <v>1</v>
          </cell>
          <cell r="BQ341">
            <v>12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  <cell r="BZ341">
            <v>2</v>
          </cell>
        </row>
        <row r="342">
          <cell r="A342" t="str">
            <v>3342</v>
          </cell>
          <cell r="B342">
            <v>334</v>
          </cell>
          <cell r="C342" t="str">
            <v>3342</v>
          </cell>
          <cell r="D342">
            <v>334</v>
          </cell>
          <cell r="E342">
            <v>334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2</v>
          </cell>
          <cell r="Q342">
            <v>2</v>
          </cell>
          <cell r="R342">
            <v>12</v>
          </cell>
          <cell r="S342">
            <v>12</v>
          </cell>
          <cell r="T342" t="str">
            <v>01</v>
          </cell>
          <cell r="U342">
            <v>12</v>
          </cell>
          <cell r="V342">
            <v>12</v>
          </cell>
          <cell r="W342" t="str">
            <v xml:space="preserve"> 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67500000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L342">
            <v>0</v>
          </cell>
          <cell r="BM342">
            <v>0</v>
          </cell>
          <cell r="BN342">
            <v>1</v>
          </cell>
          <cell r="BO342">
            <v>0</v>
          </cell>
          <cell r="BP342">
            <v>1</v>
          </cell>
          <cell r="BQ342">
            <v>12</v>
          </cell>
          <cell r="BR342">
            <v>0</v>
          </cell>
          <cell r="BS342">
            <v>0</v>
          </cell>
          <cell r="BT342">
            <v>0</v>
          </cell>
          <cell r="BU342">
            <v>0</v>
          </cell>
          <cell r="BV342">
            <v>0</v>
          </cell>
          <cell r="BW342">
            <v>0</v>
          </cell>
          <cell r="BX342">
            <v>0</v>
          </cell>
          <cell r="BY342">
            <v>0</v>
          </cell>
          <cell r="BZ342">
            <v>2</v>
          </cell>
        </row>
        <row r="343">
          <cell r="A343" t="str">
            <v>3352</v>
          </cell>
          <cell r="B343">
            <v>335</v>
          </cell>
          <cell r="C343" t="str">
            <v>3352</v>
          </cell>
          <cell r="D343">
            <v>335</v>
          </cell>
          <cell r="E343">
            <v>335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2</v>
          </cell>
          <cell r="Q343">
            <v>2</v>
          </cell>
          <cell r="R343">
            <v>12</v>
          </cell>
          <cell r="S343">
            <v>12</v>
          </cell>
          <cell r="T343" t="str">
            <v>01</v>
          </cell>
          <cell r="U343">
            <v>12</v>
          </cell>
          <cell r="V343">
            <v>12</v>
          </cell>
          <cell r="W343" t="str">
            <v xml:space="preserve"> 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67500000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BM343">
            <v>0</v>
          </cell>
          <cell r="BN343">
            <v>1</v>
          </cell>
          <cell r="BO343">
            <v>0</v>
          </cell>
          <cell r="BP343">
            <v>1</v>
          </cell>
          <cell r="BQ343">
            <v>12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V343">
            <v>0</v>
          </cell>
          <cell r="BW343">
            <v>0</v>
          </cell>
          <cell r="BX343">
            <v>0</v>
          </cell>
          <cell r="BY343">
            <v>0</v>
          </cell>
          <cell r="BZ343">
            <v>2</v>
          </cell>
        </row>
        <row r="344">
          <cell r="A344" t="str">
            <v>3362</v>
          </cell>
          <cell r="B344">
            <v>336</v>
          </cell>
          <cell r="C344" t="str">
            <v>3362</v>
          </cell>
          <cell r="D344">
            <v>336</v>
          </cell>
          <cell r="E344">
            <v>336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2</v>
          </cell>
          <cell r="Q344">
            <v>2</v>
          </cell>
          <cell r="R344">
            <v>12</v>
          </cell>
          <cell r="S344">
            <v>12</v>
          </cell>
          <cell r="T344" t="str">
            <v>01</v>
          </cell>
          <cell r="U344">
            <v>12</v>
          </cell>
          <cell r="V344">
            <v>12</v>
          </cell>
          <cell r="W344" t="str">
            <v xml:space="preserve"> 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67500000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  <cell r="BK344">
            <v>0</v>
          </cell>
          <cell r="BL344">
            <v>0</v>
          </cell>
          <cell r="BM344">
            <v>0</v>
          </cell>
          <cell r="BN344">
            <v>1</v>
          </cell>
          <cell r="BO344">
            <v>0</v>
          </cell>
          <cell r="BP344">
            <v>1</v>
          </cell>
          <cell r="BQ344">
            <v>12</v>
          </cell>
          <cell r="BR344">
            <v>0</v>
          </cell>
          <cell r="BS344">
            <v>0</v>
          </cell>
          <cell r="BT344">
            <v>0</v>
          </cell>
          <cell r="BU344">
            <v>0</v>
          </cell>
          <cell r="BV344">
            <v>0</v>
          </cell>
          <cell r="BW344">
            <v>0</v>
          </cell>
          <cell r="BX344">
            <v>0</v>
          </cell>
          <cell r="BY344">
            <v>0</v>
          </cell>
          <cell r="BZ344">
            <v>2</v>
          </cell>
        </row>
        <row r="345">
          <cell r="A345" t="str">
            <v>3372</v>
          </cell>
          <cell r="B345">
            <v>337</v>
          </cell>
          <cell r="C345" t="str">
            <v>3372</v>
          </cell>
          <cell r="D345">
            <v>337</v>
          </cell>
          <cell r="E345">
            <v>337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2</v>
          </cell>
          <cell r="Q345">
            <v>2</v>
          </cell>
          <cell r="R345">
            <v>12</v>
          </cell>
          <cell r="S345">
            <v>12</v>
          </cell>
          <cell r="T345" t="str">
            <v>01</v>
          </cell>
          <cell r="U345">
            <v>12</v>
          </cell>
          <cell r="V345">
            <v>12</v>
          </cell>
          <cell r="W345" t="str">
            <v xml:space="preserve"> 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67500000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1</v>
          </cell>
          <cell r="BO345">
            <v>0</v>
          </cell>
          <cell r="BP345">
            <v>1</v>
          </cell>
          <cell r="BQ345">
            <v>12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V345">
            <v>0</v>
          </cell>
          <cell r="BW345">
            <v>0</v>
          </cell>
          <cell r="BX345">
            <v>0</v>
          </cell>
          <cell r="BY345">
            <v>0</v>
          </cell>
          <cell r="BZ345">
            <v>2</v>
          </cell>
        </row>
        <row r="346">
          <cell r="A346" t="str">
            <v>3382</v>
          </cell>
          <cell r="B346">
            <v>338</v>
          </cell>
          <cell r="C346" t="str">
            <v>3382</v>
          </cell>
          <cell r="D346">
            <v>338</v>
          </cell>
          <cell r="E346">
            <v>338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2</v>
          </cell>
          <cell r="Q346">
            <v>2</v>
          </cell>
          <cell r="R346">
            <v>12</v>
          </cell>
          <cell r="S346">
            <v>12</v>
          </cell>
          <cell r="T346" t="str">
            <v>01</v>
          </cell>
          <cell r="U346">
            <v>12</v>
          </cell>
          <cell r="V346">
            <v>12</v>
          </cell>
          <cell r="W346" t="str">
            <v xml:space="preserve"> 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67500000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>
            <v>0</v>
          </cell>
          <cell r="BM346">
            <v>0</v>
          </cell>
          <cell r="BN346">
            <v>1</v>
          </cell>
          <cell r="BO346">
            <v>0</v>
          </cell>
          <cell r="BP346">
            <v>1</v>
          </cell>
          <cell r="BQ346">
            <v>12</v>
          </cell>
          <cell r="BR346">
            <v>0</v>
          </cell>
          <cell r="BS346">
            <v>0</v>
          </cell>
          <cell r="BT346">
            <v>0</v>
          </cell>
          <cell r="BU346">
            <v>0</v>
          </cell>
          <cell r="BV346">
            <v>0</v>
          </cell>
          <cell r="BW346">
            <v>0</v>
          </cell>
          <cell r="BX346">
            <v>0</v>
          </cell>
          <cell r="BY346">
            <v>0</v>
          </cell>
          <cell r="BZ346">
            <v>2</v>
          </cell>
        </row>
        <row r="347">
          <cell r="A347" t="str">
            <v>3392</v>
          </cell>
          <cell r="B347">
            <v>339</v>
          </cell>
          <cell r="C347" t="str">
            <v>3392</v>
          </cell>
          <cell r="D347">
            <v>339</v>
          </cell>
          <cell r="E347">
            <v>339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2</v>
          </cell>
          <cell r="Q347">
            <v>2</v>
          </cell>
          <cell r="R347">
            <v>12</v>
          </cell>
          <cell r="S347">
            <v>12</v>
          </cell>
          <cell r="T347" t="str">
            <v>01</v>
          </cell>
          <cell r="U347">
            <v>12</v>
          </cell>
          <cell r="V347">
            <v>12</v>
          </cell>
          <cell r="W347" t="str">
            <v xml:space="preserve"> 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67500000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1</v>
          </cell>
          <cell r="BO347">
            <v>0</v>
          </cell>
          <cell r="BP347">
            <v>1</v>
          </cell>
          <cell r="BQ347">
            <v>12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V347">
            <v>0</v>
          </cell>
          <cell r="BW347">
            <v>0</v>
          </cell>
          <cell r="BX347">
            <v>0</v>
          </cell>
          <cell r="BY347">
            <v>0</v>
          </cell>
          <cell r="BZ347">
            <v>2</v>
          </cell>
        </row>
        <row r="348">
          <cell r="A348" t="str">
            <v>3402</v>
          </cell>
          <cell r="B348">
            <v>340</v>
          </cell>
          <cell r="C348" t="str">
            <v>3402</v>
          </cell>
          <cell r="D348">
            <v>340</v>
          </cell>
          <cell r="E348">
            <v>340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2</v>
          </cell>
          <cell r="Q348">
            <v>2</v>
          </cell>
          <cell r="R348">
            <v>12</v>
          </cell>
          <cell r="S348">
            <v>12</v>
          </cell>
          <cell r="T348" t="str">
            <v>01</v>
          </cell>
          <cell r="U348">
            <v>12</v>
          </cell>
          <cell r="V348">
            <v>12</v>
          </cell>
          <cell r="W348" t="str">
            <v xml:space="preserve"> 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67500000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1</v>
          </cell>
          <cell r="BO348">
            <v>0</v>
          </cell>
          <cell r="BP348">
            <v>1</v>
          </cell>
          <cell r="BQ348">
            <v>12</v>
          </cell>
          <cell r="BR348">
            <v>0</v>
          </cell>
          <cell r="BS348">
            <v>0</v>
          </cell>
          <cell r="BT348">
            <v>0</v>
          </cell>
          <cell r="BU348">
            <v>0</v>
          </cell>
          <cell r="BV348">
            <v>0</v>
          </cell>
          <cell r="BW348">
            <v>0</v>
          </cell>
          <cell r="BX348">
            <v>0</v>
          </cell>
          <cell r="BY348">
            <v>0</v>
          </cell>
          <cell r="BZ348">
            <v>2</v>
          </cell>
        </row>
        <row r="349">
          <cell r="A349" t="str">
            <v>3412</v>
          </cell>
          <cell r="B349">
            <v>341</v>
          </cell>
          <cell r="C349" t="str">
            <v>3412</v>
          </cell>
          <cell r="D349">
            <v>341</v>
          </cell>
          <cell r="E349">
            <v>341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2</v>
          </cell>
          <cell r="Q349">
            <v>2</v>
          </cell>
          <cell r="R349">
            <v>12</v>
          </cell>
          <cell r="S349">
            <v>12</v>
          </cell>
          <cell r="T349" t="str">
            <v>01</v>
          </cell>
          <cell r="U349">
            <v>12</v>
          </cell>
          <cell r="V349">
            <v>12</v>
          </cell>
          <cell r="W349" t="str">
            <v xml:space="preserve"> 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67500000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  <cell r="BK349">
            <v>0</v>
          </cell>
          <cell r="BL349">
            <v>0</v>
          </cell>
          <cell r="BM349">
            <v>0</v>
          </cell>
          <cell r="BN349">
            <v>1</v>
          </cell>
          <cell r="BO349">
            <v>0</v>
          </cell>
          <cell r="BP349">
            <v>1</v>
          </cell>
          <cell r="BQ349">
            <v>12</v>
          </cell>
          <cell r="BR349">
            <v>0</v>
          </cell>
          <cell r="BS349">
            <v>0</v>
          </cell>
          <cell r="BT349">
            <v>0</v>
          </cell>
          <cell r="BU349">
            <v>0</v>
          </cell>
          <cell r="BV349">
            <v>0</v>
          </cell>
          <cell r="BW349">
            <v>0</v>
          </cell>
          <cell r="BX349">
            <v>0</v>
          </cell>
          <cell r="BY349">
            <v>0</v>
          </cell>
          <cell r="BZ349">
            <v>2</v>
          </cell>
        </row>
        <row r="350">
          <cell r="A350" t="str">
            <v>3422</v>
          </cell>
          <cell r="B350">
            <v>342</v>
          </cell>
          <cell r="C350" t="str">
            <v>3422</v>
          </cell>
          <cell r="D350">
            <v>342</v>
          </cell>
          <cell r="E350">
            <v>342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2</v>
          </cell>
          <cell r="Q350">
            <v>2</v>
          </cell>
          <cell r="R350">
            <v>12</v>
          </cell>
          <cell r="S350">
            <v>12</v>
          </cell>
          <cell r="T350" t="str">
            <v>01</v>
          </cell>
          <cell r="U350">
            <v>12</v>
          </cell>
          <cell r="V350">
            <v>12</v>
          </cell>
          <cell r="W350" t="str">
            <v xml:space="preserve"> 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67500000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>
            <v>0</v>
          </cell>
          <cell r="BM350">
            <v>0</v>
          </cell>
          <cell r="BN350">
            <v>1</v>
          </cell>
          <cell r="BO350">
            <v>0</v>
          </cell>
          <cell r="BP350">
            <v>1</v>
          </cell>
          <cell r="BQ350">
            <v>12</v>
          </cell>
          <cell r="BR350">
            <v>0</v>
          </cell>
          <cell r="BS350">
            <v>0</v>
          </cell>
          <cell r="BT350">
            <v>0</v>
          </cell>
          <cell r="BU350">
            <v>0</v>
          </cell>
          <cell r="BV350">
            <v>0</v>
          </cell>
          <cell r="BW350">
            <v>0</v>
          </cell>
          <cell r="BX350">
            <v>0</v>
          </cell>
          <cell r="BY350">
            <v>0</v>
          </cell>
          <cell r="BZ350">
            <v>2</v>
          </cell>
        </row>
        <row r="351">
          <cell r="A351" t="str">
            <v>3432</v>
          </cell>
          <cell r="B351">
            <v>343</v>
          </cell>
          <cell r="C351" t="str">
            <v>3432</v>
          </cell>
          <cell r="D351">
            <v>343</v>
          </cell>
          <cell r="E351">
            <v>343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2</v>
          </cell>
          <cell r="Q351">
            <v>2</v>
          </cell>
          <cell r="R351">
            <v>12</v>
          </cell>
          <cell r="S351">
            <v>12</v>
          </cell>
          <cell r="T351" t="str">
            <v>01</v>
          </cell>
          <cell r="U351">
            <v>12</v>
          </cell>
          <cell r="V351">
            <v>12</v>
          </cell>
          <cell r="W351" t="str">
            <v xml:space="preserve"> 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67500000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>
            <v>0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0</v>
          </cell>
          <cell r="BG351">
            <v>0</v>
          </cell>
          <cell r="BH351">
            <v>0</v>
          </cell>
          <cell r="BI351">
            <v>0</v>
          </cell>
          <cell r="BJ351">
            <v>0</v>
          </cell>
          <cell r="BK351">
            <v>0</v>
          </cell>
          <cell r="BL351">
            <v>0</v>
          </cell>
          <cell r="BM351">
            <v>0</v>
          </cell>
          <cell r="BN351">
            <v>1</v>
          </cell>
          <cell r="BO351">
            <v>0</v>
          </cell>
          <cell r="BP351">
            <v>1</v>
          </cell>
          <cell r="BQ351">
            <v>12</v>
          </cell>
          <cell r="BR351">
            <v>0</v>
          </cell>
          <cell r="BS351">
            <v>0</v>
          </cell>
          <cell r="BT351">
            <v>0</v>
          </cell>
          <cell r="BU351">
            <v>0</v>
          </cell>
          <cell r="BV351">
            <v>0</v>
          </cell>
          <cell r="BW351">
            <v>0</v>
          </cell>
          <cell r="BX351">
            <v>0</v>
          </cell>
          <cell r="BY351">
            <v>0</v>
          </cell>
          <cell r="BZ351">
            <v>2</v>
          </cell>
        </row>
        <row r="352">
          <cell r="A352" t="str">
            <v>3442</v>
          </cell>
          <cell r="B352">
            <v>344</v>
          </cell>
          <cell r="C352" t="str">
            <v>3442</v>
          </cell>
          <cell r="D352">
            <v>344</v>
          </cell>
          <cell r="E352">
            <v>344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2</v>
          </cell>
          <cell r="Q352">
            <v>2</v>
          </cell>
          <cell r="R352">
            <v>12</v>
          </cell>
          <cell r="S352">
            <v>12</v>
          </cell>
          <cell r="T352" t="str">
            <v>01</v>
          </cell>
          <cell r="U352">
            <v>12</v>
          </cell>
          <cell r="V352">
            <v>12</v>
          </cell>
          <cell r="W352" t="str">
            <v xml:space="preserve"> 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67500000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L352">
            <v>0</v>
          </cell>
          <cell r="BM352">
            <v>0</v>
          </cell>
          <cell r="BN352">
            <v>1</v>
          </cell>
          <cell r="BO352">
            <v>0</v>
          </cell>
          <cell r="BP352">
            <v>1</v>
          </cell>
          <cell r="BQ352">
            <v>12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V352">
            <v>0</v>
          </cell>
          <cell r="BW352">
            <v>0</v>
          </cell>
          <cell r="BX352">
            <v>0</v>
          </cell>
          <cell r="BY352">
            <v>0</v>
          </cell>
          <cell r="BZ352">
            <v>2</v>
          </cell>
        </row>
        <row r="353">
          <cell r="A353" t="str">
            <v>3452</v>
          </cell>
          <cell r="B353">
            <v>345</v>
          </cell>
          <cell r="C353" t="str">
            <v>3452</v>
          </cell>
          <cell r="D353">
            <v>345</v>
          </cell>
          <cell r="E353">
            <v>345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2</v>
          </cell>
          <cell r="Q353">
            <v>2</v>
          </cell>
          <cell r="R353">
            <v>12</v>
          </cell>
          <cell r="S353">
            <v>12</v>
          </cell>
          <cell r="T353" t="str">
            <v>01</v>
          </cell>
          <cell r="U353">
            <v>12</v>
          </cell>
          <cell r="V353">
            <v>12</v>
          </cell>
          <cell r="W353" t="str">
            <v xml:space="preserve"> 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67500000</v>
          </cell>
          <cell r="AW353">
            <v>0</v>
          </cell>
          <cell r="AX353">
            <v>0</v>
          </cell>
          <cell r="AY353">
            <v>0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>
            <v>0</v>
          </cell>
          <cell r="BL353">
            <v>0</v>
          </cell>
          <cell r="BM353">
            <v>0</v>
          </cell>
          <cell r="BN353">
            <v>1</v>
          </cell>
          <cell r="BO353">
            <v>0</v>
          </cell>
          <cell r="BP353">
            <v>1</v>
          </cell>
          <cell r="BQ353">
            <v>12</v>
          </cell>
          <cell r="BR353">
            <v>0</v>
          </cell>
          <cell r="BS353">
            <v>0</v>
          </cell>
          <cell r="BT353">
            <v>0</v>
          </cell>
          <cell r="BU353">
            <v>0</v>
          </cell>
          <cell r="BV353">
            <v>0</v>
          </cell>
          <cell r="BW353">
            <v>0</v>
          </cell>
          <cell r="BX353">
            <v>0</v>
          </cell>
          <cell r="BY353">
            <v>0</v>
          </cell>
          <cell r="BZ353">
            <v>2</v>
          </cell>
        </row>
        <row r="354">
          <cell r="A354" t="str">
            <v>3462</v>
          </cell>
          <cell r="B354">
            <v>346</v>
          </cell>
          <cell r="C354" t="str">
            <v>3462</v>
          </cell>
          <cell r="D354">
            <v>346</v>
          </cell>
          <cell r="E354">
            <v>346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2</v>
          </cell>
          <cell r="Q354">
            <v>2</v>
          </cell>
          <cell r="R354">
            <v>12</v>
          </cell>
          <cell r="S354">
            <v>12</v>
          </cell>
          <cell r="T354" t="str">
            <v>01</v>
          </cell>
          <cell r="U354">
            <v>12</v>
          </cell>
          <cell r="V354">
            <v>12</v>
          </cell>
          <cell r="W354" t="str">
            <v xml:space="preserve"> 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67500000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0</v>
          </cell>
          <cell r="BL354">
            <v>0</v>
          </cell>
          <cell r="BM354">
            <v>0</v>
          </cell>
          <cell r="BN354">
            <v>1</v>
          </cell>
          <cell r="BO354">
            <v>0</v>
          </cell>
          <cell r="BP354">
            <v>1</v>
          </cell>
          <cell r="BQ354">
            <v>12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V354">
            <v>0</v>
          </cell>
          <cell r="BW354">
            <v>0</v>
          </cell>
          <cell r="BX354">
            <v>0</v>
          </cell>
          <cell r="BY354">
            <v>0</v>
          </cell>
          <cell r="BZ354">
            <v>2</v>
          </cell>
        </row>
        <row r="355">
          <cell r="A355" t="str">
            <v>3472</v>
          </cell>
          <cell r="B355">
            <v>347</v>
          </cell>
          <cell r="C355" t="str">
            <v>3472</v>
          </cell>
          <cell r="D355">
            <v>347</v>
          </cell>
          <cell r="E355">
            <v>347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2</v>
          </cell>
          <cell r="Q355">
            <v>2</v>
          </cell>
          <cell r="R355">
            <v>12</v>
          </cell>
          <cell r="S355">
            <v>12</v>
          </cell>
          <cell r="T355" t="str">
            <v>01</v>
          </cell>
          <cell r="U355">
            <v>12</v>
          </cell>
          <cell r="V355">
            <v>12</v>
          </cell>
          <cell r="W355" t="str">
            <v xml:space="preserve"> 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67500000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>
            <v>0</v>
          </cell>
          <cell r="BN355">
            <v>1</v>
          </cell>
          <cell r="BO355">
            <v>0</v>
          </cell>
          <cell r="BP355">
            <v>1</v>
          </cell>
          <cell r="BQ355">
            <v>12</v>
          </cell>
          <cell r="BR355">
            <v>0</v>
          </cell>
          <cell r="BS355">
            <v>0</v>
          </cell>
          <cell r="BT355">
            <v>0</v>
          </cell>
          <cell r="BU355">
            <v>0</v>
          </cell>
          <cell r="BV355">
            <v>0</v>
          </cell>
          <cell r="BW355">
            <v>0</v>
          </cell>
          <cell r="BX355">
            <v>0</v>
          </cell>
          <cell r="BY355">
            <v>0</v>
          </cell>
          <cell r="BZ355">
            <v>2</v>
          </cell>
        </row>
        <row r="356">
          <cell r="A356" t="str">
            <v>3482</v>
          </cell>
          <cell r="B356">
            <v>348</v>
          </cell>
          <cell r="C356" t="str">
            <v>3482</v>
          </cell>
          <cell r="D356">
            <v>348</v>
          </cell>
          <cell r="E356">
            <v>348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2</v>
          </cell>
          <cell r="Q356">
            <v>2</v>
          </cell>
          <cell r="R356">
            <v>12</v>
          </cell>
          <cell r="S356">
            <v>12</v>
          </cell>
          <cell r="T356" t="str">
            <v>01</v>
          </cell>
          <cell r="U356">
            <v>12</v>
          </cell>
          <cell r="V356">
            <v>12</v>
          </cell>
          <cell r="W356" t="str">
            <v xml:space="preserve"> 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67500000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0</v>
          </cell>
          <cell r="BM356">
            <v>0</v>
          </cell>
          <cell r="BN356">
            <v>1</v>
          </cell>
          <cell r="BO356">
            <v>0</v>
          </cell>
          <cell r="BP356">
            <v>1</v>
          </cell>
          <cell r="BQ356">
            <v>12</v>
          </cell>
          <cell r="BR356">
            <v>0</v>
          </cell>
          <cell r="BS356">
            <v>0</v>
          </cell>
          <cell r="BT356">
            <v>0</v>
          </cell>
          <cell r="BU356">
            <v>0</v>
          </cell>
          <cell r="BV356">
            <v>0</v>
          </cell>
          <cell r="BW356">
            <v>0</v>
          </cell>
          <cell r="BX356">
            <v>0</v>
          </cell>
          <cell r="BY356">
            <v>0</v>
          </cell>
          <cell r="BZ356">
            <v>2</v>
          </cell>
        </row>
        <row r="357">
          <cell r="A357" t="str">
            <v>3492</v>
          </cell>
          <cell r="B357">
            <v>349</v>
          </cell>
          <cell r="C357" t="str">
            <v>3492</v>
          </cell>
          <cell r="D357">
            <v>349</v>
          </cell>
          <cell r="E357">
            <v>349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2</v>
          </cell>
          <cell r="Q357">
            <v>2</v>
          </cell>
          <cell r="R357">
            <v>12</v>
          </cell>
          <cell r="S357">
            <v>12</v>
          </cell>
          <cell r="T357" t="str">
            <v>01</v>
          </cell>
          <cell r="U357">
            <v>12</v>
          </cell>
          <cell r="V357">
            <v>12</v>
          </cell>
          <cell r="W357" t="str">
            <v xml:space="preserve"> 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67500000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  <cell r="BK357">
            <v>0</v>
          </cell>
          <cell r="BL357">
            <v>0</v>
          </cell>
          <cell r="BM357">
            <v>0</v>
          </cell>
          <cell r="BN357">
            <v>1</v>
          </cell>
          <cell r="BO357">
            <v>0</v>
          </cell>
          <cell r="BP357">
            <v>1</v>
          </cell>
          <cell r="BQ357">
            <v>12</v>
          </cell>
          <cell r="BR357">
            <v>0</v>
          </cell>
          <cell r="BS357">
            <v>0</v>
          </cell>
          <cell r="BT357">
            <v>0</v>
          </cell>
          <cell r="BU357">
            <v>0</v>
          </cell>
          <cell r="BV357">
            <v>0</v>
          </cell>
          <cell r="BW357">
            <v>0</v>
          </cell>
          <cell r="BX357">
            <v>0</v>
          </cell>
          <cell r="BY357">
            <v>0</v>
          </cell>
          <cell r="BZ357">
            <v>2</v>
          </cell>
        </row>
        <row r="358">
          <cell r="A358" t="str">
            <v>3502</v>
          </cell>
          <cell r="B358">
            <v>350</v>
          </cell>
          <cell r="C358" t="str">
            <v>3502</v>
          </cell>
          <cell r="D358">
            <v>350</v>
          </cell>
          <cell r="E358">
            <v>350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2</v>
          </cell>
          <cell r="Q358">
            <v>2</v>
          </cell>
          <cell r="R358">
            <v>12</v>
          </cell>
          <cell r="S358">
            <v>12</v>
          </cell>
          <cell r="T358" t="str">
            <v>01</v>
          </cell>
          <cell r="U358">
            <v>12</v>
          </cell>
          <cell r="V358">
            <v>12</v>
          </cell>
          <cell r="W358" t="str">
            <v xml:space="preserve"> 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67500000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0</v>
          </cell>
          <cell r="BM358">
            <v>0</v>
          </cell>
          <cell r="BN358">
            <v>1</v>
          </cell>
          <cell r="BO358">
            <v>0</v>
          </cell>
          <cell r="BP358">
            <v>1</v>
          </cell>
          <cell r="BQ358">
            <v>12</v>
          </cell>
          <cell r="BR358">
            <v>0</v>
          </cell>
          <cell r="BS358">
            <v>0</v>
          </cell>
          <cell r="BT358">
            <v>0</v>
          </cell>
          <cell r="BU358">
            <v>0</v>
          </cell>
          <cell r="BV358">
            <v>0</v>
          </cell>
          <cell r="BW358">
            <v>0</v>
          </cell>
          <cell r="BX358">
            <v>0</v>
          </cell>
          <cell r="BY358">
            <v>0</v>
          </cell>
          <cell r="BZ358">
            <v>2</v>
          </cell>
        </row>
        <row r="359">
          <cell r="A359" t="str">
            <v>3512</v>
          </cell>
          <cell r="B359">
            <v>351</v>
          </cell>
          <cell r="C359" t="str">
            <v>3512</v>
          </cell>
          <cell r="D359">
            <v>351</v>
          </cell>
          <cell r="E359">
            <v>351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2</v>
          </cell>
          <cell r="Q359">
            <v>2</v>
          </cell>
          <cell r="R359">
            <v>12</v>
          </cell>
          <cell r="S359">
            <v>12</v>
          </cell>
          <cell r="T359" t="str">
            <v>01</v>
          </cell>
          <cell r="U359">
            <v>12</v>
          </cell>
          <cell r="V359">
            <v>12</v>
          </cell>
          <cell r="W359" t="str">
            <v xml:space="preserve"> 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67500000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1</v>
          </cell>
          <cell r="BO359">
            <v>0</v>
          </cell>
          <cell r="BP359">
            <v>1</v>
          </cell>
          <cell r="BQ359">
            <v>12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V359">
            <v>0</v>
          </cell>
          <cell r="BW359">
            <v>0</v>
          </cell>
          <cell r="BX359">
            <v>0</v>
          </cell>
          <cell r="BY359">
            <v>0</v>
          </cell>
          <cell r="BZ359">
            <v>2</v>
          </cell>
        </row>
        <row r="360">
          <cell r="A360" t="str">
            <v>3522</v>
          </cell>
          <cell r="B360">
            <v>352</v>
          </cell>
          <cell r="C360" t="str">
            <v>3522</v>
          </cell>
          <cell r="D360">
            <v>352</v>
          </cell>
          <cell r="E360">
            <v>352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2</v>
          </cell>
          <cell r="Q360">
            <v>2</v>
          </cell>
          <cell r="R360">
            <v>12</v>
          </cell>
          <cell r="S360">
            <v>12</v>
          </cell>
          <cell r="T360" t="str">
            <v>01</v>
          </cell>
          <cell r="U360">
            <v>12</v>
          </cell>
          <cell r="V360">
            <v>12</v>
          </cell>
          <cell r="W360" t="str">
            <v xml:space="preserve"> 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67500000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BM360">
            <v>0</v>
          </cell>
          <cell r="BN360">
            <v>1</v>
          </cell>
          <cell r="BO360">
            <v>0</v>
          </cell>
          <cell r="BP360">
            <v>1</v>
          </cell>
          <cell r="BQ360">
            <v>12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V360">
            <v>0</v>
          </cell>
          <cell r="BW360">
            <v>0</v>
          </cell>
          <cell r="BX360">
            <v>0</v>
          </cell>
          <cell r="BY360">
            <v>0</v>
          </cell>
          <cell r="BZ360">
            <v>2</v>
          </cell>
        </row>
        <row r="361">
          <cell r="A361" t="str">
            <v>3532</v>
          </cell>
          <cell r="B361">
            <v>353</v>
          </cell>
          <cell r="C361" t="str">
            <v>3532</v>
          </cell>
          <cell r="D361">
            <v>353</v>
          </cell>
          <cell r="E361">
            <v>353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2</v>
          </cell>
          <cell r="Q361">
            <v>2</v>
          </cell>
          <cell r="R361">
            <v>12</v>
          </cell>
          <cell r="S361">
            <v>12</v>
          </cell>
          <cell r="T361" t="str">
            <v>01</v>
          </cell>
          <cell r="U361">
            <v>12</v>
          </cell>
          <cell r="V361">
            <v>12</v>
          </cell>
          <cell r="W361" t="str">
            <v xml:space="preserve"> 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67500000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1</v>
          </cell>
          <cell r="BO361">
            <v>0</v>
          </cell>
          <cell r="BP361">
            <v>1</v>
          </cell>
          <cell r="BQ361">
            <v>12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0</v>
          </cell>
          <cell r="BW361">
            <v>0</v>
          </cell>
          <cell r="BX361">
            <v>0</v>
          </cell>
          <cell r="BY361">
            <v>0</v>
          </cell>
          <cell r="BZ361">
            <v>2</v>
          </cell>
        </row>
        <row r="362">
          <cell r="A362" t="str">
            <v>3542</v>
          </cell>
          <cell r="B362">
            <v>354</v>
          </cell>
          <cell r="C362" t="str">
            <v>3542</v>
          </cell>
          <cell r="D362">
            <v>354</v>
          </cell>
          <cell r="E362">
            <v>354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2</v>
          </cell>
          <cell r="Q362">
            <v>2</v>
          </cell>
          <cell r="R362">
            <v>12</v>
          </cell>
          <cell r="S362">
            <v>12</v>
          </cell>
          <cell r="T362" t="str">
            <v>01</v>
          </cell>
          <cell r="U362">
            <v>12</v>
          </cell>
          <cell r="V362">
            <v>12</v>
          </cell>
          <cell r="W362" t="str">
            <v xml:space="preserve"> 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67500000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1</v>
          </cell>
          <cell r="BO362">
            <v>0</v>
          </cell>
          <cell r="BP362">
            <v>1</v>
          </cell>
          <cell r="BQ362">
            <v>12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0</v>
          </cell>
          <cell r="BX362">
            <v>0</v>
          </cell>
          <cell r="BY362">
            <v>0</v>
          </cell>
          <cell r="BZ362">
            <v>2</v>
          </cell>
        </row>
        <row r="363">
          <cell r="A363" t="str">
            <v>3552</v>
          </cell>
          <cell r="B363">
            <v>355</v>
          </cell>
          <cell r="C363" t="str">
            <v>3552</v>
          </cell>
          <cell r="D363">
            <v>355</v>
          </cell>
          <cell r="E363">
            <v>355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2</v>
          </cell>
          <cell r="Q363">
            <v>2</v>
          </cell>
          <cell r="R363">
            <v>12</v>
          </cell>
          <cell r="S363">
            <v>12</v>
          </cell>
          <cell r="T363" t="str">
            <v>01</v>
          </cell>
          <cell r="U363">
            <v>12</v>
          </cell>
          <cell r="V363">
            <v>12</v>
          </cell>
          <cell r="W363" t="str">
            <v xml:space="preserve"> 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67500000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1</v>
          </cell>
          <cell r="BO363">
            <v>0</v>
          </cell>
          <cell r="BP363">
            <v>1</v>
          </cell>
          <cell r="BQ363">
            <v>12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V363">
            <v>0</v>
          </cell>
          <cell r="BW363">
            <v>0</v>
          </cell>
          <cell r="BX363">
            <v>0</v>
          </cell>
          <cell r="BY363">
            <v>0</v>
          </cell>
          <cell r="BZ363">
            <v>2</v>
          </cell>
        </row>
        <row r="364">
          <cell r="A364" t="str">
            <v>3562</v>
          </cell>
          <cell r="B364">
            <v>356</v>
          </cell>
          <cell r="C364" t="str">
            <v>3562</v>
          </cell>
          <cell r="D364">
            <v>356</v>
          </cell>
          <cell r="E364">
            <v>356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2</v>
          </cell>
          <cell r="Q364">
            <v>2</v>
          </cell>
          <cell r="R364">
            <v>12</v>
          </cell>
          <cell r="S364">
            <v>12</v>
          </cell>
          <cell r="T364" t="str">
            <v>01</v>
          </cell>
          <cell r="U364">
            <v>12</v>
          </cell>
          <cell r="V364">
            <v>12</v>
          </cell>
          <cell r="W364" t="str">
            <v xml:space="preserve"> 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67500000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1</v>
          </cell>
          <cell r="BO364">
            <v>0</v>
          </cell>
          <cell r="BP364">
            <v>1</v>
          </cell>
          <cell r="BQ364">
            <v>12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  <cell r="BX364">
            <v>0</v>
          </cell>
          <cell r="BY364">
            <v>0</v>
          </cell>
          <cell r="BZ364">
            <v>2</v>
          </cell>
        </row>
        <row r="365">
          <cell r="A365" t="str">
            <v>3572</v>
          </cell>
          <cell r="B365">
            <v>357</v>
          </cell>
          <cell r="C365" t="str">
            <v>3572</v>
          </cell>
          <cell r="D365">
            <v>357</v>
          </cell>
          <cell r="E365">
            <v>357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2</v>
          </cell>
          <cell r="Q365">
            <v>2</v>
          </cell>
          <cell r="R365">
            <v>12</v>
          </cell>
          <cell r="S365">
            <v>12</v>
          </cell>
          <cell r="T365" t="str">
            <v>01</v>
          </cell>
          <cell r="U365">
            <v>12</v>
          </cell>
          <cell r="V365">
            <v>12</v>
          </cell>
          <cell r="W365" t="str">
            <v xml:space="preserve"> 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67500000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1</v>
          </cell>
          <cell r="BO365">
            <v>0</v>
          </cell>
          <cell r="BP365">
            <v>1</v>
          </cell>
          <cell r="BQ365">
            <v>12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BX365">
            <v>0</v>
          </cell>
          <cell r="BY365">
            <v>0</v>
          </cell>
          <cell r="BZ365">
            <v>2</v>
          </cell>
        </row>
        <row r="366">
          <cell r="A366" t="str">
            <v>3582</v>
          </cell>
          <cell r="B366">
            <v>358</v>
          </cell>
          <cell r="C366" t="str">
            <v>3582</v>
          </cell>
          <cell r="D366">
            <v>358</v>
          </cell>
          <cell r="E366">
            <v>358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2</v>
          </cell>
          <cell r="Q366">
            <v>2</v>
          </cell>
          <cell r="R366">
            <v>12</v>
          </cell>
          <cell r="S366">
            <v>12</v>
          </cell>
          <cell r="T366" t="str">
            <v>01</v>
          </cell>
          <cell r="U366">
            <v>12</v>
          </cell>
          <cell r="V366">
            <v>12</v>
          </cell>
          <cell r="W366" t="str">
            <v xml:space="preserve"> 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67500000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1</v>
          </cell>
          <cell r="BO366">
            <v>0</v>
          </cell>
          <cell r="BP366">
            <v>1</v>
          </cell>
          <cell r="BQ366">
            <v>12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0</v>
          </cell>
          <cell r="BY366">
            <v>0</v>
          </cell>
          <cell r="BZ366">
            <v>2</v>
          </cell>
        </row>
        <row r="367">
          <cell r="A367" t="str">
            <v>3592</v>
          </cell>
          <cell r="B367">
            <v>359</v>
          </cell>
          <cell r="C367" t="str">
            <v>3592</v>
          </cell>
          <cell r="D367">
            <v>359</v>
          </cell>
          <cell r="E367">
            <v>359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2</v>
          </cell>
          <cell r="Q367">
            <v>2</v>
          </cell>
          <cell r="R367">
            <v>12</v>
          </cell>
          <cell r="S367">
            <v>12</v>
          </cell>
          <cell r="T367" t="str">
            <v>01</v>
          </cell>
          <cell r="U367">
            <v>12</v>
          </cell>
          <cell r="V367">
            <v>12</v>
          </cell>
          <cell r="W367" t="str">
            <v xml:space="preserve"> 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67500000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1</v>
          </cell>
          <cell r="BO367">
            <v>0</v>
          </cell>
          <cell r="BP367">
            <v>1</v>
          </cell>
          <cell r="BQ367">
            <v>12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0</v>
          </cell>
          <cell r="BW367">
            <v>0</v>
          </cell>
          <cell r="BX367">
            <v>0</v>
          </cell>
          <cell r="BY367">
            <v>0</v>
          </cell>
          <cell r="BZ367">
            <v>2</v>
          </cell>
        </row>
        <row r="368">
          <cell r="A368" t="str">
            <v>3602</v>
          </cell>
          <cell r="B368">
            <v>360</v>
          </cell>
          <cell r="C368" t="str">
            <v>3602</v>
          </cell>
          <cell r="D368">
            <v>360</v>
          </cell>
          <cell r="E368">
            <v>360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2</v>
          </cell>
          <cell r="Q368">
            <v>2</v>
          </cell>
          <cell r="R368">
            <v>12</v>
          </cell>
          <cell r="S368">
            <v>12</v>
          </cell>
          <cell r="T368" t="str">
            <v>01</v>
          </cell>
          <cell r="U368">
            <v>12</v>
          </cell>
          <cell r="V368">
            <v>12</v>
          </cell>
          <cell r="W368" t="str">
            <v xml:space="preserve"> 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67500000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1</v>
          </cell>
          <cell r="BO368">
            <v>0</v>
          </cell>
          <cell r="BP368">
            <v>1</v>
          </cell>
          <cell r="BQ368">
            <v>12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  <cell r="BZ368">
            <v>2</v>
          </cell>
        </row>
        <row r="369">
          <cell r="A369" t="str">
            <v>3612</v>
          </cell>
          <cell r="B369">
            <v>361</v>
          </cell>
          <cell r="C369" t="str">
            <v>3612</v>
          </cell>
          <cell r="D369">
            <v>361</v>
          </cell>
          <cell r="E369">
            <v>361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2</v>
          </cell>
          <cell r="Q369">
            <v>2</v>
          </cell>
          <cell r="R369">
            <v>12</v>
          </cell>
          <cell r="S369">
            <v>12</v>
          </cell>
          <cell r="T369" t="str">
            <v>01</v>
          </cell>
          <cell r="U369">
            <v>12</v>
          </cell>
          <cell r="V369">
            <v>12</v>
          </cell>
          <cell r="W369" t="str">
            <v xml:space="preserve"> 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67500000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1</v>
          </cell>
          <cell r="BO369">
            <v>0</v>
          </cell>
          <cell r="BP369">
            <v>1</v>
          </cell>
          <cell r="BQ369">
            <v>12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0</v>
          </cell>
          <cell r="BZ369">
            <v>2</v>
          </cell>
        </row>
        <row r="370">
          <cell r="A370" t="str">
            <v>3622</v>
          </cell>
          <cell r="B370">
            <v>362</v>
          </cell>
          <cell r="C370" t="str">
            <v>3622</v>
          </cell>
          <cell r="D370">
            <v>362</v>
          </cell>
          <cell r="E370">
            <v>362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2</v>
          </cell>
          <cell r="Q370">
            <v>2</v>
          </cell>
          <cell r="R370">
            <v>12</v>
          </cell>
          <cell r="S370">
            <v>12</v>
          </cell>
          <cell r="T370" t="str">
            <v>01</v>
          </cell>
          <cell r="U370">
            <v>12</v>
          </cell>
          <cell r="V370">
            <v>12</v>
          </cell>
          <cell r="W370" t="str">
            <v xml:space="preserve"> 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67500000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1</v>
          </cell>
          <cell r="BO370">
            <v>0</v>
          </cell>
          <cell r="BP370">
            <v>1</v>
          </cell>
          <cell r="BQ370">
            <v>12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0</v>
          </cell>
          <cell r="BZ370">
            <v>2</v>
          </cell>
        </row>
        <row r="371">
          <cell r="A371" t="str">
            <v>3632</v>
          </cell>
          <cell r="B371">
            <v>363</v>
          </cell>
          <cell r="C371" t="str">
            <v>3632</v>
          </cell>
          <cell r="D371">
            <v>363</v>
          </cell>
          <cell r="E371">
            <v>363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2</v>
          </cell>
          <cell r="Q371">
            <v>2</v>
          </cell>
          <cell r="R371">
            <v>12</v>
          </cell>
          <cell r="S371">
            <v>12</v>
          </cell>
          <cell r="T371" t="str">
            <v>01</v>
          </cell>
          <cell r="U371">
            <v>12</v>
          </cell>
          <cell r="V371">
            <v>12</v>
          </cell>
          <cell r="W371" t="str">
            <v xml:space="preserve"> 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67500000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1</v>
          </cell>
          <cell r="BO371">
            <v>0</v>
          </cell>
          <cell r="BP371">
            <v>1</v>
          </cell>
          <cell r="BQ371">
            <v>12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  <cell r="BX371">
            <v>0</v>
          </cell>
          <cell r="BY371">
            <v>0</v>
          </cell>
          <cell r="BZ371">
            <v>2</v>
          </cell>
        </row>
        <row r="372">
          <cell r="A372" t="str">
            <v>3642</v>
          </cell>
          <cell r="B372">
            <v>364</v>
          </cell>
          <cell r="C372" t="str">
            <v>3642</v>
          </cell>
          <cell r="D372">
            <v>364</v>
          </cell>
          <cell r="E372">
            <v>364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2</v>
          </cell>
          <cell r="Q372">
            <v>2</v>
          </cell>
          <cell r="R372">
            <v>12</v>
          </cell>
          <cell r="S372">
            <v>12</v>
          </cell>
          <cell r="T372" t="str">
            <v>01</v>
          </cell>
          <cell r="U372">
            <v>12</v>
          </cell>
          <cell r="V372">
            <v>12</v>
          </cell>
          <cell r="W372" t="str">
            <v xml:space="preserve"> 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67500000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1</v>
          </cell>
          <cell r="BO372">
            <v>0</v>
          </cell>
          <cell r="BP372">
            <v>1</v>
          </cell>
          <cell r="BQ372">
            <v>12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  <cell r="BX372">
            <v>0</v>
          </cell>
          <cell r="BY372">
            <v>0</v>
          </cell>
          <cell r="BZ372">
            <v>2</v>
          </cell>
        </row>
        <row r="373">
          <cell r="A373" t="str">
            <v>3652</v>
          </cell>
          <cell r="B373">
            <v>365</v>
          </cell>
          <cell r="C373" t="str">
            <v>3652</v>
          </cell>
          <cell r="D373">
            <v>365</v>
          </cell>
          <cell r="E373">
            <v>365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2</v>
          </cell>
          <cell r="Q373">
            <v>2</v>
          </cell>
          <cell r="R373">
            <v>12</v>
          </cell>
          <cell r="S373">
            <v>12</v>
          </cell>
          <cell r="T373" t="str">
            <v>01</v>
          </cell>
          <cell r="U373">
            <v>12</v>
          </cell>
          <cell r="V373">
            <v>12</v>
          </cell>
          <cell r="W373" t="str">
            <v xml:space="preserve"> 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67500000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1</v>
          </cell>
          <cell r="BO373">
            <v>0</v>
          </cell>
          <cell r="BP373">
            <v>1</v>
          </cell>
          <cell r="BQ373">
            <v>12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2</v>
          </cell>
        </row>
        <row r="374">
          <cell r="A374" t="str">
            <v>3662</v>
          </cell>
          <cell r="B374">
            <v>366</v>
          </cell>
          <cell r="C374" t="str">
            <v>3662</v>
          </cell>
          <cell r="D374">
            <v>366</v>
          </cell>
          <cell r="E374">
            <v>366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2</v>
          </cell>
          <cell r="Q374">
            <v>2</v>
          </cell>
          <cell r="R374">
            <v>12</v>
          </cell>
          <cell r="S374">
            <v>12</v>
          </cell>
          <cell r="T374" t="str">
            <v>01</v>
          </cell>
          <cell r="U374">
            <v>12</v>
          </cell>
          <cell r="V374">
            <v>12</v>
          </cell>
          <cell r="W374" t="str">
            <v xml:space="preserve"> 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67500000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1</v>
          </cell>
          <cell r="BO374">
            <v>0</v>
          </cell>
          <cell r="BP374">
            <v>1</v>
          </cell>
          <cell r="BQ374">
            <v>12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2</v>
          </cell>
        </row>
        <row r="375">
          <cell r="A375" t="str">
            <v>3672</v>
          </cell>
          <cell r="B375">
            <v>367</v>
          </cell>
          <cell r="C375" t="str">
            <v>3672</v>
          </cell>
          <cell r="D375">
            <v>367</v>
          </cell>
          <cell r="E375">
            <v>367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2</v>
          </cell>
          <cell r="Q375">
            <v>2</v>
          </cell>
          <cell r="R375">
            <v>12</v>
          </cell>
          <cell r="S375">
            <v>12</v>
          </cell>
          <cell r="T375" t="str">
            <v>01</v>
          </cell>
          <cell r="U375">
            <v>12</v>
          </cell>
          <cell r="V375">
            <v>12</v>
          </cell>
          <cell r="W375" t="str">
            <v xml:space="preserve"> 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67500000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1</v>
          </cell>
          <cell r="BO375">
            <v>0</v>
          </cell>
          <cell r="BP375">
            <v>1</v>
          </cell>
          <cell r="BQ375">
            <v>12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0</v>
          </cell>
          <cell r="BW375">
            <v>0</v>
          </cell>
          <cell r="BX375">
            <v>0</v>
          </cell>
          <cell r="BY375">
            <v>0</v>
          </cell>
          <cell r="BZ375">
            <v>2</v>
          </cell>
        </row>
        <row r="376">
          <cell r="A376" t="str">
            <v>3682</v>
          </cell>
          <cell r="B376">
            <v>368</v>
          </cell>
          <cell r="C376" t="str">
            <v>3682</v>
          </cell>
          <cell r="D376">
            <v>368</v>
          </cell>
          <cell r="E376">
            <v>368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2</v>
          </cell>
          <cell r="Q376">
            <v>2</v>
          </cell>
          <cell r="R376">
            <v>12</v>
          </cell>
          <cell r="S376">
            <v>12</v>
          </cell>
          <cell r="T376" t="str">
            <v>01</v>
          </cell>
          <cell r="U376">
            <v>12</v>
          </cell>
          <cell r="V376">
            <v>12</v>
          </cell>
          <cell r="W376" t="str">
            <v xml:space="preserve"> 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67500000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1</v>
          </cell>
          <cell r="BO376">
            <v>0</v>
          </cell>
          <cell r="BP376">
            <v>1</v>
          </cell>
          <cell r="BQ376">
            <v>12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2</v>
          </cell>
        </row>
        <row r="377">
          <cell r="A377" t="str">
            <v>3692</v>
          </cell>
          <cell r="B377">
            <v>369</v>
          </cell>
          <cell r="C377" t="str">
            <v>3692</v>
          </cell>
          <cell r="D377">
            <v>369</v>
          </cell>
          <cell r="E377">
            <v>369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2</v>
          </cell>
          <cell r="Q377">
            <v>2</v>
          </cell>
          <cell r="R377">
            <v>12</v>
          </cell>
          <cell r="S377">
            <v>12</v>
          </cell>
          <cell r="T377" t="str">
            <v>01</v>
          </cell>
          <cell r="U377">
            <v>12</v>
          </cell>
          <cell r="V377">
            <v>12</v>
          </cell>
          <cell r="W377" t="str">
            <v xml:space="preserve"> 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67500000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1</v>
          </cell>
          <cell r="BO377">
            <v>0</v>
          </cell>
          <cell r="BP377">
            <v>1</v>
          </cell>
          <cell r="BQ377">
            <v>12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2</v>
          </cell>
        </row>
        <row r="378">
          <cell r="A378" t="str">
            <v>3702</v>
          </cell>
          <cell r="B378">
            <v>370</v>
          </cell>
          <cell r="C378" t="str">
            <v>3702</v>
          </cell>
          <cell r="D378">
            <v>370</v>
          </cell>
          <cell r="E378">
            <v>370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2</v>
          </cell>
          <cell r="Q378">
            <v>2</v>
          </cell>
          <cell r="R378">
            <v>12</v>
          </cell>
          <cell r="S378">
            <v>12</v>
          </cell>
          <cell r="T378" t="str">
            <v>01</v>
          </cell>
          <cell r="U378">
            <v>12</v>
          </cell>
          <cell r="V378">
            <v>12</v>
          </cell>
          <cell r="W378" t="str">
            <v xml:space="preserve"> 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67500000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1</v>
          </cell>
          <cell r="BO378">
            <v>0</v>
          </cell>
          <cell r="BP378">
            <v>1</v>
          </cell>
          <cell r="BQ378">
            <v>12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2</v>
          </cell>
        </row>
        <row r="379">
          <cell r="A379" t="str">
            <v>3712</v>
          </cell>
          <cell r="B379">
            <v>371</v>
          </cell>
          <cell r="C379" t="str">
            <v>3712</v>
          </cell>
          <cell r="D379">
            <v>371</v>
          </cell>
          <cell r="E379">
            <v>371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2</v>
          </cell>
          <cell r="Q379">
            <v>2</v>
          </cell>
          <cell r="R379">
            <v>12</v>
          </cell>
          <cell r="S379">
            <v>12</v>
          </cell>
          <cell r="T379" t="str">
            <v>01</v>
          </cell>
          <cell r="U379">
            <v>12</v>
          </cell>
          <cell r="V379">
            <v>12</v>
          </cell>
          <cell r="W379" t="str">
            <v xml:space="preserve"> 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67500000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1</v>
          </cell>
          <cell r="BO379">
            <v>0</v>
          </cell>
          <cell r="BP379">
            <v>1</v>
          </cell>
          <cell r="BQ379">
            <v>12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2</v>
          </cell>
        </row>
        <row r="380">
          <cell r="A380" t="str">
            <v>3722</v>
          </cell>
          <cell r="B380">
            <v>372</v>
          </cell>
          <cell r="C380" t="str">
            <v>3722</v>
          </cell>
          <cell r="D380">
            <v>372</v>
          </cell>
          <cell r="E380">
            <v>372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2</v>
          </cell>
          <cell r="Q380">
            <v>2</v>
          </cell>
          <cell r="R380">
            <v>12</v>
          </cell>
          <cell r="S380">
            <v>12</v>
          </cell>
          <cell r="T380" t="str">
            <v>01</v>
          </cell>
          <cell r="U380">
            <v>12</v>
          </cell>
          <cell r="V380">
            <v>12</v>
          </cell>
          <cell r="W380" t="str">
            <v xml:space="preserve"> 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67500000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1</v>
          </cell>
          <cell r="BO380">
            <v>0</v>
          </cell>
          <cell r="BP380">
            <v>1</v>
          </cell>
          <cell r="BQ380">
            <v>12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2</v>
          </cell>
        </row>
        <row r="381">
          <cell r="A381" t="str">
            <v>3732</v>
          </cell>
          <cell r="B381">
            <v>373</v>
          </cell>
          <cell r="C381" t="str">
            <v>3732</v>
          </cell>
          <cell r="D381">
            <v>373</v>
          </cell>
          <cell r="E381">
            <v>373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2</v>
          </cell>
          <cell r="Q381">
            <v>2</v>
          </cell>
          <cell r="R381">
            <v>12</v>
          </cell>
          <cell r="S381">
            <v>12</v>
          </cell>
          <cell r="T381" t="str">
            <v>01</v>
          </cell>
          <cell r="U381">
            <v>12</v>
          </cell>
          <cell r="V381">
            <v>12</v>
          </cell>
          <cell r="W381" t="str">
            <v xml:space="preserve"> 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67500000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1</v>
          </cell>
          <cell r="BO381">
            <v>0</v>
          </cell>
          <cell r="BP381">
            <v>1</v>
          </cell>
          <cell r="BQ381">
            <v>12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2</v>
          </cell>
        </row>
        <row r="382">
          <cell r="A382" t="str">
            <v>3742</v>
          </cell>
          <cell r="B382">
            <v>374</v>
          </cell>
          <cell r="C382" t="str">
            <v>3742</v>
          </cell>
          <cell r="D382">
            <v>374</v>
          </cell>
          <cell r="E382">
            <v>374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2</v>
          </cell>
          <cell r="Q382">
            <v>2</v>
          </cell>
          <cell r="R382">
            <v>12</v>
          </cell>
          <cell r="S382">
            <v>12</v>
          </cell>
          <cell r="T382" t="str">
            <v>01</v>
          </cell>
          <cell r="U382">
            <v>12</v>
          </cell>
          <cell r="V382">
            <v>12</v>
          </cell>
          <cell r="W382" t="str">
            <v xml:space="preserve"> 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67500000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1</v>
          </cell>
          <cell r="BO382">
            <v>0</v>
          </cell>
          <cell r="BP382">
            <v>1</v>
          </cell>
          <cell r="BQ382">
            <v>12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0</v>
          </cell>
          <cell r="BZ382">
            <v>2</v>
          </cell>
        </row>
        <row r="383">
          <cell r="A383" t="str">
            <v>3752</v>
          </cell>
          <cell r="B383">
            <v>375</v>
          </cell>
          <cell r="C383" t="str">
            <v>3752</v>
          </cell>
          <cell r="D383">
            <v>375</v>
          </cell>
          <cell r="E383">
            <v>375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2</v>
          </cell>
          <cell r="Q383">
            <v>2</v>
          </cell>
          <cell r="R383">
            <v>12</v>
          </cell>
          <cell r="S383">
            <v>12</v>
          </cell>
          <cell r="T383" t="str">
            <v>01</v>
          </cell>
          <cell r="U383">
            <v>12</v>
          </cell>
          <cell r="V383">
            <v>12</v>
          </cell>
          <cell r="W383" t="str">
            <v xml:space="preserve"> 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67500000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1</v>
          </cell>
          <cell r="BO383">
            <v>0</v>
          </cell>
          <cell r="BP383">
            <v>1</v>
          </cell>
          <cell r="BQ383">
            <v>12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2</v>
          </cell>
        </row>
        <row r="384">
          <cell r="A384" t="str">
            <v>3762</v>
          </cell>
          <cell r="B384">
            <v>376</v>
          </cell>
          <cell r="C384" t="str">
            <v>3762</v>
          </cell>
          <cell r="D384">
            <v>376</v>
          </cell>
          <cell r="E384">
            <v>376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2</v>
          </cell>
          <cell r="Q384">
            <v>2</v>
          </cell>
          <cell r="R384">
            <v>12</v>
          </cell>
          <cell r="S384">
            <v>12</v>
          </cell>
          <cell r="T384" t="str">
            <v>01</v>
          </cell>
          <cell r="U384">
            <v>12</v>
          </cell>
          <cell r="V384">
            <v>12</v>
          </cell>
          <cell r="W384" t="str">
            <v xml:space="preserve"> 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67500000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1</v>
          </cell>
          <cell r="BO384">
            <v>0</v>
          </cell>
          <cell r="BP384">
            <v>1</v>
          </cell>
          <cell r="BQ384">
            <v>12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2</v>
          </cell>
        </row>
        <row r="385">
          <cell r="A385" t="str">
            <v>3772</v>
          </cell>
          <cell r="B385">
            <v>377</v>
          </cell>
          <cell r="C385" t="str">
            <v>3772</v>
          </cell>
          <cell r="D385">
            <v>377</v>
          </cell>
          <cell r="E385">
            <v>377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2</v>
          </cell>
          <cell r="Q385">
            <v>2</v>
          </cell>
          <cell r="R385">
            <v>12</v>
          </cell>
          <cell r="S385">
            <v>12</v>
          </cell>
          <cell r="T385" t="str">
            <v>01</v>
          </cell>
          <cell r="U385">
            <v>12</v>
          </cell>
          <cell r="V385">
            <v>12</v>
          </cell>
          <cell r="W385" t="str">
            <v xml:space="preserve"> 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67500000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1</v>
          </cell>
          <cell r="BO385">
            <v>0</v>
          </cell>
          <cell r="BP385">
            <v>1</v>
          </cell>
          <cell r="BQ385">
            <v>12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2</v>
          </cell>
        </row>
        <row r="386">
          <cell r="A386" t="str">
            <v>3782</v>
          </cell>
          <cell r="B386">
            <v>378</v>
          </cell>
          <cell r="C386" t="str">
            <v>3782</v>
          </cell>
          <cell r="D386">
            <v>378</v>
          </cell>
          <cell r="E386">
            <v>378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2</v>
          </cell>
          <cell r="Q386">
            <v>2</v>
          </cell>
          <cell r="R386">
            <v>12</v>
          </cell>
          <cell r="S386">
            <v>12</v>
          </cell>
          <cell r="T386" t="str">
            <v>01</v>
          </cell>
          <cell r="U386">
            <v>12</v>
          </cell>
          <cell r="V386">
            <v>12</v>
          </cell>
          <cell r="W386" t="str">
            <v xml:space="preserve"> 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67500000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1</v>
          </cell>
          <cell r="BO386">
            <v>0</v>
          </cell>
          <cell r="BP386">
            <v>1</v>
          </cell>
          <cell r="BQ386">
            <v>12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2</v>
          </cell>
        </row>
        <row r="387">
          <cell r="A387" t="str">
            <v>3792</v>
          </cell>
          <cell r="B387">
            <v>379</v>
          </cell>
          <cell r="C387" t="str">
            <v>3792</v>
          </cell>
          <cell r="D387">
            <v>379</v>
          </cell>
          <cell r="E387">
            <v>379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2</v>
          </cell>
          <cell r="Q387">
            <v>2</v>
          </cell>
          <cell r="R387">
            <v>12</v>
          </cell>
          <cell r="S387">
            <v>12</v>
          </cell>
          <cell r="T387" t="str">
            <v>01</v>
          </cell>
          <cell r="U387">
            <v>12</v>
          </cell>
          <cell r="V387">
            <v>12</v>
          </cell>
          <cell r="W387" t="str">
            <v xml:space="preserve"> 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67500000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1</v>
          </cell>
          <cell r="BO387">
            <v>0</v>
          </cell>
          <cell r="BP387">
            <v>1</v>
          </cell>
          <cell r="BQ387">
            <v>12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2</v>
          </cell>
        </row>
        <row r="388">
          <cell r="A388" t="str">
            <v>3802</v>
          </cell>
          <cell r="B388">
            <v>380</v>
          </cell>
          <cell r="C388" t="str">
            <v>3802</v>
          </cell>
          <cell r="D388">
            <v>380</v>
          </cell>
          <cell r="E388">
            <v>380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2</v>
          </cell>
          <cell r="Q388">
            <v>2</v>
          </cell>
          <cell r="R388">
            <v>12</v>
          </cell>
          <cell r="S388">
            <v>12</v>
          </cell>
          <cell r="T388" t="str">
            <v>01</v>
          </cell>
          <cell r="U388">
            <v>12</v>
          </cell>
          <cell r="V388">
            <v>12</v>
          </cell>
          <cell r="W388" t="str">
            <v xml:space="preserve"> 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67500000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1</v>
          </cell>
          <cell r="BO388">
            <v>0</v>
          </cell>
          <cell r="BP388">
            <v>1</v>
          </cell>
          <cell r="BQ388">
            <v>12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2</v>
          </cell>
        </row>
        <row r="389">
          <cell r="A389" t="str">
            <v>3812</v>
          </cell>
          <cell r="B389">
            <v>381</v>
          </cell>
          <cell r="C389" t="str">
            <v>3812</v>
          </cell>
          <cell r="D389">
            <v>381</v>
          </cell>
          <cell r="E389">
            <v>381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2</v>
          </cell>
          <cell r="Q389">
            <v>2</v>
          </cell>
          <cell r="R389">
            <v>12</v>
          </cell>
          <cell r="S389">
            <v>12</v>
          </cell>
          <cell r="T389" t="str">
            <v>01</v>
          </cell>
          <cell r="U389">
            <v>12</v>
          </cell>
          <cell r="V389">
            <v>12</v>
          </cell>
          <cell r="W389" t="str">
            <v xml:space="preserve"> 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67500000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1</v>
          </cell>
          <cell r="BO389">
            <v>0</v>
          </cell>
          <cell r="BP389">
            <v>1</v>
          </cell>
          <cell r="BQ389">
            <v>12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2</v>
          </cell>
        </row>
        <row r="390">
          <cell r="A390" t="str">
            <v>3822</v>
          </cell>
          <cell r="B390">
            <v>382</v>
          </cell>
          <cell r="C390" t="str">
            <v>3822</v>
          </cell>
          <cell r="D390">
            <v>382</v>
          </cell>
          <cell r="E390">
            <v>382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2</v>
          </cell>
          <cell r="Q390">
            <v>2</v>
          </cell>
          <cell r="R390">
            <v>12</v>
          </cell>
          <cell r="S390">
            <v>12</v>
          </cell>
          <cell r="T390" t="str">
            <v>01</v>
          </cell>
          <cell r="U390">
            <v>12</v>
          </cell>
          <cell r="V390">
            <v>12</v>
          </cell>
          <cell r="W390" t="str">
            <v xml:space="preserve"> 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67500000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1</v>
          </cell>
          <cell r="BO390">
            <v>0</v>
          </cell>
          <cell r="BP390">
            <v>1</v>
          </cell>
          <cell r="BQ390">
            <v>12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  <cell r="BX390">
            <v>0</v>
          </cell>
          <cell r="BY390">
            <v>0</v>
          </cell>
          <cell r="BZ390">
            <v>2</v>
          </cell>
        </row>
        <row r="391">
          <cell r="A391" t="str">
            <v>3832</v>
          </cell>
          <cell r="B391">
            <v>383</v>
          </cell>
          <cell r="C391" t="str">
            <v>3832</v>
          </cell>
          <cell r="D391">
            <v>383</v>
          </cell>
          <cell r="E391">
            <v>383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2</v>
          </cell>
          <cell r="Q391">
            <v>2</v>
          </cell>
          <cell r="R391">
            <v>12</v>
          </cell>
          <cell r="S391">
            <v>12</v>
          </cell>
          <cell r="T391" t="str">
            <v>01</v>
          </cell>
          <cell r="U391">
            <v>12</v>
          </cell>
          <cell r="V391">
            <v>12</v>
          </cell>
          <cell r="W391" t="str">
            <v xml:space="preserve"> 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67500000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1</v>
          </cell>
          <cell r="BO391">
            <v>0</v>
          </cell>
          <cell r="BP391">
            <v>1</v>
          </cell>
          <cell r="BQ391">
            <v>12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2</v>
          </cell>
        </row>
        <row r="392">
          <cell r="A392" t="str">
            <v>3842</v>
          </cell>
          <cell r="B392">
            <v>384</v>
          </cell>
          <cell r="C392" t="str">
            <v>3842</v>
          </cell>
          <cell r="D392">
            <v>384</v>
          </cell>
          <cell r="E392">
            <v>384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2</v>
          </cell>
          <cell r="Q392">
            <v>2</v>
          </cell>
          <cell r="R392">
            <v>12</v>
          </cell>
          <cell r="S392">
            <v>12</v>
          </cell>
          <cell r="T392" t="str">
            <v>01</v>
          </cell>
          <cell r="U392">
            <v>12</v>
          </cell>
          <cell r="V392">
            <v>12</v>
          </cell>
          <cell r="W392" t="str">
            <v xml:space="preserve"> 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67500000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1</v>
          </cell>
          <cell r="BO392">
            <v>0</v>
          </cell>
          <cell r="BP392">
            <v>1</v>
          </cell>
          <cell r="BQ392">
            <v>12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  <cell r="BY392">
            <v>0</v>
          </cell>
          <cell r="BZ392">
            <v>2</v>
          </cell>
        </row>
        <row r="393">
          <cell r="A393" t="str">
            <v>3852</v>
          </cell>
          <cell r="B393">
            <v>385</v>
          </cell>
          <cell r="C393" t="str">
            <v>3852</v>
          </cell>
          <cell r="D393">
            <v>385</v>
          </cell>
          <cell r="E393">
            <v>385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2</v>
          </cell>
          <cell r="Q393">
            <v>2</v>
          </cell>
          <cell r="R393">
            <v>12</v>
          </cell>
          <cell r="S393">
            <v>12</v>
          </cell>
          <cell r="T393" t="str">
            <v>01</v>
          </cell>
          <cell r="U393">
            <v>12</v>
          </cell>
          <cell r="V393">
            <v>12</v>
          </cell>
          <cell r="W393" t="str">
            <v xml:space="preserve"> 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67500000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1</v>
          </cell>
          <cell r="BO393">
            <v>0</v>
          </cell>
          <cell r="BP393">
            <v>1</v>
          </cell>
          <cell r="BQ393">
            <v>12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2</v>
          </cell>
        </row>
        <row r="394">
          <cell r="A394" t="str">
            <v>3862</v>
          </cell>
          <cell r="B394">
            <v>386</v>
          </cell>
          <cell r="C394" t="str">
            <v>3862</v>
          </cell>
          <cell r="D394">
            <v>386</v>
          </cell>
          <cell r="E394">
            <v>386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2</v>
          </cell>
          <cell r="Q394">
            <v>2</v>
          </cell>
          <cell r="R394">
            <v>12</v>
          </cell>
          <cell r="S394">
            <v>12</v>
          </cell>
          <cell r="T394" t="str">
            <v>01</v>
          </cell>
          <cell r="U394">
            <v>12</v>
          </cell>
          <cell r="V394">
            <v>12</v>
          </cell>
          <cell r="W394" t="str">
            <v xml:space="preserve"> 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67500000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1</v>
          </cell>
          <cell r="BO394">
            <v>0</v>
          </cell>
          <cell r="BP394">
            <v>1</v>
          </cell>
          <cell r="BQ394">
            <v>12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2</v>
          </cell>
        </row>
        <row r="395">
          <cell r="A395" t="str">
            <v>3872</v>
          </cell>
          <cell r="B395">
            <v>387</v>
          </cell>
          <cell r="C395" t="str">
            <v>3872</v>
          </cell>
          <cell r="D395">
            <v>387</v>
          </cell>
          <cell r="E395">
            <v>387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2</v>
          </cell>
          <cell r="Q395">
            <v>2</v>
          </cell>
          <cell r="R395">
            <v>12</v>
          </cell>
          <cell r="S395">
            <v>12</v>
          </cell>
          <cell r="T395" t="str">
            <v>01</v>
          </cell>
          <cell r="U395">
            <v>12</v>
          </cell>
          <cell r="V395">
            <v>12</v>
          </cell>
          <cell r="W395" t="str">
            <v xml:space="preserve"> 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67500000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1</v>
          </cell>
          <cell r="BO395">
            <v>0</v>
          </cell>
          <cell r="BP395">
            <v>1</v>
          </cell>
          <cell r="BQ395">
            <v>12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>
            <v>0</v>
          </cell>
          <cell r="BZ395">
            <v>2</v>
          </cell>
        </row>
        <row r="396">
          <cell r="A396" t="str">
            <v>3882</v>
          </cell>
          <cell r="B396">
            <v>388</v>
          </cell>
          <cell r="C396" t="str">
            <v>3882</v>
          </cell>
          <cell r="D396">
            <v>388</v>
          </cell>
          <cell r="E396">
            <v>388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2</v>
          </cell>
          <cell r="Q396">
            <v>2</v>
          </cell>
          <cell r="R396">
            <v>12</v>
          </cell>
          <cell r="S396">
            <v>12</v>
          </cell>
          <cell r="T396" t="str">
            <v>01</v>
          </cell>
          <cell r="U396">
            <v>12</v>
          </cell>
          <cell r="V396">
            <v>12</v>
          </cell>
          <cell r="W396" t="str">
            <v xml:space="preserve"> 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67500000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1</v>
          </cell>
          <cell r="BO396">
            <v>0</v>
          </cell>
          <cell r="BP396">
            <v>1</v>
          </cell>
          <cell r="BQ396">
            <v>12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0</v>
          </cell>
          <cell r="BY396">
            <v>0</v>
          </cell>
          <cell r="BZ396">
            <v>2</v>
          </cell>
        </row>
        <row r="397">
          <cell r="A397" t="str">
            <v>3892</v>
          </cell>
          <cell r="B397">
            <v>389</v>
          </cell>
          <cell r="C397" t="str">
            <v>3892</v>
          </cell>
          <cell r="D397">
            <v>389</v>
          </cell>
          <cell r="E397">
            <v>389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2</v>
          </cell>
          <cell r="Q397">
            <v>2</v>
          </cell>
          <cell r="R397">
            <v>12</v>
          </cell>
          <cell r="S397">
            <v>12</v>
          </cell>
          <cell r="T397" t="str">
            <v>01</v>
          </cell>
          <cell r="U397">
            <v>12</v>
          </cell>
          <cell r="V397">
            <v>12</v>
          </cell>
          <cell r="W397" t="str">
            <v xml:space="preserve"> 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67500000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1</v>
          </cell>
          <cell r="BO397">
            <v>0</v>
          </cell>
          <cell r="BP397">
            <v>1</v>
          </cell>
          <cell r="BQ397">
            <v>12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0</v>
          </cell>
          <cell r="BY397">
            <v>0</v>
          </cell>
          <cell r="BZ397">
            <v>2</v>
          </cell>
        </row>
        <row r="398">
          <cell r="A398" t="str">
            <v>3902</v>
          </cell>
          <cell r="B398">
            <v>390</v>
          </cell>
          <cell r="C398" t="str">
            <v>3902</v>
          </cell>
          <cell r="D398">
            <v>390</v>
          </cell>
          <cell r="E398">
            <v>390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2</v>
          </cell>
          <cell r="Q398">
            <v>2</v>
          </cell>
          <cell r="R398">
            <v>12</v>
          </cell>
          <cell r="S398">
            <v>12</v>
          </cell>
          <cell r="T398" t="str">
            <v>01</v>
          </cell>
          <cell r="U398">
            <v>12</v>
          </cell>
          <cell r="V398">
            <v>12</v>
          </cell>
          <cell r="W398" t="str">
            <v xml:space="preserve"> 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67500000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1</v>
          </cell>
          <cell r="BO398">
            <v>0</v>
          </cell>
          <cell r="BP398">
            <v>1</v>
          </cell>
          <cell r="BQ398">
            <v>12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>
            <v>0</v>
          </cell>
          <cell r="BZ398">
            <v>2</v>
          </cell>
        </row>
        <row r="399">
          <cell r="A399" t="str">
            <v>3912</v>
          </cell>
          <cell r="B399">
            <v>391</v>
          </cell>
          <cell r="C399" t="str">
            <v>3912</v>
          </cell>
          <cell r="D399">
            <v>391</v>
          </cell>
          <cell r="E399">
            <v>391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2</v>
          </cell>
          <cell r="Q399">
            <v>2</v>
          </cell>
          <cell r="R399">
            <v>12</v>
          </cell>
          <cell r="S399">
            <v>12</v>
          </cell>
          <cell r="T399" t="str">
            <v>01</v>
          </cell>
          <cell r="U399">
            <v>12</v>
          </cell>
          <cell r="V399">
            <v>12</v>
          </cell>
          <cell r="W399" t="str">
            <v xml:space="preserve"> 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67500000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1</v>
          </cell>
          <cell r="BO399">
            <v>0</v>
          </cell>
          <cell r="BP399">
            <v>1</v>
          </cell>
          <cell r="BQ399">
            <v>12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BY399">
            <v>0</v>
          </cell>
          <cell r="BZ399">
            <v>2</v>
          </cell>
        </row>
        <row r="400">
          <cell r="A400" t="str">
            <v>3922</v>
          </cell>
          <cell r="B400">
            <v>392</v>
          </cell>
          <cell r="C400" t="str">
            <v>3922</v>
          </cell>
          <cell r="D400">
            <v>392</v>
          </cell>
          <cell r="E400">
            <v>392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2</v>
          </cell>
          <cell r="Q400">
            <v>2</v>
          </cell>
          <cell r="R400">
            <v>12</v>
          </cell>
          <cell r="S400">
            <v>12</v>
          </cell>
          <cell r="T400" t="str">
            <v>01</v>
          </cell>
          <cell r="U400">
            <v>12</v>
          </cell>
          <cell r="V400">
            <v>12</v>
          </cell>
          <cell r="W400" t="str">
            <v xml:space="preserve"> 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67500000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1</v>
          </cell>
          <cell r="BO400">
            <v>0</v>
          </cell>
          <cell r="BP400">
            <v>1</v>
          </cell>
          <cell r="BQ400">
            <v>12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2</v>
          </cell>
        </row>
        <row r="401">
          <cell r="A401" t="str">
            <v>3932</v>
          </cell>
          <cell r="B401">
            <v>393</v>
          </cell>
          <cell r="C401" t="str">
            <v>3932</v>
          </cell>
          <cell r="D401">
            <v>393</v>
          </cell>
          <cell r="E401">
            <v>393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2</v>
          </cell>
          <cell r="Q401">
            <v>2</v>
          </cell>
          <cell r="R401">
            <v>12</v>
          </cell>
          <cell r="S401">
            <v>12</v>
          </cell>
          <cell r="T401" t="str">
            <v>01</v>
          </cell>
          <cell r="U401">
            <v>12</v>
          </cell>
          <cell r="V401">
            <v>12</v>
          </cell>
          <cell r="W401" t="str">
            <v xml:space="preserve"> 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67500000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1</v>
          </cell>
          <cell r="BO401">
            <v>0</v>
          </cell>
          <cell r="BP401">
            <v>1</v>
          </cell>
          <cell r="BQ401">
            <v>12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>
            <v>0</v>
          </cell>
          <cell r="BZ401">
            <v>2</v>
          </cell>
        </row>
        <row r="402">
          <cell r="A402" t="str">
            <v>3942</v>
          </cell>
          <cell r="B402">
            <v>394</v>
          </cell>
          <cell r="C402" t="str">
            <v>3942</v>
          </cell>
          <cell r="D402">
            <v>394</v>
          </cell>
          <cell r="E402">
            <v>394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2</v>
          </cell>
          <cell r="Q402">
            <v>2</v>
          </cell>
          <cell r="R402">
            <v>12</v>
          </cell>
          <cell r="S402">
            <v>12</v>
          </cell>
          <cell r="T402" t="str">
            <v>01</v>
          </cell>
          <cell r="U402">
            <v>12</v>
          </cell>
          <cell r="V402">
            <v>12</v>
          </cell>
          <cell r="W402" t="str">
            <v xml:space="preserve"> 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67500000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0</v>
          </cell>
          <cell r="BN402">
            <v>1</v>
          </cell>
          <cell r="BO402">
            <v>0</v>
          </cell>
          <cell r="BP402">
            <v>1</v>
          </cell>
          <cell r="BQ402">
            <v>12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V402">
            <v>0</v>
          </cell>
          <cell r="BW402">
            <v>0</v>
          </cell>
          <cell r="BX402">
            <v>0</v>
          </cell>
          <cell r="BY402">
            <v>0</v>
          </cell>
          <cell r="BZ402">
            <v>2</v>
          </cell>
        </row>
        <row r="403">
          <cell r="A403" t="str">
            <v>3952</v>
          </cell>
          <cell r="B403">
            <v>395</v>
          </cell>
          <cell r="C403" t="str">
            <v>3952</v>
          </cell>
          <cell r="D403">
            <v>395</v>
          </cell>
          <cell r="E403">
            <v>395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2</v>
          </cell>
          <cell r="Q403">
            <v>2</v>
          </cell>
          <cell r="R403">
            <v>12</v>
          </cell>
          <cell r="S403">
            <v>12</v>
          </cell>
          <cell r="T403" t="str">
            <v>01</v>
          </cell>
          <cell r="U403">
            <v>12</v>
          </cell>
          <cell r="V403">
            <v>12</v>
          </cell>
          <cell r="W403" t="str">
            <v xml:space="preserve"> 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67500000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1</v>
          </cell>
          <cell r="BO403">
            <v>0</v>
          </cell>
          <cell r="BP403">
            <v>1</v>
          </cell>
          <cell r="BQ403">
            <v>12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  <cell r="BY403">
            <v>0</v>
          </cell>
          <cell r="BZ403">
            <v>2</v>
          </cell>
        </row>
        <row r="404">
          <cell r="A404" t="str">
            <v>3962</v>
          </cell>
          <cell r="B404">
            <v>396</v>
          </cell>
          <cell r="C404" t="str">
            <v>3962</v>
          </cell>
          <cell r="D404">
            <v>396</v>
          </cell>
          <cell r="E404">
            <v>396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2</v>
          </cell>
          <cell r="Q404">
            <v>2</v>
          </cell>
          <cell r="R404">
            <v>12</v>
          </cell>
          <cell r="S404">
            <v>12</v>
          </cell>
          <cell r="T404" t="str">
            <v>01</v>
          </cell>
          <cell r="U404">
            <v>12</v>
          </cell>
          <cell r="V404">
            <v>12</v>
          </cell>
          <cell r="W404" t="str">
            <v xml:space="preserve"> 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67500000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  <cell r="BK404">
            <v>0</v>
          </cell>
          <cell r="BL404">
            <v>0</v>
          </cell>
          <cell r="BM404">
            <v>0</v>
          </cell>
          <cell r="BN404">
            <v>1</v>
          </cell>
          <cell r="BO404">
            <v>0</v>
          </cell>
          <cell r="BP404">
            <v>1</v>
          </cell>
          <cell r="BQ404">
            <v>12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V404">
            <v>0</v>
          </cell>
          <cell r="BW404">
            <v>0</v>
          </cell>
          <cell r="BX404">
            <v>0</v>
          </cell>
          <cell r="BY404">
            <v>0</v>
          </cell>
          <cell r="BZ404">
            <v>2</v>
          </cell>
        </row>
        <row r="405">
          <cell r="A405" t="str">
            <v>3972</v>
          </cell>
          <cell r="B405">
            <v>397</v>
          </cell>
          <cell r="C405" t="str">
            <v>3972</v>
          </cell>
          <cell r="D405">
            <v>397</v>
          </cell>
          <cell r="E405">
            <v>397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2</v>
          </cell>
          <cell r="Q405">
            <v>2</v>
          </cell>
          <cell r="R405">
            <v>12</v>
          </cell>
          <cell r="S405">
            <v>12</v>
          </cell>
          <cell r="T405" t="str">
            <v>01</v>
          </cell>
          <cell r="U405">
            <v>12</v>
          </cell>
          <cell r="V405">
            <v>12</v>
          </cell>
          <cell r="W405" t="str">
            <v xml:space="preserve"> 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67500000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>
            <v>0</v>
          </cell>
          <cell r="BN405">
            <v>1</v>
          </cell>
          <cell r="BO405">
            <v>0</v>
          </cell>
          <cell r="BP405">
            <v>1</v>
          </cell>
          <cell r="BQ405">
            <v>12</v>
          </cell>
          <cell r="BR405">
            <v>0</v>
          </cell>
          <cell r="BS405">
            <v>0</v>
          </cell>
          <cell r="BT405">
            <v>0</v>
          </cell>
          <cell r="BU405">
            <v>0</v>
          </cell>
          <cell r="BV405">
            <v>0</v>
          </cell>
          <cell r="BW405">
            <v>0</v>
          </cell>
          <cell r="BX405">
            <v>0</v>
          </cell>
          <cell r="BY405">
            <v>0</v>
          </cell>
          <cell r="BZ405">
            <v>2</v>
          </cell>
        </row>
        <row r="406">
          <cell r="A406" t="str">
            <v>3982</v>
          </cell>
          <cell r="B406">
            <v>398</v>
          </cell>
          <cell r="C406" t="str">
            <v>3982</v>
          </cell>
          <cell r="D406">
            <v>398</v>
          </cell>
          <cell r="E406">
            <v>398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2</v>
          </cell>
          <cell r="Q406">
            <v>2</v>
          </cell>
          <cell r="R406">
            <v>12</v>
          </cell>
          <cell r="S406">
            <v>12</v>
          </cell>
          <cell r="T406" t="str">
            <v>01</v>
          </cell>
          <cell r="U406">
            <v>12</v>
          </cell>
          <cell r="V406">
            <v>12</v>
          </cell>
          <cell r="W406" t="str">
            <v xml:space="preserve"> 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67500000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>
            <v>0</v>
          </cell>
          <cell r="BN406">
            <v>1</v>
          </cell>
          <cell r="BO406">
            <v>0</v>
          </cell>
          <cell r="BP406">
            <v>1</v>
          </cell>
          <cell r="BQ406">
            <v>12</v>
          </cell>
          <cell r="BR406">
            <v>0</v>
          </cell>
          <cell r="BS406">
            <v>0</v>
          </cell>
          <cell r="BT406">
            <v>0</v>
          </cell>
          <cell r="BU406">
            <v>0</v>
          </cell>
          <cell r="BV406">
            <v>0</v>
          </cell>
          <cell r="BW406">
            <v>0</v>
          </cell>
          <cell r="BX406">
            <v>0</v>
          </cell>
          <cell r="BY406">
            <v>0</v>
          </cell>
          <cell r="BZ406">
            <v>2</v>
          </cell>
        </row>
        <row r="407">
          <cell r="A407" t="str">
            <v>3992</v>
          </cell>
          <cell r="B407">
            <v>399</v>
          </cell>
          <cell r="C407" t="str">
            <v>3992</v>
          </cell>
          <cell r="D407">
            <v>399</v>
          </cell>
          <cell r="E407">
            <v>399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2</v>
          </cell>
          <cell r="Q407">
            <v>2</v>
          </cell>
          <cell r="R407">
            <v>12</v>
          </cell>
          <cell r="S407">
            <v>12</v>
          </cell>
          <cell r="T407" t="str">
            <v>01</v>
          </cell>
          <cell r="U407">
            <v>12</v>
          </cell>
          <cell r="V407">
            <v>12</v>
          </cell>
          <cell r="W407" t="str">
            <v xml:space="preserve"> 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67500000</v>
          </cell>
          <cell r="AW407">
            <v>0</v>
          </cell>
          <cell r="AX407">
            <v>0</v>
          </cell>
          <cell r="AY407">
            <v>0</v>
          </cell>
          <cell r="AZ407">
            <v>0</v>
          </cell>
          <cell r="BA407">
            <v>0</v>
          </cell>
          <cell r="BB407">
            <v>0</v>
          </cell>
          <cell r="BC407">
            <v>0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>
            <v>0</v>
          </cell>
          <cell r="BJ407">
            <v>0</v>
          </cell>
          <cell r="BK407">
            <v>0</v>
          </cell>
          <cell r="BL407">
            <v>0</v>
          </cell>
          <cell r="BM407">
            <v>0</v>
          </cell>
          <cell r="BN407">
            <v>1</v>
          </cell>
          <cell r="BO407">
            <v>0</v>
          </cell>
          <cell r="BP407">
            <v>1</v>
          </cell>
          <cell r="BQ407">
            <v>12</v>
          </cell>
          <cell r="BR407">
            <v>0</v>
          </cell>
          <cell r="BS407">
            <v>0</v>
          </cell>
          <cell r="BT407">
            <v>0</v>
          </cell>
          <cell r="BU407">
            <v>0</v>
          </cell>
          <cell r="BV407">
            <v>0</v>
          </cell>
          <cell r="BW407">
            <v>0</v>
          </cell>
          <cell r="BX407">
            <v>0</v>
          </cell>
          <cell r="BY407">
            <v>0</v>
          </cell>
          <cell r="BZ407">
            <v>2</v>
          </cell>
        </row>
        <row r="408">
          <cell r="A408" t="str">
            <v>4002</v>
          </cell>
          <cell r="B408">
            <v>400</v>
          </cell>
          <cell r="C408" t="str">
            <v>4002</v>
          </cell>
          <cell r="D408">
            <v>400</v>
          </cell>
          <cell r="E408">
            <v>400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2</v>
          </cell>
          <cell r="Q408">
            <v>2</v>
          </cell>
          <cell r="R408">
            <v>12</v>
          </cell>
          <cell r="S408">
            <v>12</v>
          </cell>
          <cell r="T408" t="str">
            <v>01</v>
          </cell>
          <cell r="U408">
            <v>12</v>
          </cell>
          <cell r="V408">
            <v>12</v>
          </cell>
          <cell r="W408" t="str">
            <v xml:space="preserve"> 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67500000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  <cell r="BK408">
            <v>0</v>
          </cell>
          <cell r="BL408">
            <v>0</v>
          </cell>
          <cell r="BM408">
            <v>0</v>
          </cell>
          <cell r="BN408">
            <v>1</v>
          </cell>
          <cell r="BO408">
            <v>0</v>
          </cell>
          <cell r="BP408">
            <v>1</v>
          </cell>
          <cell r="BQ408">
            <v>12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V408">
            <v>0</v>
          </cell>
          <cell r="BW408">
            <v>0</v>
          </cell>
          <cell r="BX408">
            <v>0</v>
          </cell>
          <cell r="BY408">
            <v>0</v>
          </cell>
          <cell r="BZ408">
            <v>2</v>
          </cell>
        </row>
        <row r="409">
          <cell r="A409" t="str">
            <v>4012</v>
          </cell>
          <cell r="B409">
            <v>401</v>
          </cell>
          <cell r="C409" t="str">
            <v>4012</v>
          </cell>
          <cell r="D409">
            <v>401</v>
          </cell>
          <cell r="E409">
            <v>401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2</v>
          </cell>
          <cell r="Q409">
            <v>2</v>
          </cell>
          <cell r="R409">
            <v>12</v>
          </cell>
          <cell r="S409">
            <v>12</v>
          </cell>
          <cell r="T409" t="str">
            <v>01</v>
          </cell>
          <cell r="U409">
            <v>12</v>
          </cell>
          <cell r="V409">
            <v>12</v>
          </cell>
          <cell r="W409" t="str">
            <v xml:space="preserve"> 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67500000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  <cell r="BN409">
            <v>1</v>
          </cell>
          <cell r="BO409">
            <v>0</v>
          </cell>
          <cell r="BP409">
            <v>1</v>
          </cell>
          <cell r="BQ409">
            <v>12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0</v>
          </cell>
          <cell r="BW409">
            <v>0</v>
          </cell>
          <cell r="BX409">
            <v>0</v>
          </cell>
          <cell r="BY409">
            <v>0</v>
          </cell>
          <cell r="BZ409">
            <v>2</v>
          </cell>
        </row>
        <row r="410">
          <cell r="A410" t="str">
            <v>4022</v>
          </cell>
          <cell r="B410">
            <v>402</v>
          </cell>
          <cell r="C410" t="str">
            <v>4022</v>
          </cell>
          <cell r="D410">
            <v>402</v>
          </cell>
          <cell r="E410">
            <v>402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2</v>
          </cell>
          <cell r="Q410">
            <v>2</v>
          </cell>
          <cell r="R410">
            <v>12</v>
          </cell>
          <cell r="S410">
            <v>12</v>
          </cell>
          <cell r="T410" t="str">
            <v>01</v>
          </cell>
          <cell r="U410">
            <v>12</v>
          </cell>
          <cell r="V410">
            <v>12</v>
          </cell>
          <cell r="W410" t="str">
            <v xml:space="preserve"> 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67500000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  <cell r="BK410">
            <v>0</v>
          </cell>
          <cell r="BL410">
            <v>0</v>
          </cell>
          <cell r="BM410">
            <v>0</v>
          </cell>
          <cell r="BN410">
            <v>1</v>
          </cell>
          <cell r="BO410">
            <v>0</v>
          </cell>
          <cell r="BP410">
            <v>1</v>
          </cell>
          <cell r="BQ410">
            <v>12</v>
          </cell>
          <cell r="BR410">
            <v>0</v>
          </cell>
          <cell r="BS410">
            <v>0</v>
          </cell>
          <cell r="BT410">
            <v>0</v>
          </cell>
          <cell r="BU410">
            <v>0</v>
          </cell>
          <cell r="BV410">
            <v>0</v>
          </cell>
          <cell r="BW410">
            <v>0</v>
          </cell>
          <cell r="BX410">
            <v>0</v>
          </cell>
          <cell r="BY410">
            <v>0</v>
          </cell>
          <cell r="BZ410">
            <v>2</v>
          </cell>
        </row>
        <row r="411">
          <cell r="A411" t="str">
            <v>4032</v>
          </cell>
          <cell r="B411">
            <v>403</v>
          </cell>
          <cell r="C411" t="str">
            <v>4032</v>
          </cell>
          <cell r="D411">
            <v>403</v>
          </cell>
          <cell r="E411">
            <v>403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2</v>
          </cell>
          <cell r="Q411">
            <v>2</v>
          </cell>
          <cell r="R411">
            <v>12</v>
          </cell>
          <cell r="S411">
            <v>12</v>
          </cell>
          <cell r="T411" t="str">
            <v>01</v>
          </cell>
          <cell r="U411">
            <v>12</v>
          </cell>
          <cell r="V411">
            <v>12</v>
          </cell>
          <cell r="W411" t="str">
            <v xml:space="preserve"> 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67500000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>
            <v>0</v>
          </cell>
          <cell r="BN411">
            <v>1</v>
          </cell>
          <cell r="BO411">
            <v>0</v>
          </cell>
          <cell r="BP411">
            <v>1</v>
          </cell>
          <cell r="BQ411">
            <v>12</v>
          </cell>
          <cell r="BR411">
            <v>0</v>
          </cell>
          <cell r="BS411">
            <v>0</v>
          </cell>
          <cell r="BT411">
            <v>0</v>
          </cell>
          <cell r="BU411">
            <v>0</v>
          </cell>
          <cell r="BV411">
            <v>0</v>
          </cell>
          <cell r="BW411">
            <v>0</v>
          </cell>
          <cell r="BX411">
            <v>0</v>
          </cell>
          <cell r="BY411">
            <v>0</v>
          </cell>
          <cell r="BZ411">
            <v>2</v>
          </cell>
        </row>
        <row r="412">
          <cell r="A412" t="str">
            <v>4042</v>
          </cell>
          <cell r="B412">
            <v>404</v>
          </cell>
          <cell r="C412" t="str">
            <v>4042</v>
          </cell>
          <cell r="D412">
            <v>404</v>
          </cell>
          <cell r="E412">
            <v>404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2</v>
          </cell>
          <cell r="Q412">
            <v>2</v>
          </cell>
          <cell r="R412">
            <v>12</v>
          </cell>
          <cell r="S412">
            <v>12</v>
          </cell>
          <cell r="T412" t="str">
            <v>01</v>
          </cell>
          <cell r="U412">
            <v>12</v>
          </cell>
          <cell r="V412">
            <v>12</v>
          </cell>
          <cell r="W412" t="str">
            <v xml:space="preserve"> 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67500000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  <cell r="BM412">
            <v>0</v>
          </cell>
          <cell r="BN412">
            <v>1</v>
          </cell>
          <cell r="BO412">
            <v>0</v>
          </cell>
          <cell r="BP412">
            <v>1</v>
          </cell>
          <cell r="BQ412">
            <v>12</v>
          </cell>
          <cell r="BR412">
            <v>0</v>
          </cell>
          <cell r="BS412">
            <v>0</v>
          </cell>
          <cell r="BT412">
            <v>0</v>
          </cell>
          <cell r="BU412">
            <v>0</v>
          </cell>
          <cell r="BV412">
            <v>0</v>
          </cell>
          <cell r="BW412">
            <v>0</v>
          </cell>
          <cell r="BX412">
            <v>0</v>
          </cell>
          <cell r="BY412">
            <v>0</v>
          </cell>
          <cell r="BZ412">
            <v>2</v>
          </cell>
        </row>
        <row r="413">
          <cell r="A413" t="str">
            <v>4052</v>
          </cell>
          <cell r="B413">
            <v>405</v>
          </cell>
          <cell r="C413" t="str">
            <v>4052</v>
          </cell>
          <cell r="D413">
            <v>405</v>
          </cell>
          <cell r="E413">
            <v>405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2</v>
          </cell>
          <cell r="Q413">
            <v>2</v>
          </cell>
          <cell r="R413">
            <v>12</v>
          </cell>
          <cell r="S413">
            <v>12</v>
          </cell>
          <cell r="T413" t="str">
            <v>01</v>
          </cell>
          <cell r="U413">
            <v>12</v>
          </cell>
          <cell r="V413">
            <v>12</v>
          </cell>
          <cell r="W413" t="str">
            <v xml:space="preserve"> 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67500000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0</v>
          </cell>
          <cell r="BN413">
            <v>1</v>
          </cell>
          <cell r="BO413">
            <v>0</v>
          </cell>
          <cell r="BP413">
            <v>1</v>
          </cell>
          <cell r="BQ413">
            <v>12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V413">
            <v>0</v>
          </cell>
          <cell r="BW413">
            <v>0</v>
          </cell>
          <cell r="BX413">
            <v>0</v>
          </cell>
          <cell r="BY413">
            <v>0</v>
          </cell>
          <cell r="BZ413">
            <v>2</v>
          </cell>
        </row>
        <row r="414">
          <cell r="A414" t="str">
            <v>4062</v>
          </cell>
          <cell r="B414">
            <v>406</v>
          </cell>
          <cell r="C414" t="str">
            <v>4062</v>
          </cell>
          <cell r="D414">
            <v>406</v>
          </cell>
          <cell r="E414">
            <v>406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2</v>
          </cell>
          <cell r="Q414">
            <v>2</v>
          </cell>
          <cell r="R414">
            <v>12</v>
          </cell>
          <cell r="S414">
            <v>12</v>
          </cell>
          <cell r="T414" t="str">
            <v>01</v>
          </cell>
          <cell r="U414">
            <v>12</v>
          </cell>
          <cell r="V414">
            <v>12</v>
          </cell>
          <cell r="W414" t="str">
            <v xml:space="preserve"> 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67500000</v>
          </cell>
          <cell r="AW414">
            <v>0</v>
          </cell>
          <cell r="AX414">
            <v>0</v>
          </cell>
          <cell r="AY414">
            <v>0</v>
          </cell>
          <cell r="AZ414">
            <v>0</v>
          </cell>
          <cell r="BA414">
            <v>0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0</v>
          </cell>
          <cell r="BK414">
            <v>0</v>
          </cell>
          <cell r="BL414">
            <v>0</v>
          </cell>
          <cell r="BM414">
            <v>0</v>
          </cell>
          <cell r="BN414">
            <v>1</v>
          </cell>
          <cell r="BO414">
            <v>0</v>
          </cell>
          <cell r="BP414">
            <v>1</v>
          </cell>
          <cell r="BQ414">
            <v>12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V414">
            <v>0</v>
          </cell>
          <cell r="BW414">
            <v>0</v>
          </cell>
          <cell r="BX414">
            <v>0</v>
          </cell>
          <cell r="BY414">
            <v>0</v>
          </cell>
          <cell r="BZ414">
            <v>2</v>
          </cell>
        </row>
        <row r="415">
          <cell r="A415" t="str">
            <v>4072</v>
          </cell>
          <cell r="B415">
            <v>407</v>
          </cell>
          <cell r="C415" t="str">
            <v>4072</v>
          </cell>
          <cell r="D415">
            <v>407</v>
          </cell>
          <cell r="E415">
            <v>407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2</v>
          </cell>
          <cell r="Q415">
            <v>2</v>
          </cell>
          <cell r="R415">
            <v>12</v>
          </cell>
          <cell r="S415">
            <v>12</v>
          </cell>
          <cell r="T415" t="str">
            <v>01</v>
          </cell>
          <cell r="U415">
            <v>12</v>
          </cell>
          <cell r="V415">
            <v>12</v>
          </cell>
          <cell r="W415" t="str">
            <v xml:space="preserve"> 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67500000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0</v>
          </cell>
          <cell r="BN415">
            <v>1</v>
          </cell>
          <cell r="BO415">
            <v>0</v>
          </cell>
          <cell r="BP415">
            <v>1</v>
          </cell>
          <cell r="BQ415">
            <v>12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V415">
            <v>0</v>
          </cell>
          <cell r="BW415">
            <v>0</v>
          </cell>
          <cell r="BX415">
            <v>0</v>
          </cell>
          <cell r="BY415">
            <v>0</v>
          </cell>
          <cell r="BZ415">
            <v>2</v>
          </cell>
        </row>
        <row r="416">
          <cell r="A416" t="str">
            <v>4082</v>
          </cell>
          <cell r="B416">
            <v>408</v>
          </cell>
          <cell r="C416" t="str">
            <v>4082</v>
          </cell>
          <cell r="D416">
            <v>408</v>
          </cell>
          <cell r="E416">
            <v>408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2</v>
          </cell>
          <cell r="Q416">
            <v>2</v>
          </cell>
          <cell r="R416">
            <v>12</v>
          </cell>
          <cell r="S416">
            <v>12</v>
          </cell>
          <cell r="T416" t="str">
            <v>01</v>
          </cell>
          <cell r="U416">
            <v>12</v>
          </cell>
          <cell r="V416">
            <v>12</v>
          </cell>
          <cell r="W416" t="str">
            <v xml:space="preserve"> 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67500000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0</v>
          </cell>
          <cell r="BK416">
            <v>0</v>
          </cell>
          <cell r="BL416">
            <v>0</v>
          </cell>
          <cell r="BM416">
            <v>0</v>
          </cell>
          <cell r="BN416">
            <v>1</v>
          </cell>
          <cell r="BO416">
            <v>0</v>
          </cell>
          <cell r="BP416">
            <v>1</v>
          </cell>
          <cell r="BQ416">
            <v>12</v>
          </cell>
          <cell r="BR416">
            <v>0</v>
          </cell>
          <cell r="BS416">
            <v>0</v>
          </cell>
          <cell r="BT416">
            <v>0</v>
          </cell>
          <cell r="BU416">
            <v>0</v>
          </cell>
          <cell r="BV416">
            <v>0</v>
          </cell>
          <cell r="BW416">
            <v>0</v>
          </cell>
          <cell r="BX416">
            <v>0</v>
          </cell>
          <cell r="BY416">
            <v>0</v>
          </cell>
          <cell r="BZ416">
            <v>2</v>
          </cell>
        </row>
        <row r="417">
          <cell r="A417" t="str">
            <v>4092</v>
          </cell>
          <cell r="B417">
            <v>409</v>
          </cell>
          <cell r="C417" t="str">
            <v>4092</v>
          </cell>
          <cell r="D417">
            <v>409</v>
          </cell>
          <cell r="E417">
            <v>409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2</v>
          </cell>
          <cell r="Q417">
            <v>2</v>
          </cell>
          <cell r="R417">
            <v>12</v>
          </cell>
          <cell r="S417">
            <v>12</v>
          </cell>
          <cell r="T417" t="str">
            <v>01</v>
          </cell>
          <cell r="U417">
            <v>12</v>
          </cell>
          <cell r="V417">
            <v>12</v>
          </cell>
          <cell r="W417" t="str">
            <v xml:space="preserve"> 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67500000</v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>
            <v>0</v>
          </cell>
          <cell r="BJ417">
            <v>0</v>
          </cell>
          <cell r="BK417">
            <v>0</v>
          </cell>
          <cell r="BL417">
            <v>0</v>
          </cell>
          <cell r="BM417">
            <v>0</v>
          </cell>
          <cell r="BN417">
            <v>1</v>
          </cell>
          <cell r="BO417">
            <v>0</v>
          </cell>
          <cell r="BP417">
            <v>1</v>
          </cell>
          <cell r="BQ417">
            <v>12</v>
          </cell>
          <cell r="BR417">
            <v>0</v>
          </cell>
          <cell r="BS417">
            <v>0</v>
          </cell>
          <cell r="BT417">
            <v>0</v>
          </cell>
          <cell r="BU417">
            <v>0</v>
          </cell>
          <cell r="BV417">
            <v>0</v>
          </cell>
          <cell r="BW417">
            <v>0</v>
          </cell>
          <cell r="BX417">
            <v>0</v>
          </cell>
          <cell r="BY417">
            <v>0</v>
          </cell>
          <cell r="BZ417">
            <v>2</v>
          </cell>
        </row>
        <row r="418">
          <cell r="A418" t="str">
            <v>4102</v>
          </cell>
          <cell r="B418">
            <v>410</v>
          </cell>
          <cell r="C418" t="str">
            <v>4102</v>
          </cell>
          <cell r="D418">
            <v>410</v>
          </cell>
          <cell r="E418">
            <v>410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2</v>
          </cell>
          <cell r="Q418">
            <v>2</v>
          </cell>
          <cell r="R418">
            <v>12</v>
          </cell>
          <cell r="S418">
            <v>12</v>
          </cell>
          <cell r="T418" t="str">
            <v>01</v>
          </cell>
          <cell r="U418">
            <v>12</v>
          </cell>
          <cell r="V418">
            <v>12</v>
          </cell>
          <cell r="W418" t="str">
            <v xml:space="preserve"> 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67500000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>
            <v>0</v>
          </cell>
          <cell r="BN418">
            <v>1</v>
          </cell>
          <cell r="BO418">
            <v>0</v>
          </cell>
          <cell r="BP418">
            <v>1</v>
          </cell>
          <cell r="BQ418">
            <v>12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V418">
            <v>0</v>
          </cell>
          <cell r="BW418">
            <v>0</v>
          </cell>
          <cell r="BX418">
            <v>0</v>
          </cell>
          <cell r="BY418">
            <v>0</v>
          </cell>
          <cell r="BZ418">
            <v>2</v>
          </cell>
        </row>
        <row r="419">
          <cell r="A419" t="str">
            <v>4112</v>
          </cell>
          <cell r="B419">
            <v>411</v>
          </cell>
          <cell r="C419" t="str">
            <v>4112</v>
          </cell>
          <cell r="D419">
            <v>411</v>
          </cell>
          <cell r="E419">
            <v>411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2</v>
          </cell>
          <cell r="Q419">
            <v>2</v>
          </cell>
          <cell r="R419">
            <v>12</v>
          </cell>
          <cell r="S419">
            <v>12</v>
          </cell>
          <cell r="T419" t="str">
            <v>01</v>
          </cell>
          <cell r="U419">
            <v>12</v>
          </cell>
          <cell r="V419">
            <v>12</v>
          </cell>
          <cell r="W419" t="str">
            <v xml:space="preserve"> 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67500000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  <cell r="BM419">
            <v>0</v>
          </cell>
          <cell r="BN419">
            <v>1</v>
          </cell>
          <cell r="BO419">
            <v>0</v>
          </cell>
          <cell r="BP419">
            <v>1</v>
          </cell>
          <cell r="BQ419">
            <v>12</v>
          </cell>
          <cell r="BR419">
            <v>0</v>
          </cell>
          <cell r="BS419">
            <v>0</v>
          </cell>
          <cell r="BT419">
            <v>0</v>
          </cell>
          <cell r="BU419">
            <v>0</v>
          </cell>
          <cell r="BV419">
            <v>0</v>
          </cell>
          <cell r="BW419">
            <v>0</v>
          </cell>
          <cell r="BX419">
            <v>0</v>
          </cell>
          <cell r="BY419">
            <v>0</v>
          </cell>
          <cell r="BZ419">
            <v>2</v>
          </cell>
        </row>
        <row r="420">
          <cell r="A420" t="str">
            <v>4122</v>
          </cell>
          <cell r="B420">
            <v>412</v>
          </cell>
          <cell r="C420" t="str">
            <v>4122</v>
          </cell>
          <cell r="D420">
            <v>412</v>
          </cell>
          <cell r="E420">
            <v>412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2</v>
          </cell>
          <cell r="Q420">
            <v>2</v>
          </cell>
          <cell r="R420">
            <v>12</v>
          </cell>
          <cell r="S420">
            <v>12</v>
          </cell>
          <cell r="T420" t="str">
            <v>01</v>
          </cell>
          <cell r="U420">
            <v>12</v>
          </cell>
          <cell r="V420">
            <v>12</v>
          </cell>
          <cell r="W420" t="str">
            <v xml:space="preserve"> 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67500000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J420">
            <v>0</v>
          </cell>
          <cell r="BK420">
            <v>0</v>
          </cell>
          <cell r="BL420">
            <v>0</v>
          </cell>
          <cell r="BM420">
            <v>0</v>
          </cell>
          <cell r="BN420">
            <v>1</v>
          </cell>
          <cell r="BO420">
            <v>0</v>
          </cell>
          <cell r="BP420">
            <v>1</v>
          </cell>
          <cell r="BQ420">
            <v>12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V420">
            <v>0</v>
          </cell>
          <cell r="BW420">
            <v>0</v>
          </cell>
          <cell r="BX420">
            <v>0</v>
          </cell>
          <cell r="BY420">
            <v>0</v>
          </cell>
          <cell r="BZ420">
            <v>2</v>
          </cell>
        </row>
        <row r="421">
          <cell r="A421" t="str">
            <v>4132</v>
          </cell>
          <cell r="B421">
            <v>413</v>
          </cell>
          <cell r="C421" t="str">
            <v>4132</v>
          </cell>
          <cell r="D421">
            <v>413</v>
          </cell>
          <cell r="E421">
            <v>413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2</v>
          </cell>
          <cell r="Q421">
            <v>2</v>
          </cell>
          <cell r="R421">
            <v>12</v>
          </cell>
          <cell r="S421">
            <v>12</v>
          </cell>
          <cell r="T421" t="str">
            <v>01</v>
          </cell>
          <cell r="U421">
            <v>12</v>
          </cell>
          <cell r="V421">
            <v>12</v>
          </cell>
          <cell r="W421" t="str">
            <v xml:space="preserve"> 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67500000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J421">
            <v>0</v>
          </cell>
          <cell r="BK421">
            <v>0</v>
          </cell>
          <cell r="BL421">
            <v>0</v>
          </cell>
          <cell r="BM421">
            <v>0</v>
          </cell>
          <cell r="BN421">
            <v>1</v>
          </cell>
          <cell r="BO421">
            <v>0</v>
          </cell>
          <cell r="BP421">
            <v>1</v>
          </cell>
          <cell r="BQ421">
            <v>12</v>
          </cell>
          <cell r="BR421">
            <v>0</v>
          </cell>
          <cell r="BS421">
            <v>0</v>
          </cell>
          <cell r="BT421">
            <v>0</v>
          </cell>
          <cell r="BU421">
            <v>0</v>
          </cell>
          <cell r="BV421">
            <v>0</v>
          </cell>
          <cell r="BW421">
            <v>0</v>
          </cell>
          <cell r="BX421">
            <v>0</v>
          </cell>
          <cell r="BY421">
            <v>0</v>
          </cell>
          <cell r="BZ421">
            <v>2</v>
          </cell>
        </row>
        <row r="422">
          <cell r="A422" t="str">
            <v>4142</v>
          </cell>
          <cell r="B422">
            <v>414</v>
          </cell>
          <cell r="C422" t="str">
            <v>4142</v>
          </cell>
          <cell r="D422">
            <v>414</v>
          </cell>
          <cell r="E422">
            <v>414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2</v>
          </cell>
          <cell r="Q422">
            <v>2</v>
          </cell>
          <cell r="R422">
            <v>12</v>
          </cell>
          <cell r="S422">
            <v>12</v>
          </cell>
          <cell r="T422" t="str">
            <v>01</v>
          </cell>
          <cell r="U422">
            <v>12</v>
          </cell>
          <cell r="V422">
            <v>12</v>
          </cell>
          <cell r="W422" t="str">
            <v xml:space="preserve"> 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67500000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>
            <v>0</v>
          </cell>
          <cell r="BB422">
            <v>0</v>
          </cell>
          <cell r="BC422">
            <v>0</v>
          </cell>
          <cell r="BD422">
            <v>0</v>
          </cell>
          <cell r="BE422">
            <v>0</v>
          </cell>
          <cell r="BF422">
            <v>0</v>
          </cell>
          <cell r="BG422">
            <v>0</v>
          </cell>
          <cell r="BH422">
            <v>0</v>
          </cell>
          <cell r="BI422">
            <v>0</v>
          </cell>
          <cell r="BJ422">
            <v>0</v>
          </cell>
          <cell r="BK422">
            <v>0</v>
          </cell>
          <cell r="BL422">
            <v>0</v>
          </cell>
          <cell r="BM422">
            <v>0</v>
          </cell>
          <cell r="BN422">
            <v>1</v>
          </cell>
          <cell r="BO422">
            <v>0</v>
          </cell>
          <cell r="BP422">
            <v>1</v>
          </cell>
          <cell r="BQ422">
            <v>12</v>
          </cell>
          <cell r="BR422">
            <v>0</v>
          </cell>
          <cell r="BS422">
            <v>0</v>
          </cell>
          <cell r="BT422">
            <v>0</v>
          </cell>
          <cell r="BU422">
            <v>0</v>
          </cell>
          <cell r="BV422">
            <v>0</v>
          </cell>
          <cell r="BW422">
            <v>0</v>
          </cell>
          <cell r="BX422">
            <v>0</v>
          </cell>
          <cell r="BY422">
            <v>0</v>
          </cell>
          <cell r="BZ422">
            <v>2</v>
          </cell>
        </row>
        <row r="423">
          <cell r="A423" t="str">
            <v>4152</v>
          </cell>
          <cell r="B423">
            <v>415</v>
          </cell>
          <cell r="C423" t="str">
            <v>4152</v>
          </cell>
          <cell r="D423">
            <v>415</v>
          </cell>
          <cell r="E423">
            <v>415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2</v>
          </cell>
          <cell r="Q423">
            <v>2</v>
          </cell>
          <cell r="R423">
            <v>12</v>
          </cell>
          <cell r="S423">
            <v>12</v>
          </cell>
          <cell r="T423" t="str">
            <v>01</v>
          </cell>
          <cell r="U423">
            <v>12</v>
          </cell>
          <cell r="V423">
            <v>12</v>
          </cell>
          <cell r="W423" t="str">
            <v xml:space="preserve"> 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67500000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J423">
            <v>0</v>
          </cell>
          <cell r="BK423">
            <v>0</v>
          </cell>
          <cell r="BL423">
            <v>0</v>
          </cell>
          <cell r="BM423">
            <v>0</v>
          </cell>
          <cell r="BN423">
            <v>1</v>
          </cell>
          <cell r="BO423">
            <v>0</v>
          </cell>
          <cell r="BP423">
            <v>1</v>
          </cell>
          <cell r="BQ423">
            <v>12</v>
          </cell>
          <cell r="BR423">
            <v>0</v>
          </cell>
          <cell r="BS423">
            <v>0</v>
          </cell>
          <cell r="BT423">
            <v>0</v>
          </cell>
          <cell r="BU423">
            <v>0</v>
          </cell>
          <cell r="BV423">
            <v>0</v>
          </cell>
          <cell r="BW423">
            <v>0</v>
          </cell>
          <cell r="BX423">
            <v>0</v>
          </cell>
          <cell r="BY423">
            <v>0</v>
          </cell>
          <cell r="BZ423">
            <v>2</v>
          </cell>
        </row>
        <row r="424">
          <cell r="A424" t="str">
            <v>4162</v>
          </cell>
          <cell r="B424">
            <v>416</v>
          </cell>
          <cell r="C424" t="str">
            <v>4162</v>
          </cell>
          <cell r="D424">
            <v>416</v>
          </cell>
          <cell r="E424">
            <v>416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2</v>
          </cell>
          <cell r="Q424">
            <v>2</v>
          </cell>
          <cell r="R424">
            <v>12</v>
          </cell>
          <cell r="S424">
            <v>12</v>
          </cell>
          <cell r="T424" t="str">
            <v>01</v>
          </cell>
          <cell r="U424">
            <v>12</v>
          </cell>
          <cell r="V424">
            <v>12</v>
          </cell>
          <cell r="W424" t="str">
            <v xml:space="preserve"> 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67500000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>
            <v>0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J424">
            <v>0</v>
          </cell>
          <cell r="BK424">
            <v>0</v>
          </cell>
          <cell r="BL424">
            <v>0</v>
          </cell>
          <cell r="BM424">
            <v>0</v>
          </cell>
          <cell r="BN424">
            <v>1</v>
          </cell>
          <cell r="BO424">
            <v>0</v>
          </cell>
          <cell r="BP424">
            <v>1</v>
          </cell>
          <cell r="BQ424">
            <v>12</v>
          </cell>
          <cell r="BR424">
            <v>0</v>
          </cell>
          <cell r="BS424">
            <v>0</v>
          </cell>
          <cell r="BT424">
            <v>0</v>
          </cell>
          <cell r="BU424">
            <v>0</v>
          </cell>
          <cell r="BV424">
            <v>0</v>
          </cell>
          <cell r="BW424">
            <v>0</v>
          </cell>
          <cell r="BX424">
            <v>0</v>
          </cell>
          <cell r="BY424">
            <v>0</v>
          </cell>
          <cell r="BZ424">
            <v>2</v>
          </cell>
        </row>
        <row r="425">
          <cell r="A425" t="str">
            <v>4172</v>
          </cell>
          <cell r="B425">
            <v>417</v>
          </cell>
          <cell r="C425" t="str">
            <v>4172</v>
          </cell>
          <cell r="D425">
            <v>417</v>
          </cell>
          <cell r="E425">
            <v>417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2</v>
          </cell>
          <cell r="Q425">
            <v>2</v>
          </cell>
          <cell r="R425">
            <v>12</v>
          </cell>
          <cell r="S425">
            <v>12</v>
          </cell>
          <cell r="T425" t="str">
            <v>01</v>
          </cell>
          <cell r="U425">
            <v>12</v>
          </cell>
          <cell r="V425">
            <v>12</v>
          </cell>
          <cell r="W425" t="str">
            <v xml:space="preserve"> 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67500000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>
            <v>0</v>
          </cell>
          <cell r="BJ425">
            <v>0</v>
          </cell>
          <cell r="BK425">
            <v>0</v>
          </cell>
          <cell r="BL425">
            <v>0</v>
          </cell>
          <cell r="BM425">
            <v>0</v>
          </cell>
          <cell r="BN425">
            <v>1</v>
          </cell>
          <cell r="BO425">
            <v>0</v>
          </cell>
          <cell r="BP425">
            <v>1</v>
          </cell>
          <cell r="BQ425">
            <v>12</v>
          </cell>
          <cell r="BR425">
            <v>0</v>
          </cell>
          <cell r="BS425">
            <v>0</v>
          </cell>
          <cell r="BT425">
            <v>0</v>
          </cell>
          <cell r="BU425">
            <v>0</v>
          </cell>
          <cell r="BV425">
            <v>0</v>
          </cell>
          <cell r="BW425">
            <v>0</v>
          </cell>
          <cell r="BX425">
            <v>0</v>
          </cell>
          <cell r="BY425">
            <v>0</v>
          </cell>
          <cell r="BZ425">
            <v>2</v>
          </cell>
        </row>
        <row r="426">
          <cell r="A426" t="str">
            <v>4182</v>
          </cell>
          <cell r="B426">
            <v>418</v>
          </cell>
          <cell r="C426" t="str">
            <v>4182</v>
          </cell>
          <cell r="D426">
            <v>418</v>
          </cell>
          <cell r="E426">
            <v>418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2</v>
          </cell>
          <cell r="Q426">
            <v>2</v>
          </cell>
          <cell r="R426">
            <v>12</v>
          </cell>
          <cell r="S426">
            <v>12</v>
          </cell>
          <cell r="T426" t="str">
            <v>01</v>
          </cell>
          <cell r="U426">
            <v>12</v>
          </cell>
          <cell r="V426">
            <v>12</v>
          </cell>
          <cell r="W426" t="str">
            <v xml:space="preserve"> 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67500000</v>
          </cell>
          <cell r="AW426">
            <v>0</v>
          </cell>
          <cell r="AX426">
            <v>0</v>
          </cell>
          <cell r="AY426">
            <v>0</v>
          </cell>
          <cell r="AZ426">
            <v>0</v>
          </cell>
          <cell r="BA426">
            <v>0</v>
          </cell>
          <cell r="BB426">
            <v>0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>
            <v>0</v>
          </cell>
          <cell r="BJ426">
            <v>0</v>
          </cell>
          <cell r="BK426">
            <v>0</v>
          </cell>
          <cell r="BL426">
            <v>0</v>
          </cell>
          <cell r="BM426">
            <v>0</v>
          </cell>
          <cell r="BN426">
            <v>1</v>
          </cell>
          <cell r="BO426">
            <v>0</v>
          </cell>
          <cell r="BP426">
            <v>1</v>
          </cell>
          <cell r="BQ426">
            <v>12</v>
          </cell>
          <cell r="BR426">
            <v>0</v>
          </cell>
          <cell r="BS426">
            <v>0</v>
          </cell>
          <cell r="BT426">
            <v>0</v>
          </cell>
          <cell r="BU426">
            <v>0</v>
          </cell>
          <cell r="BV426">
            <v>0</v>
          </cell>
          <cell r="BW426">
            <v>0</v>
          </cell>
          <cell r="BX426">
            <v>0</v>
          </cell>
          <cell r="BY426">
            <v>0</v>
          </cell>
          <cell r="BZ426">
            <v>2</v>
          </cell>
        </row>
        <row r="427">
          <cell r="A427" t="str">
            <v>4192</v>
          </cell>
          <cell r="B427">
            <v>419</v>
          </cell>
          <cell r="C427" t="str">
            <v>4192</v>
          </cell>
          <cell r="D427">
            <v>419</v>
          </cell>
          <cell r="E427">
            <v>419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2</v>
          </cell>
          <cell r="Q427">
            <v>2</v>
          </cell>
          <cell r="R427">
            <v>12</v>
          </cell>
          <cell r="S427">
            <v>12</v>
          </cell>
          <cell r="T427" t="str">
            <v>01</v>
          </cell>
          <cell r="U427">
            <v>12</v>
          </cell>
          <cell r="V427">
            <v>12</v>
          </cell>
          <cell r="W427" t="str">
            <v xml:space="preserve"> 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67500000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>
            <v>0</v>
          </cell>
          <cell r="BJ427">
            <v>0</v>
          </cell>
          <cell r="BK427">
            <v>0</v>
          </cell>
          <cell r="BL427">
            <v>0</v>
          </cell>
          <cell r="BM427">
            <v>0</v>
          </cell>
          <cell r="BN427">
            <v>1</v>
          </cell>
          <cell r="BO427">
            <v>0</v>
          </cell>
          <cell r="BP427">
            <v>1</v>
          </cell>
          <cell r="BQ427">
            <v>12</v>
          </cell>
          <cell r="BR427">
            <v>0</v>
          </cell>
          <cell r="BS427">
            <v>0</v>
          </cell>
          <cell r="BT427">
            <v>0</v>
          </cell>
          <cell r="BU427">
            <v>0</v>
          </cell>
          <cell r="BV427">
            <v>0</v>
          </cell>
          <cell r="BW427">
            <v>0</v>
          </cell>
          <cell r="BX427">
            <v>0</v>
          </cell>
          <cell r="BY427">
            <v>0</v>
          </cell>
          <cell r="BZ427">
            <v>2</v>
          </cell>
        </row>
        <row r="428">
          <cell r="A428" t="str">
            <v>4202</v>
          </cell>
          <cell r="B428">
            <v>420</v>
          </cell>
          <cell r="C428" t="str">
            <v>4202</v>
          </cell>
          <cell r="D428">
            <v>420</v>
          </cell>
          <cell r="E428">
            <v>420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2</v>
          </cell>
          <cell r="Q428">
            <v>2</v>
          </cell>
          <cell r="R428">
            <v>12</v>
          </cell>
          <cell r="S428">
            <v>12</v>
          </cell>
          <cell r="T428" t="str">
            <v>01</v>
          </cell>
          <cell r="U428">
            <v>12</v>
          </cell>
          <cell r="V428">
            <v>12</v>
          </cell>
          <cell r="W428" t="str">
            <v xml:space="preserve"> 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67500000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>
            <v>0</v>
          </cell>
          <cell r="BJ428">
            <v>0</v>
          </cell>
          <cell r="BK428">
            <v>0</v>
          </cell>
          <cell r="BL428">
            <v>0</v>
          </cell>
          <cell r="BM428">
            <v>0</v>
          </cell>
          <cell r="BN428">
            <v>1</v>
          </cell>
          <cell r="BO428">
            <v>0</v>
          </cell>
          <cell r="BP428">
            <v>1</v>
          </cell>
          <cell r="BQ428">
            <v>12</v>
          </cell>
          <cell r="BR428">
            <v>0</v>
          </cell>
          <cell r="BS428">
            <v>0</v>
          </cell>
          <cell r="BT428">
            <v>0</v>
          </cell>
          <cell r="BU428">
            <v>0</v>
          </cell>
          <cell r="BV428">
            <v>0</v>
          </cell>
          <cell r="BW428">
            <v>0</v>
          </cell>
          <cell r="BX428">
            <v>0</v>
          </cell>
          <cell r="BY428">
            <v>0</v>
          </cell>
          <cell r="BZ428">
            <v>2</v>
          </cell>
        </row>
        <row r="429">
          <cell r="A429" t="str">
            <v>4212</v>
          </cell>
          <cell r="B429">
            <v>421</v>
          </cell>
          <cell r="C429" t="str">
            <v>4212</v>
          </cell>
          <cell r="D429">
            <v>421</v>
          </cell>
          <cell r="E429">
            <v>421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2</v>
          </cell>
          <cell r="Q429">
            <v>2</v>
          </cell>
          <cell r="R429">
            <v>12</v>
          </cell>
          <cell r="S429">
            <v>12</v>
          </cell>
          <cell r="T429" t="str">
            <v>01</v>
          </cell>
          <cell r="U429">
            <v>12</v>
          </cell>
          <cell r="V429">
            <v>12</v>
          </cell>
          <cell r="W429" t="str">
            <v xml:space="preserve"> 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67500000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>
            <v>0</v>
          </cell>
          <cell r="BB429">
            <v>0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>
            <v>0</v>
          </cell>
          <cell r="BN429">
            <v>1</v>
          </cell>
          <cell r="BO429">
            <v>0</v>
          </cell>
          <cell r="BP429">
            <v>1</v>
          </cell>
          <cell r="BQ429">
            <v>12</v>
          </cell>
          <cell r="BR429">
            <v>0</v>
          </cell>
          <cell r="BS429">
            <v>0</v>
          </cell>
          <cell r="BT429">
            <v>0</v>
          </cell>
          <cell r="BU429">
            <v>0</v>
          </cell>
          <cell r="BV429">
            <v>0</v>
          </cell>
          <cell r="BW429">
            <v>0</v>
          </cell>
          <cell r="BX429">
            <v>0</v>
          </cell>
          <cell r="BY429">
            <v>0</v>
          </cell>
          <cell r="BZ429">
            <v>2</v>
          </cell>
        </row>
        <row r="430">
          <cell r="A430" t="str">
            <v>4222</v>
          </cell>
          <cell r="B430">
            <v>422</v>
          </cell>
          <cell r="C430" t="str">
            <v>4222</v>
          </cell>
          <cell r="D430">
            <v>422</v>
          </cell>
          <cell r="E430">
            <v>422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2</v>
          </cell>
          <cell r="Q430">
            <v>2</v>
          </cell>
          <cell r="R430">
            <v>12</v>
          </cell>
          <cell r="S430">
            <v>12</v>
          </cell>
          <cell r="T430" t="str">
            <v>01</v>
          </cell>
          <cell r="U430">
            <v>12</v>
          </cell>
          <cell r="V430">
            <v>12</v>
          </cell>
          <cell r="W430" t="str">
            <v xml:space="preserve"> 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67500000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  <cell r="BA430">
            <v>0</v>
          </cell>
          <cell r="BB430">
            <v>0</v>
          </cell>
          <cell r="BC430">
            <v>0</v>
          </cell>
          <cell r="BD430">
            <v>0</v>
          </cell>
          <cell r="BE430">
            <v>0</v>
          </cell>
          <cell r="BF430">
            <v>0</v>
          </cell>
          <cell r="BG430">
            <v>0</v>
          </cell>
          <cell r="BH430">
            <v>0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  <cell r="BM430">
            <v>0</v>
          </cell>
          <cell r="BN430">
            <v>1</v>
          </cell>
          <cell r="BO430">
            <v>0</v>
          </cell>
          <cell r="BP430">
            <v>1</v>
          </cell>
          <cell r="BQ430">
            <v>12</v>
          </cell>
          <cell r="BR430">
            <v>0</v>
          </cell>
          <cell r="BS430">
            <v>0</v>
          </cell>
          <cell r="BT430">
            <v>0</v>
          </cell>
          <cell r="BU430">
            <v>0</v>
          </cell>
          <cell r="BV430">
            <v>0</v>
          </cell>
          <cell r="BW430">
            <v>0</v>
          </cell>
          <cell r="BX430">
            <v>0</v>
          </cell>
          <cell r="BY430">
            <v>0</v>
          </cell>
          <cell r="BZ430">
            <v>2</v>
          </cell>
        </row>
        <row r="431">
          <cell r="A431" t="str">
            <v>4232</v>
          </cell>
          <cell r="B431">
            <v>423</v>
          </cell>
          <cell r="C431" t="str">
            <v>4232</v>
          </cell>
          <cell r="D431">
            <v>423</v>
          </cell>
          <cell r="E431">
            <v>423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2</v>
          </cell>
          <cell r="Q431">
            <v>2</v>
          </cell>
          <cell r="R431">
            <v>12</v>
          </cell>
          <cell r="S431">
            <v>12</v>
          </cell>
          <cell r="T431" t="str">
            <v>01</v>
          </cell>
          <cell r="U431">
            <v>12</v>
          </cell>
          <cell r="V431">
            <v>12</v>
          </cell>
          <cell r="W431" t="str">
            <v xml:space="preserve"> 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67500000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>
            <v>0</v>
          </cell>
          <cell r="BB431">
            <v>0</v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  <cell r="BH431">
            <v>0</v>
          </cell>
          <cell r="BI431">
            <v>0</v>
          </cell>
          <cell r="BJ431">
            <v>0</v>
          </cell>
          <cell r="BK431">
            <v>0</v>
          </cell>
          <cell r="BL431">
            <v>0</v>
          </cell>
          <cell r="BM431">
            <v>0</v>
          </cell>
          <cell r="BN431">
            <v>1</v>
          </cell>
          <cell r="BO431">
            <v>0</v>
          </cell>
          <cell r="BP431">
            <v>1</v>
          </cell>
          <cell r="BQ431">
            <v>12</v>
          </cell>
          <cell r="BR431">
            <v>0</v>
          </cell>
          <cell r="BS431">
            <v>0</v>
          </cell>
          <cell r="BT431">
            <v>0</v>
          </cell>
          <cell r="BU431">
            <v>0</v>
          </cell>
          <cell r="BV431">
            <v>0</v>
          </cell>
          <cell r="BW431">
            <v>0</v>
          </cell>
          <cell r="BX431">
            <v>0</v>
          </cell>
          <cell r="BY431">
            <v>0</v>
          </cell>
          <cell r="BZ431">
            <v>2</v>
          </cell>
        </row>
        <row r="432">
          <cell r="A432" t="str">
            <v>4242</v>
          </cell>
          <cell r="B432">
            <v>424</v>
          </cell>
          <cell r="C432" t="str">
            <v>4242</v>
          </cell>
          <cell r="D432">
            <v>424</v>
          </cell>
          <cell r="E432">
            <v>424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2</v>
          </cell>
          <cell r="Q432">
            <v>2</v>
          </cell>
          <cell r="R432">
            <v>12</v>
          </cell>
          <cell r="S432">
            <v>12</v>
          </cell>
          <cell r="T432" t="str">
            <v>01</v>
          </cell>
          <cell r="U432">
            <v>12</v>
          </cell>
          <cell r="V432">
            <v>12</v>
          </cell>
          <cell r="W432" t="str">
            <v xml:space="preserve"> 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67500000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J432">
            <v>0</v>
          </cell>
          <cell r="BK432">
            <v>0</v>
          </cell>
          <cell r="BL432">
            <v>0</v>
          </cell>
          <cell r="BM432">
            <v>0</v>
          </cell>
          <cell r="BN432">
            <v>1</v>
          </cell>
          <cell r="BO432">
            <v>0</v>
          </cell>
          <cell r="BP432">
            <v>1</v>
          </cell>
          <cell r="BQ432">
            <v>12</v>
          </cell>
          <cell r="BR432">
            <v>0</v>
          </cell>
          <cell r="BS432">
            <v>0</v>
          </cell>
          <cell r="BT432">
            <v>0</v>
          </cell>
          <cell r="BU432">
            <v>0</v>
          </cell>
          <cell r="BV432">
            <v>0</v>
          </cell>
          <cell r="BW432">
            <v>0</v>
          </cell>
          <cell r="BX432">
            <v>0</v>
          </cell>
          <cell r="BY432">
            <v>0</v>
          </cell>
          <cell r="BZ432">
            <v>2</v>
          </cell>
        </row>
        <row r="433">
          <cell r="A433" t="str">
            <v>4252</v>
          </cell>
          <cell r="B433">
            <v>425</v>
          </cell>
          <cell r="C433" t="str">
            <v>4252</v>
          </cell>
          <cell r="D433">
            <v>425</v>
          </cell>
          <cell r="E433">
            <v>425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2</v>
          </cell>
          <cell r="Q433">
            <v>2</v>
          </cell>
          <cell r="R433">
            <v>12</v>
          </cell>
          <cell r="S433">
            <v>12</v>
          </cell>
          <cell r="T433" t="str">
            <v>01</v>
          </cell>
          <cell r="U433">
            <v>12</v>
          </cell>
          <cell r="V433">
            <v>12</v>
          </cell>
          <cell r="W433" t="str">
            <v xml:space="preserve"> 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67500000</v>
          </cell>
          <cell r="AW433">
            <v>0</v>
          </cell>
          <cell r="AX433">
            <v>0</v>
          </cell>
          <cell r="AY433">
            <v>0</v>
          </cell>
          <cell r="AZ433">
            <v>0</v>
          </cell>
          <cell r="BA433">
            <v>0</v>
          </cell>
          <cell r="BB433">
            <v>0</v>
          </cell>
          <cell r="BC433">
            <v>0</v>
          </cell>
          <cell r="BD433">
            <v>0</v>
          </cell>
          <cell r="BE433">
            <v>0</v>
          </cell>
          <cell r="BF433">
            <v>0</v>
          </cell>
          <cell r="BG433">
            <v>0</v>
          </cell>
          <cell r="BH433">
            <v>0</v>
          </cell>
          <cell r="BI433">
            <v>0</v>
          </cell>
          <cell r="BJ433">
            <v>0</v>
          </cell>
          <cell r="BK433">
            <v>0</v>
          </cell>
          <cell r="BL433">
            <v>0</v>
          </cell>
          <cell r="BM433">
            <v>0</v>
          </cell>
          <cell r="BN433">
            <v>1</v>
          </cell>
          <cell r="BO433">
            <v>0</v>
          </cell>
          <cell r="BP433">
            <v>1</v>
          </cell>
          <cell r="BQ433">
            <v>12</v>
          </cell>
          <cell r="BR433">
            <v>0</v>
          </cell>
          <cell r="BS433">
            <v>0</v>
          </cell>
          <cell r="BT433">
            <v>0</v>
          </cell>
          <cell r="BU433">
            <v>0</v>
          </cell>
          <cell r="BV433">
            <v>0</v>
          </cell>
          <cell r="BW433">
            <v>0</v>
          </cell>
          <cell r="BX433">
            <v>0</v>
          </cell>
          <cell r="BY433">
            <v>0</v>
          </cell>
          <cell r="BZ433">
            <v>2</v>
          </cell>
        </row>
        <row r="434">
          <cell r="A434" t="str">
            <v>4262</v>
          </cell>
          <cell r="B434">
            <v>426</v>
          </cell>
          <cell r="C434" t="str">
            <v>4262</v>
          </cell>
          <cell r="D434">
            <v>426</v>
          </cell>
          <cell r="E434">
            <v>426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2</v>
          </cell>
          <cell r="Q434">
            <v>2</v>
          </cell>
          <cell r="R434">
            <v>12</v>
          </cell>
          <cell r="S434">
            <v>12</v>
          </cell>
          <cell r="T434" t="str">
            <v>01</v>
          </cell>
          <cell r="U434">
            <v>12</v>
          </cell>
          <cell r="V434">
            <v>12</v>
          </cell>
          <cell r="W434" t="str">
            <v xml:space="preserve"> 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67500000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>
            <v>0</v>
          </cell>
          <cell r="BB434">
            <v>0</v>
          </cell>
          <cell r="BC434">
            <v>0</v>
          </cell>
          <cell r="BD434">
            <v>0</v>
          </cell>
          <cell r="BE434">
            <v>0</v>
          </cell>
          <cell r="BF434">
            <v>0</v>
          </cell>
          <cell r="BG434">
            <v>0</v>
          </cell>
          <cell r="BH434">
            <v>0</v>
          </cell>
          <cell r="BI434">
            <v>0</v>
          </cell>
          <cell r="BJ434">
            <v>0</v>
          </cell>
          <cell r="BK434">
            <v>0</v>
          </cell>
          <cell r="BL434">
            <v>0</v>
          </cell>
          <cell r="BM434">
            <v>0</v>
          </cell>
          <cell r="BN434">
            <v>1</v>
          </cell>
          <cell r="BO434">
            <v>0</v>
          </cell>
          <cell r="BP434">
            <v>1</v>
          </cell>
          <cell r="BQ434">
            <v>12</v>
          </cell>
          <cell r="BR434">
            <v>0</v>
          </cell>
          <cell r="BS434">
            <v>0</v>
          </cell>
          <cell r="BT434">
            <v>0</v>
          </cell>
          <cell r="BU434">
            <v>0</v>
          </cell>
          <cell r="BV434">
            <v>0</v>
          </cell>
          <cell r="BW434">
            <v>0</v>
          </cell>
          <cell r="BX434">
            <v>0</v>
          </cell>
          <cell r="BY434">
            <v>0</v>
          </cell>
          <cell r="BZ434">
            <v>2</v>
          </cell>
        </row>
        <row r="435">
          <cell r="A435" t="str">
            <v>4272</v>
          </cell>
          <cell r="B435">
            <v>427</v>
          </cell>
          <cell r="C435" t="str">
            <v>4272</v>
          </cell>
          <cell r="D435">
            <v>427</v>
          </cell>
          <cell r="E435">
            <v>427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2</v>
          </cell>
          <cell r="Q435">
            <v>2</v>
          </cell>
          <cell r="R435">
            <v>12</v>
          </cell>
          <cell r="S435">
            <v>12</v>
          </cell>
          <cell r="T435" t="str">
            <v>01</v>
          </cell>
          <cell r="U435">
            <v>12</v>
          </cell>
          <cell r="V435">
            <v>12</v>
          </cell>
          <cell r="W435" t="str">
            <v xml:space="preserve"> 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67500000</v>
          </cell>
          <cell r="AW435">
            <v>0</v>
          </cell>
          <cell r="AX435">
            <v>0</v>
          </cell>
          <cell r="AY435">
            <v>0</v>
          </cell>
          <cell r="AZ435">
            <v>0</v>
          </cell>
          <cell r="BA435">
            <v>0</v>
          </cell>
          <cell r="BB435">
            <v>0</v>
          </cell>
          <cell r="BC435">
            <v>0</v>
          </cell>
          <cell r="BD435">
            <v>0</v>
          </cell>
          <cell r="BE435">
            <v>0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J435">
            <v>0</v>
          </cell>
          <cell r="BK435">
            <v>0</v>
          </cell>
          <cell r="BL435">
            <v>0</v>
          </cell>
          <cell r="BM435">
            <v>0</v>
          </cell>
          <cell r="BN435">
            <v>1</v>
          </cell>
          <cell r="BO435">
            <v>0</v>
          </cell>
          <cell r="BP435">
            <v>1</v>
          </cell>
          <cell r="BQ435">
            <v>12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V435">
            <v>0</v>
          </cell>
          <cell r="BW435">
            <v>0</v>
          </cell>
          <cell r="BX435">
            <v>0</v>
          </cell>
          <cell r="BY435">
            <v>0</v>
          </cell>
          <cell r="BZ435">
            <v>2</v>
          </cell>
        </row>
        <row r="436">
          <cell r="A436" t="str">
            <v>4282</v>
          </cell>
          <cell r="B436">
            <v>428</v>
          </cell>
          <cell r="C436" t="str">
            <v>4282</v>
          </cell>
          <cell r="D436">
            <v>428</v>
          </cell>
          <cell r="E436">
            <v>428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2</v>
          </cell>
          <cell r="Q436">
            <v>2</v>
          </cell>
          <cell r="R436">
            <v>12</v>
          </cell>
          <cell r="S436">
            <v>12</v>
          </cell>
          <cell r="T436" t="str">
            <v>01</v>
          </cell>
          <cell r="U436">
            <v>12</v>
          </cell>
          <cell r="V436">
            <v>12</v>
          </cell>
          <cell r="W436" t="str">
            <v xml:space="preserve"> 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67500000</v>
          </cell>
          <cell r="AW436">
            <v>0</v>
          </cell>
          <cell r="AX436">
            <v>0</v>
          </cell>
          <cell r="AY436">
            <v>0</v>
          </cell>
          <cell r="AZ436">
            <v>0</v>
          </cell>
          <cell r="BA436">
            <v>0</v>
          </cell>
          <cell r="BB436">
            <v>0</v>
          </cell>
          <cell r="BC436">
            <v>0</v>
          </cell>
          <cell r="BD436">
            <v>0</v>
          </cell>
          <cell r="BE436">
            <v>0</v>
          </cell>
          <cell r="BF436">
            <v>0</v>
          </cell>
          <cell r="BG436">
            <v>0</v>
          </cell>
          <cell r="BH436">
            <v>0</v>
          </cell>
          <cell r="BI436">
            <v>0</v>
          </cell>
          <cell r="BJ436">
            <v>0</v>
          </cell>
          <cell r="BK436">
            <v>0</v>
          </cell>
          <cell r="BL436">
            <v>0</v>
          </cell>
          <cell r="BM436">
            <v>0</v>
          </cell>
          <cell r="BN436">
            <v>1</v>
          </cell>
          <cell r="BO436">
            <v>0</v>
          </cell>
          <cell r="BP436">
            <v>1</v>
          </cell>
          <cell r="BQ436">
            <v>12</v>
          </cell>
          <cell r="BR436">
            <v>0</v>
          </cell>
          <cell r="BS436">
            <v>0</v>
          </cell>
          <cell r="BT436">
            <v>0</v>
          </cell>
          <cell r="BU436">
            <v>0</v>
          </cell>
          <cell r="BV436">
            <v>0</v>
          </cell>
          <cell r="BW436">
            <v>0</v>
          </cell>
          <cell r="BX436">
            <v>0</v>
          </cell>
          <cell r="BY436">
            <v>0</v>
          </cell>
          <cell r="BZ436">
            <v>2</v>
          </cell>
        </row>
        <row r="437">
          <cell r="A437" t="str">
            <v>4292</v>
          </cell>
          <cell r="B437">
            <v>429</v>
          </cell>
          <cell r="C437" t="str">
            <v>4292</v>
          </cell>
          <cell r="D437">
            <v>429</v>
          </cell>
          <cell r="E437">
            <v>429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2</v>
          </cell>
          <cell r="Q437">
            <v>2</v>
          </cell>
          <cell r="R437">
            <v>12</v>
          </cell>
          <cell r="S437">
            <v>12</v>
          </cell>
          <cell r="T437" t="str">
            <v>01</v>
          </cell>
          <cell r="U437">
            <v>12</v>
          </cell>
          <cell r="V437">
            <v>12</v>
          </cell>
          <cell r="W437" t="str">
            <v xml:space="preserve"> 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67500000</v>
          </cell>
          <cell r="AW437">
            <v>0</v>
          </cell>
          <cell r="AX437">
            <v>0</v>
          </cell>
          <cell r="AY437">
            <v>0</v>
          </cell>
          <cell r="AZ437">
            <v>0</v>
          </cell>
          <cell r="BA437">
            <v>0</v>
          </cell>
          <cell r="BB437">
            <v>0</v>
          </cell>
          <cell r="BC437">
            <v>0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J437">
            <v>0</v>
          </cell>
          <cell r="BK437">
            <v>0</v>
          </cell>
          <cell r="BL437">
            <v>0</v>
          </cell>
          <cell r="BM437">
            <v>0</v>
          </cell>
          <cell r="BN437">
            <v>1</v>
          </cell>
          <cell r="BO437">
            <v>0</v>
          </cell>
          <cell r="BP437">
            <v>1</v>
          </cell>
          <cell r="BQ437">
            <v>12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V437">
            <v>0</v>
          </cell>
          <cell r="BW437">
            <v>0</v>
          </cell>
          <cell r="BX437">
            <v>0</v>
          </cell>
          <cell r="BY437">
            <v>0</v>
          </cell>
          <cell r="BZ437">
            <v>2</v>
          </cell>
        </row>
        <row r="438">
          <cell r="A438" t="str">
            <v>4302</v>
          </cell>
          <cell r="B438">
            <v>430</v>
          </cell>
          <cell r="C438" t="str">
            <v>4302</v>
          </cell>
          <cell r="D438">
            <v>430</v>
          </cell>
          <cell r="E438">
            <v>430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2</v>
          </cell>
          <cell r="Q438">
            <v>2</v>
          </cell>
          <cell r="R438">
            <v>12</v>
          </cell>
          <cell r="S438">
            <v>12</v>
          </cell>
          <cell r="T438" t="str">
            <v>01</v>
          </cell>
          <cell r="U438">
            <v>12</v>
          </cell>
          <cell r="V438">
            <v>12</v>
          </cell>
          <cell r="W438" t="str">
            <v xml:space="preserve"> 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0</v>
          </cell>
          <cell r="AK438">
            <v>0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67500000</v>
          </cell>
          <cell r="AW438">
            <v>0</v>
          </cell>
          <cell r="AX438">
            <v>0</v>
          </cell>
          <cell r="AY438">
            <v>0</v>
          </cell>
          <cell r="AZ438">
            <v>0</v>
          </cell>
          <cell r="BA438">
            <v>0</v>
          </cell>
          <cell r="BB438">
            <v>0</v>
          </cell>
          <cell r="BC438">
            <v>0</v>
          </cell>
          <cell r="BD438">
            <v>0</v>
          </cell>
          <cell r="BE438">
            <v>0</v>
          </cell>
          <cell r="BF438">
            <v>0</v>
          </cell>
          <cell r="BG438">
            <v>0</v>
          </cell>
          <cell r="BH438">
            <v>0</v>
          </cell>
          <cell r="BI438">
            <v>0</v>
          </cell>
          <cell r="BJ438">
            <v>0</v>
          </cell>
          <cell r="BK438">
            <v>0</v>
          </cell>
          <cell r="BL438">
            <v>0</v>
          </cell>
          <cell r="BM438">
            <v>0</v>
          </cell>
          <cell r="BN438">
            <v>1</v>
          </cell>
          <cell r="BO438">
            <v>0</v>
          </cell>
          <cell r="BP438">
            <v>1</v>
          </cell>
          <cell r="BQ438">
            <v>12</v>
          </cell>
          <cell r="BR438">
            <v>0</v>
          </cell>
          <cell r="BS438">
            <v>0</v>
          </cell>
          <cell r="BT438">
            <v>0</v>
          </cell>
          <cell r="BU438">
            <v>0</v>
          </cell>
          <cell r="BV438">
            <v>0</v>
          </cell>
          <cell r="BW438">
            <v>0</v>
          </cell>
          <cell r="BX438">
            <v>0</v>
          </cell>
          <cell r="BY438">
            <v>0</v>
          </cell>
          <cell r="BZ438">
            <v>2</v>
          </cell>
        </row>
        <row r="439">
          <cell r="A439" t="str">
            <v>4312</v>
          </cell>
          <cell r="B439">
            <v>431</v>
          </cell>
          <cell r="C439" t="str">
            <v>4312</v>
          </cell>
          <cell r="D439">
            <v>431</v>
          </cell>
          <cell r="E439">
            <v>431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2</v>
          </cell>
          <cell r="Q439">
            <v>2</v>
          </cell>
          <cell r="R439">
            <v>12</v>
          </cell>
          <cell r="S439">
            <v>12</v>
          </cell>
          <cell r="T439" t="str">
            <v>01</v>
          </cell>
          <cell r="U439">
            <v>12</v>
          </cell>
          <cell r="V439">
            <v>12</v>
          </cell>
          <cell r="W439" t="str">
            <v xml:space="preserve"> 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67500000</v>
          </cell>
          <cell r="AW439">
            <v>0</v>
          </cell>
          <cell r="AX439">
            <v>0</v>
          </cell>
          <cell r="AY439">
            <v>0</v>
          </cell>
          <cell r="AZ439">
            <v>0</v>
          </cell>
          <cell r="BA439">
            <v>0</v>
          </cell>
          <cell r="BB439">
            <v>0</v>
          </cell>
          <cell r="BC439">
            <v>0</v>
          </cell>
          <cell r="BD439">
            <v>0</v>
          </cell>
          <cell r="BE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J439">
            <v>0</v>
          </cell>
          <cell r="BK439">
            <v>0</v>
          </cell>
          <cell r="BL439">
            <v>0</v>
          </cell>
          <cell r="BM439">
            <v>0</v>
          </cell>
          <cell r="BN439">
            <v>1</v>
          </cell>
          <cell r="BO439">
            <v>0</v>
          </cell>
          <cell r="BP439">
            <v>1</v>
          </cell>
          <cell r="BQ439">
            <v>12</v>
          </cell>
          <cell r="BR439">
            <v>0</v>
          </cell>
          <cell r="BS439">
            <v>0</v>
          </cell>
          <cell r="BT439">
            <v>0</v>
          </cell>
          <cell r="BU439">
            <v>0</v>
          </cell>
          <cell r="BV439">
            <v>0</v>
          </cell>
          <cell r="BW439">
            <v>0</v>
          </cell>
          <cell r="BX439">
            <v>0</v>
          </cell>
          <cell r="BY439">
            <v>0</v>
          </cell>
          <cell r="BZ439">
            <v>2</v>
          </cell>
        </row>
        <row r="440">
          <cell r="A440" t="str">
            <v>4322</v>
          </cell>
          <cell r="B440">
            <v>432</v>
          </cell>
          <cell r="C440" t="str">
            <v>4322</v>
          </cell>
          <cell r="D440">
            <v>432</v>
          </cell>
          <cell r="E440">
            <v>432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2</v>
          </cell>
          <cell r="Q440">
            <v>2</v>
          </cell>
          <cell r="R440">
            <v>12</v>
          </cell>
          <cell r="S440">
            <v>12</v>
          </cell>
          <cell r="T440" t="str">
            <v>01</v>
          </cell>
          <cell r="U440">
            <v>12</v>
          </cell>
          <cell r="V440">
            <v>12</v>
          </cell>
          <cell r="W440" t="str">
            <v xml:space="preserve"> 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67500000</v>
          </cell>
          <cell r="AW440">
            <v>0</v>
          </cell>
          <cell r="AX440">
            <v>0</v>
          </cell>
          <cell r="AY440">
            <v>0</v>
          </cell>
          <cell r="AZ440">
            <v>0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>
            <v>0</v>
          </cell>
          <cell r="BN440">
            <v>1</v>
          </cell>
          <cell r="BO440">
            <v>0</v>
          </cell>
          <cell r="BP440">
            <v>1</v>
          </cell>
          <cell r="BQ440">
            <v>12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V440">
            <v>0</v>
          </cell>
          <cell r="BW440">
            <v>0</v>
          </cell>
          <cell r="BX440">
            <v>0</v>
          </cell>
          <cell r="BY440">
            <v>0</v>
          </cell>
          <cell r="BZ440">
            <v>2</v>
          </cell>
        </row>
        <row r="441">
          <cell r="A441" t="str">
            <v>4332</v>
          </cell>
          <cell r="B441">
            <v>433</v>
          </cell>
          <cell r="C441" t="str">
            <v>4332</v>
          </cell>
          <cell r="D441">
            <v>433</v>
          </cell>
          <cell r="E441">
            <v>433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2</v>
          </cell>
          <cell r="Q441">
            <v>2</v>
          </cell>
          <cell r="R441">
            <v>12</v>
          </cell>
          <cell r="S441">
            <v>12</v>
          </cell>
          <cell r="T441" t="str">
            <v>01</v>
          </cell>
          <cell r="U441">
            <v>12</v>
          </cell>
          <cell r="V441">
            <v>12</v>
          </cell>
          <cell r="W441" t="str">
            <v xml:space="preserve"> 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67500000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  <cell r="BM441">
            <v>0</v>
          </cell>
          <cell r="BN441">
            <v>1</v>
          </cell>
          <cell r="BO441">
            <v>0</v>
          </cell>
          <cell r="BP441">
            <v>1</v>
          </cell>
          <cell r="BQ441">
            <v>12</v>
          </cell>
          <cell r="BR441">
            <v>0</v>
          </cell>
          <cell r="BS441">
            <v>0</v>
          </cell>
          <cell r="BT441">
            <v>0</v>
          </cell>
          <cell r="BU441">
            <v>0</v>
          </cell>
          <cell r="BV441">
            <v>0</v>
          </cell>
          <cell r="BW441">
            <v>0</v>
          </cell>
          <cell r="BX441">
            <v>0</v>
          </cell>
          <cell r="BY441">
            <v>0</v>
          </cell>
          <cell r="BZ441">
            <v>2</v>
          </cell>
        </row>
        <row r="442">
          <cell r="A442" t="str">
            <v>4342</v>
          </cell>
          <cell r="B442">
            <v>434</v>
          </cell>
          <cell r="C442" t="str">
            <v>4342</v>
          </cell>
          <cell r="D442">
            <v>434</v>
          </cell>
          <cell r="E442">
            <v>434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2</v>
          </cell>
          <cell r="Q442">
            <v>2</v>
          </cell>
          <cell r="R442">
            <v>12</v>
          </cell>
          <cell r="S442">
            <v>12</v>
          </cell>
          <cell r="T442" t="str">
            <v>01</v>
          </cell>
          <cell r="U442">
            <v>12</v>
          </cell>
          <cell r="V442">
            <v>12</v>
          </cell>
          <cell r="W442" t="str">
            <v xml:space="preserve"> 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67500000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1</v>
          </cell>
          <cell r="BO442">
            <v>0</v>
          </cell>
          <cell r="BP442">
            <v>1</v>
          </cell>
          <cell r="BQ442">
            <v>12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V442">
            <v>0</v>
          </cell>
          <cell r="BW442">
            <v>0</v>
          </cell>
          <cell r="BX442">
            <v>0</v>
          </cell>
          <cell r="BY442">
            <v>0</v>
          </cell>
          <cell r="BZ442">
            <v>2</v>
          </cell>
        </row>
        <row r="443">
          <cell r="A443" t="str">
            <v>4352</v>
          </cell>
          <cell r="B443">
            <v>435</v>
          </cell>
          <cell r="C443" t="str">
            <v>4352</v>
          </cell>
          <cell r="D443">
            <v>435</v>
          </cell>
          <cell r="E443">
            <v>435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2</v>
          </cell>
          <cell r="Q443">
            <v>2</v>
          </cell>
          <cell r="R443">
            <v>12</v>
          </cell>
          <cell r="S443">
            <v>12</v>
          </cell>
          <cell r="T443" t="str">
            <v>01</v>
          </cell>
          <cell r="U443">
            <v>12</v>
          </cell>
          <cell r="V443">
            <v>12</v>
          </cell>
          <cell r="W443" t="str">
            <v xml:space="preserve"> 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67500000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1</v>
          </cell>
          <cell r="BO443">
            <v>0</v>
          </cell>
          <cell r="BP443">
            <v>1</v>
          </cell>
          <cell r="BQ443">
            <v>12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V443">
            <v>0</v>
          </cell>
          <cell r="BW443">
            <v>0</v>
          </cell>
          <cell r="BX443">
            <v>0</v>
          </cell>
          <cell r="BY443">
            <v>0</v>
          </cell>
          <cell r="BZ443">
            <v>2</v>
          </cell>
        </row>
        <row r="444">
          <cell r="A444" t="str">
            <v>4362</v>
          </cell>
          <cell r="B444">
            <v>436</v>
          </cell>
          <cell r="C444" t="str">
            <v>4362</v>
          </cell>
          <cell r="D444">
            <v>436</v>
          </cell>
          <cell r="E444">
            <v>436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2</v>
          </cell>
          <cell r="Q444">
            <v>2</v>
          </cell>
          <cell r="R444">
            <v>12</v>
          </cell>
          <cell r="S444">
            <v>12</v>
          </cell>
          <cell r="T444" t="str">
            <v>01</v>
          </cell>
          <cell r="U444">
            <v>12</v>
          </cell>
          <cell r="V444">
            <v>12</v>
          </cell>
          <cell r="W444" t="str">
            <v xml:space="preserve"> 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67500000</v>
          </cell>
          <cell r="AW444">
            <v>0</v>
          </cell>
          <cell r="AX444">
            <v>0</v>
          </cell>
          <cell r="AY444">
            <v>0</v>
          </cell>
          <cell r="AZ444">
            <v>0</v>
          </cell>
          <cell r="BA444">
            <v>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1</v>
          </cell>
          <cell r="BO444">
            <v>0</v>
          </cell>
          <cell r="BP444">
            <v>1</v>
          </cell>
          <cell r="BQ444">
            <v>12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V444">
            <v>0</v>
          </cell>
          <cell r="BW444">
            <v>0</v>
          </cell>
          <cell r="BX444">
            <v>0</v>
          </cell>
          <cell r="BY444">
            <v>0</v>
          </cell>
          <cell r="BZ444">
            <v>2</v>
          </cell>
        </row>
        <row r="445">
          <cell r="A445" t="str">
            <v>4372</v>
          </cell>
          <cell r="B445">
            <v>437</v>
          </cell>
          <cell r="C445" t="str">
            <v>4372</v>
          </cell>
          <cell r="D445">
            <v>437</v>
          </cell>
          <cell r="E445">
            <v>437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2</v>
          </cell>
          <cell r="Q445">
            <v>2</v>
          </cell>
          <cell r="R445">
            <v>12</v>
          </cell>
          <cell r="S445">
            <v>12</v>
          </cell>
          <cell r="T445" t="str">
            <v>01</v>
          </cell>
          <cell r="U445">
            <v>12</v>
          </cell>
          <cell r="V445">
            <v>12</v>
          </cell>
          <cell r="W445" t="str">
            <v xml:space="preserve"> 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67500000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  <cell r="BN445">
            <v>1</v>
          </cell>
          <cell r="BO445">
            <v>0</v>
          </cell>
          <cell r="BP445">
            <v>1</v>
          </cell>
          <cell r="BQ445">
            <v>12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V445">
            <v>0</v>
          </cell>
          <cell r="BW445">
            <v>0</v>
          </cell>
          <cell r="BX445">
            <v>0</v>
          </cell>
          <cell r="BY445">
            <v>0</v>
          </cell>
          <cell r="BZ445">
            <v>2</v>
          </cell>
        </row>
        <row r="446">
          <cell r="A446" t="str">
            <v>4382</v>
          </cell>
          <cell r="B446">
            <v>438</v>
          </cell>
          <cell r="C446" t="str">
            <v>4382</v>
          </cell>
          <cell r="D446">
            <v>438</v>
          </cell>
          <cell r="E446">
            <v>438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2</v>
          </cell>
          <cell r="Q446">
            <v>2</v>
          </cell>
          <cell r="R446">
            <v>12</v>
          </cell>
          <cell r="S446">
            <v>12</v>
          </cell>
          <cell r="T446" t="str">
            <v>01</v>
          </cell>
          <cell r="U446">
            <v>12</v>
          </cell>
          <cell r="V446">
            <v>12</v>
          </cell>
          <cell r="W446" t="str">
            <v xml:space="preserve"> 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67500000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J446">
            <v>0</v>
          </cell>
          <cell r="BK446">
            <v>0</v>
          </cell>
          <cell r="BL446">
            <v>0</v>
          </cell>
          <cell r="BM446">
            <v>0</v>
          </cell>
          <cell r="BN446">
            <v>1</v>
          </cell>
          <cell r="BO446">
            <v>0</v>
          </cell>
          <cell r="BP446">
            <v>1</v>
          </cell>
          <cell r="BQ446">
            <v>12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V446">
            <v>0</v>
          </cell>
          <cell r="BW446">
            <v>0</v>
          </cell>
          <cell r="BX446">
            <v>0</v>
          </cell>
          <cell r="BY446">
            <v>0</v>
          </cell>
          <cell r="BZ446">
            <v>2</v>
          </cell>
        </row>
        <row r="447">
          <cell r="A447" t="str">
            <v>4392</v>
          </cell>
          <cell r="B447">
            <v>439</v>
          </cell>
          <cell r="C447" t="str">
            <v>4392</v>
          </cell>
          <cell r="D447">
            <v>439</v>
          </cell>
          <cell r="E447">
            <v>439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2</v>
          </cell>
          <cell r="Q447">
            <v>2</v>
          </cell>
          <cell r="R447">
            <v>12</v>
          </cell>
          <cell r="S447">
            <v>12</v>
          </cell>
          <cell r="T447" t="str">
            <v>01</v>
          </cell>
          <cell r="U447">
            <v>12</v>
          </cell>
          <cell r="V447">
            <v>12</v>
          </cell>
          <cell r="W447" t="str">
            <v xml:space="preserve"> 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67500000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  <cell r="BA447">
            <v>0</v>
          </cell>
          <cell r="BB447">
            <v>0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>
            <v>0</v>
          </cell>
          <cell r="BJ447">
            <v>0</v>
          </cell>
          <cell r="BK447">
            <v>0</v>
          </cell>
          <cell r="BL447">
            <v>0</v>
          </cell>
          <cell r="BM447">
            <v>0</v>
          </cell>
          <cell r="BN447">
            <v>1</v>
          </cell>
          <cell r="BO447">
            <v>0</v>
          </cell>
          <cell r="BP447">
            <v>1</v>
          </cell>
          <cell r="BQ447">
            <v>12</v>
          </cell>
          <cell r="BR447">
            <v>0</v>
          </cell>
          <cell r="BS447">
            <v>0</v>
          </cell>
          <cell r="BT447">
            <v>0</v>
          </cell>
          <cell r="BU447">
            <v>0</v>
          </cell>
          <cell r="BV447">
            <v>0</v>
          </cell>
          <cell r="BW447">
            <v>0</v>
          </cell>
          <cell r="BX447">
            <v>0</v>
          </cell>
          <cell r="BY447">
            <v>0</v>
          </cell>
          <cell r="BZ447">
            <v>2</v>
          </cell>
        </row>
        <row r="448">
          <cell r="A448" t="str">
            <v>4402</v>
          </cell>
          <cell r="B448">
            <v>440</v>
          </cell>
          <cell r="C448" t="str">
            <v>4402</v>
          </cell>
          <cell r="D448">
            <v>440</v>
          </cell>
          <cell r="E448">
            <v>440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2</v>
          </cell>
          <cell r="Q448">
            <v>2</v>
          </cell>
          <cell r="R448">
            <v>12</v>
          </cell>
          <cell r="S448">
            <v>12</v>
          </cell>
          <cell r="T448" t="str">
            <v>01</v>
          </cell>
          <cell r="U448">
            <v>12</v>
          </cell>
          <cell r="V448">
            <v>12</v>
          </cell>
          <cell r="W448" t="str">
            <v xml:space="preserve"> 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67500000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>
            <v>0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>
            <v>0</v>
          </cell>
          <cell r="BJ448">
            <v>0</v>
          </cell>
          <cell r="BK448">
            <v>0</v>
          </cell>
          <cell r="BL448">
            <v>0</v>
          </cell>
          <cell r="BM448">
            <v>0</v>
          </cell>
          <cell r="BN448">
            <v>1</v>
          </cell>
          <cell r="BO448">
            <v>0</v>
          </cell>
          <cell r="BP448">
            <v>1</v>
          </cell>
          <cell r="BQ448">
            <v>12</v>
          </cell>
          <cell r="BR448">
            <v>0</v>
          </cell>
          <cell r="BS448">
            <v>0</v>
          </cell>
          <cell r="BT448">
            <v>0</v>
          </cell>
          <cell r="BU448">
            <v>0</v>
          </cell>
          <cell r="BV448">
            <v>0</v>
          </cell>
          <cell r="BW448">
            <v>0</v>
          </cell>
          <cell r="BX448">
            <v>0</v>
          </cell>
          <cell r="BY448">
            <v>0</v>
          </cell>
          <cell r="BZ448">
            <v>2</v>
          </cell>
        </row>
        <row r="449">
          <cell r="A449" t="str">
            <v>4412</v>
          </cell>
          <cell r="B449">
            <v>441</v>
          </cell>
          <cell r="C449" t="str">
            <v>4412</v>
          </cell>
          <cell r="D449">
            <v>441</v>
          </cell>
          <cell r="E449">
            <v>441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2</v>
          </cell>
          <cell r="Q449">
            <v>2</v>
          </cell>
          <cell r="R449">
            <v>12</v>
          </cell>
          <cell r="S449">
            <v>12</v>
          </cell>
          <cell r="T449" t="str">
            <v>01</v>
          </cell>
          <cell r="U449">
            <v>12</v>
          </cell>
          <cell r="V449">
            <v>12</v>
          </cell>
          <cell r="W449" t="str">
            <v xml:space="preserve"> 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67500000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0</v>
          </cell>
          <cell r="BJ449">
            <v>0</v>
          </cell>
          <cell r="BK449">
            <v>0</v>
          </cell>
          <cell r="BL449">
            <v>0</v>
          </cell>
          <cell r="BM449">
            <v>0</v>
          </cell>
          <cell r="BN449">
            <v>1</v>
          </cell>
          <cell r="BO449">
            <v>0</v>
          </cell>
          <cell r="BP449">
            <v>1</v>
          </cell>
          <cell r="BQ449">
            <v>12</v>
          </cell>
          <cell r="BR449">
            <v>0</v>
          </cell>
          <cell r="BS449">
            <v>0</v>
          </cell>
          <cell r="BT449">
            <v>0</v>
          </cell>
          <cell r="BU449">
            <v>0</v>
          </cell>
          <cell r="BV449">
            <v>0</v>
          </cell>
          <cell r="BW449">
            <v>0</v>
          </cell>
          <cell r="BX449">
            <v>0</v>
          </cell>
          <cell r="BY449">
            <v>0</v>
          </cell>
          <cell r="BZ449">
            <v>2</v>
          </cell>
        </row>
        <row r="450">
          <cell r="A450" t="str">
            <v>4422</v>
          </cell>
          <cell r="B450">
            <v>442</v>
          </cell>
          <cell r="C450" t="str">
            <v>4422</v>
          </cell>
          <cell r="D450">
            <v>442</v>
          </cell>
          <cell r="E450">
            <v>442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2</v>
          </cell>
          <cell r="Q450">
            <v>2</v>
          </cell>
          <cell r="R450">
            <v>12</v>
          </cell>
          <cell r="S450">
            <v>12</v>
          </cell>
          <cell r="T450" t="str">
            <v>01</v>
          </cell>
          <cell r="U450">
            <v>12</v>
          </cell>
          <cell r="V450">
            <v>12</v>
          </cell>
          <cell r="W450" t="str">
            <v xml:space="preserve"> 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67500000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  <cell r="BK450">
            <v>0</v>
          </cell>
          <cell r="BL450">
            <v>0</v>
          </cell>
          <cell r="BM450">
            <v>0</v>
          </cell>
          <cell r="BN450">
            <v>1</v>
          </cell>
          <cell r="BO450">
            <v>0</v>
          </cell>
          <cell r="BP450">
            <v>1</v>
          </cell>
          <cell r="BQ450">
            <v>12</v>
          </cell>
          <cell r="BR450">
            <v>0</v>
          </cell>
          <cell r="BS450">
            <v>0</v>
          </cell>
          <cell r="BT450">
            <v>0</v>
          </cell>
          <cell r="BU450">
            <v>0</v>
          </cell>
          <cell r="BV450">
            <v>0</v>
          </cell>
          <cell r="BW450">
            <v>0</v>
          </cell>
          <cell r="BX450">
            <v>0</v>
          </cell>
          <cell r="BY450">
            <v>0</v>
          </cell>
          <cell r="BZ450">
            <v>2</v>
          </cell>
        </row>
        <row r="451">
          <cell r="A451" t="str">
            <v>4432</v>
          </cell>
          <cell r="B451">
            <v>443</v>
          </cell>
          <cell r="C451" t="str">
            <v>4432</v>
          </cell>
          <cell r="D451">
            <v>443</v>
          </cell>
          <cell r="E451">
            <v>443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2</v>
          </cell>
          <cell r="Q451">
            <v>2</v>
          </cell>
          <cell r="R451">
            <v>12</v>
          </cell>
          <cell r="S451">
            <v>12</v>
          </cell>
          <cell r="T451" t="str">
            <v>01</v>
          </cell>
          <cell r="U451">
            <v>12</v>
          </cell>
          <cell r="V451">
            <v>12</v>
          </cell>
          <cell r="W451" t="str">
            <v xml:space="preserve"> 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67500000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1</v>
          </cell>
          <cell r="BO451">
            <v>0</v>
          </cell>
          <cell r="BP451">
            <v>1</v>
          </cell>
          <cell r="BQ451">
            <v>12</v>
          </cell>
          <cell r="BR451">
            <v>0</v>
          </cell>
          <cell r="BS451">
            <v>0</v>
          </cell>
          <cell r="BT451">
            <v>0</v>
          </cell>
          <cell r="BU451">
            <v>0</v>
          </cell>
          <cell r="BV451">
            <v>0</v>
          </cell>
          <cell r="BW451">
            <v>0</v>
          </cell>
          <cell r="BX451">
            <v>0</v>
          </cell>
          <cell r="BY451">
            <v>0</v>
          </cell>
          <cell r="BZ451">
            <v>2</v>
          </cell>
        </row>
        <row r="452">
          <cell r="A452" t="str">
            <v>4442</v>
          </cell>
          <cell r="B452">
            <v>444</v>
          </cell>
          <cell r="C452" t="str">
            <v>4442</v>
          </cell>
          <cell r="D452">
            <v>444</v>
          </cell>
          <cell r="E452">
            <v>444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2</v>
          </cell>
          <cell r="Q452">
            <v>2</v>
          </cell>
          <cell r="R452">
            <v>12</v>
          </cell>
          <cell r="S452">
            <v>12</v>
          </cell>
          <cell r="T452" t="str">
            <v>01</v>
          </cell>
          <cell r="U452">
            <v>12</v>
          </cell>
          <cell r="V452">
            <v>12</v>
          </cell>
          <cell r="W452" t="str">
            <v xml:space="preserve"> 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67500000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  <cell r="BK452">
            <v>0</v>
          </cell>
          <cell r="BL452">
            <v>0</v>
          </cell>
          <cell r="BM452">
            <v>0</v>
          </cell>
          <cell r="BN452">
            <v>1</v>
          </cell>
          <cell r="BO452">
            <v>0</v>
          </cell>
          <cell r="BP452">
            <v>1</v>
          </cell>
          <cell r="BQ452">
            <v>12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V452">
            <v>0</v>
          </cell>
          <cell r="BW452">
            <v>0</v>
          </cell>
          <cell r="BX452">
            <v>0</v>
          </cell>
          <cell r="BY452">
            <v>0</v>
          </cell>
          <cell r="BZ452">
            <v>2</v>
          </cell>
        </row>
        <row r="453">
          <cell r="A453" t="str">
            <v>4452</v>
          </cell>
          <cell r="B453">
            <v>445</v>
          </cell>
          <cell r="C453" t="str">
            <v>4452</v>
          </cell>
          <cell r="D453">
            <v>445</v>
          </cell>
          <cell r="E453">
            <v>445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2</v>
          </cell>
          <cell r="Q453">
            <v>2</v>
          </cell>
          <cell r="R453">
            <v>12</v>
          </cell>
          <cell r="S453">
            <v>12</v>
          </cell>
          <cell r="T453" t="str">
            <v>01</v>
          </cell>
          <cell r="U453">
            <v>12</v>
          </cell>
          <cell r="V453">
            <v>12</v>
          </cell>
          <cell r="W453" t="str">
            <v xml:space="preserve"> 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67500000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J453">
            <v>0</v>
          </cell>
          <cell r="BK453">
            <v>0</v>
          </cell>
          <cell r="BL453">
            <v>0</v>
          </cell>
          <cell r="BM453">
            <v>0</v>
          </cell>
          <cell r="BN453">
            <v>1</v>
          </cell>
          <cell r="BO453">
            <v>0</v>
          </cell>
          <cell r="BP453">
            <v>1</v>
          </cell>
          <cell r="BQ453">
            <v>12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V453">
            <v>0</v>
          </cell>
          <cell r="BW453">
            <v>0</v>
          </cell>
          <cell r="BX453">
            <v>0</v>
          </cell>
          <cell r="BY453">
            <v>0</v>
          </cell>
          <cell r="BZ453">
            <v>2</v>
          </cell>
        </row>
        <row r="454">
          <cell r="A454" t="str">
            <v>4462</v>
          </cell>
          <cell r="B454">
            <v>446</v>
          </cell>
          <cell r="C454" t="str">
            <v>4462</v>
          </cell>
          <cell r="D454">
            <v>446</v>
          </cell>
          <cell r="E454">
            <v>446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2</v>
          </cell>
          <cell r="Q454">
            <v>2</v>
          </cell>
          <cell r="R454">
            <v>12</v>
          </cell>
          <cell r="S454">
            <v>12</v>
          </cell>
          <cell r="T454" t="str">
            <v>01</v>
          </cell>
          <cell r="U454">
            <v>12</v>
          </cell>
          <cell r="V454">
            <v>12</v>
          </cell>
          <cell r="W454" t="str">
            <v xml:space="preserve"> 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67500000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J454">
            <v>0</v>
          </cell>
          <cell r="BK454">
            <v>0</v>
          </cell>
          <cell r="BL454">
            <v>0</v>
          </cell>
          <cell r="BM454">
            <v>0</v>
          </cell>
          <cell r="BN454">
            <v>1</v>
          </cell>
          <cell r="BO454">
            <v>0</v>
          </cell>
          <cell r="BP454">
            <v>1</v>
          </cell>
          <cell r="BQ454">
            <v>12</v>
          </cell>
          <cell r="BR454">
            <v>0</v>
          </cell>
          <cell r="BS454">
            <v>0</v>
          </cell>
          <cell r="BT454">
            <v>0</v>
          </cell>
          <cell r="BU454">
            <v>0</v>
          </cell>
          <cell r="BV454">
            <v>0</v>
          </cell>
          <cell r="BW454">
            <v>0</v>
          </cell>
          <cell r="BX454">
            <v>0</v>
          </cell>
          <cell r="BY454">
            <v>0</v>
          </cell>
          <cell r="BZ454">
            <v>2</v>
          </cell>
        </row>
        <row r="455">
          <cell r="A455" t="str">
            <v>4472</v>
          </cell>
          <cell r="B455">
            <v>447</v>
          </cell>
          <cell r="C455" t="str">
            <v>4472</v>
          </cell>
          <cell r="D455">
            <v>447</v>
          </cell>
          <cell r="E455">
            <v>447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2</v>
          </cell>
          <cell r="Q455">
            <v>2</v>
          </cell>
          <cell r="R455">
            <v>12</v>
          </cell>
          <cell r="S455">
            <v>12</v>
          </cell>
          <cell r="T455" t="str">
            <v>01</v>
          </cell>
          <cell r="U455">
            <v>12</v>
          </cell>
          <cell r="V455">
            <v>12</v>
          </cell>
          <cell r="W455" t="str">
            <v xml:space="preserve"> 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67500000</v>
          </cell>
          <cell r="AW455">
            <v>0</v>
          </cell>
          <cell r="AX455">
            <v>0</v>
          </cell>
          <cell r="AY455">
            <v>0</v>
          </cell>
          <cell r="AZ455">
            <v>0</v>
          </cell>
          <cell r="BA455">
            <v>0</v>
          </cell>
          <cell r="BB455">
            <v>0</v>
          </cell>
          <cell r="BC455">
            <v>0</v>
          </cell>
          <cell r="BD455">
            <v>0</v>
          </cell>
          <cell r="BE455">
            <v>0</v>
          </cell>
          <cell r="BF455">
            <v>0</v>
          </cell>
          <cell r="BG455">
            <v>0</v>
          </cell>
          <cell r="BH455">
            <v>0</v>
          </cell>
          <cell r="BI455">
            <v>0</v>
          </cell>
          <cell r="BJ455">
            <v>0</v>
          </cell>
          <cell r="BK455">
            <v>0</v>
          </cell>
          <cell r="BL455">
            <v>0</v>
          </cell>
          <cell r="BM455">
            <v>0</v>
          </cell>
          <cell r="BN455">
            <v>1</v>
          </cell>
          <cell r="BO455">
            <v>0</v>
          </cell>
          <cell r="BP455">
            <v>1</v>
          </cell>
          <cell r="BQ455">
            <v>12</v>
          </cell>
          <cell r="BR455">
            <v>0</v>
          </cell>
          <cell r="BS455">
            <v>0</v>
          </cell>
          <cell r="BT455">
            <v>0</v>
          </cell>
          <cell r="BU455">
            <v>0</v>
          </cell>
          <cell r="BV455">
            <v>0</v>
          </cell>
          <cell r="BW455">
            <v>0</v>
          </cell>
          <cell r="BX455">
            <v>0</v>
          </cell>
          <cell r="BY455">
            <v>0</v>
          </cell>
          <cell r="BZ455">
            <v>2</v>
          </cell>
        </row>
        <row r="456">
          <cell r="A456" t="str">
            <v>4482</v>
          </cell>
          <cell r="B456">
            <v>448</v>
          </cell>
          <cell r="C456" t="str">
            <v>4482</v>
          </cell>
          <cell r="D456">
            <v>448</v>
          </cell>
          <cell r="E456">
            <v>448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2</v>
          </cell>
          <cell r="Q456">
            <v>2</v>
          </cell>
          <cell r="R456">
            <v>12</v>
          </cell>
          <cell r="S456">
            <v>12</v>
          </cell>
          <cell r="T456" t="str">
            <v>01</v>
          </cell>
          <cell r="U456">
            <v>12</v>
          </cell>
          <cell r="V456">
            <v>12</v>
          </cell>
          <cell r="W456" t="str">
            <v xml:space="preserve"> 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67500000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  <cell r="BK456">
            <v>0</v>
          </cell>
          <cell r="BL456">
            <v>0</v>
          </cell>
          <cell r="BM456">
            <v>0</v>
          </cell>
          <cell r="BN456">
            <v>1</v>
          </cell>
          <cell r="BO456">
            <v>0</v>
          </cell>
          <cell r="BP456">
            <v>1</v>
          </cell>
          <cell r="BQ456">
            <v>12</v>
          </cell>
          <cell r="BR456">
            <v>0</v>
          </cell>
          <cell r="BS456">
            <v>0</v>
          </cell>
          <cell r="BT456">
            <v>0</v>
          </cell>
          <cell r="BU456">
            <v>0</v>
          </cell>
          <cell r="BV456">
            <v>0</v>
          </cell>
          <cell r="BW456">
            <v>0</v>
          </cell>
          <cell r="BX456">
            <v>0</v>
          </cell>
          <cell r="BY456">
            <v>0</v>
          </cell>
          <cell r="BZ456">
            <v>2</v>
          </cell>
        </row>
        <row r="457">
          <cell r="A457" t="str">
            <v>4492</v>
          </cell>
          <cell r="B457">
            <v>449</v>
          </cell>
          <cell r="C457" t="str">
            <v>4492</v>
          </cell>
          <cell r="D457">
            <v>449</v>
          </cell>
          <cell r="E457">
            <v>449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2</v>
          </cell>
          <cell r="Q457">
            <v>2</v>
          </cell>
          <cell r="R457">
            <v>12</v>
          </cell>
          <cell r="S457">
            <v>12</v>
          </cell>
          <cell r="T457" t="str">
            <v>01</v>
          </cell>
          <cell r="U457">
            <v>12</v>
          </cell>
          <cell r="V457">
            <v>12</v>
          </cell>
          <cell r="W457" t="str">
            <v xml:space="preserve"> 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67500000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>
            <v>0</v>
          </cell>
          <cell r="BH457">
            <v>0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0</v>
          </cell>
          <cell r="BN457">
            <v>1</v>
          </cell>
          <cell r="BO457">
            <v>0</v>
          </cell>
          <cell r="BP457">
            <v>1</v>
          </cell>
          <cell r="BQ457">
            <v>12</v>
          </cell>
          <cell r="BR457">
            <v>0</v>
          </cell>
          <cell r="BS457">
            <v>0</v>
          </cell>
          <cell r="BT457">
            <v>0</v>
          </cell>
          <cell r="BU457">
            <v>0</v>
          </cell>
          <cell r="BV457">
            <v>0</v>
          </cell>
          <cell r="BW457">
            <v>0</v>
          </cell>
          <cell r="BX457">
            <v>0</v>
          </cell>
          <cell r="BY457">
            <v>0</v>
          </cell>
          <cell r="BZ457">
            <v>2</v>
          </cell>
        </row>
        <row r="458">
          <cell r="A458" t="str">
            <v>4502</v>
          </cell>
          <cell r="B458">
            <v>450</v>
          </cell>
          <cell r="C458" t="str">
            <v>4502</v>
          </cell>
          <cell r="D458">
            <v>450</v>
          </cell>
          <cell r="E458">
            <v>450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2</v>
          </cell>
          <cell r="Q458">
            <v>2</v>
          </cell>
          <cell r="R458">
            <v>12</v>
          </cell>
          <cell r="S458">
            <v>12</v>
          </cell>
          <cell r="T458" t="str">
            <v>01</v>
          </cell>
          <cell r="U458">
            <v>12</v>
          </cell>
          <cell r="V458">
            <v>12</v>
          </cell>
          <cell r="W458" t="str">
            <v xml:space="preserve"> 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67500000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  <cell r="BK458">
            <v>0</v>
          </cell>
          <cell r="BL458">
            <v>0</v>
          </cell>
          <cell r="BM458">
            <v>0</v>
          </cell>
          <cell r="BN458">
            <v>1</v>
          </cell>
          <cell r="BO458">
            <v>0</v>
          </cell>
          <cell r="BP458">
            <v>1</v>
          </cell>
          <cell r="BQ458">
            <v>12</v>
          </cell>
          <cell r="BR458">
            <v>0</v>
          </cell>
          <cell r="BS458">
            <v>0</v>
          </cell>
          <cell r="BT458">
            <v>0</v>
          </cell>
          <cell r="BU458">
            <v>0</v>
          </cell>
          <cell r="BV458">
            <v>0</v>
          </cell>
          <cell r="BW458">
            <v>0</v>
          </cell>
          <cell r="BX458">
            <v>0</v>
          </cell>
          <cell r="BY458">
            <v>0</v>
          </cell>
          <cell r="BZ458">
            <v>2</v>
          </cell>
        </row>
        <row r="459">
          <cell r="A459" t="str">
            <v>4512</v>
          </cell>
          <cell r="B459">
            <v>451</v>
          </cell>
          <cell r="C459" t="str">
            <v>4512</v>
          </cell>
          <cell r="D459">
            <v>451</v>
          </cell>
          <cell r="E459">
            <v>451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2</v>
          </cell>
          <cell r="Q459">
            <v>2</v>
          </cell>
          <cell r="R459">
            <v>12</v>
          </cell>
          <cell r="S459">
            <v>12</v>
          </cell>
          <cell r="T459" t="str">
            <v>01</v>
          </cell>
          <cell r="U459">
            <v>12</v>
          </cell>
          <cell r="V459">
            <v>12</v>
          </cell>
          <cell r="W459" t="str">
            <v xml:space="preserve"> 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67500000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1</v>
          </cell>
          <cell r="BO459">
            <v>0</v>
          </cell>
          <cell r="BP459">
            <v>1</v>
          </cell>
          <cell r="BQ459">
            <v>12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V459">
            <v>0</v>
          </cell>
          <cell r="BW459">
            <v>0</v>
          </cell>
          <cell r="BX459">
            <v>0</v>
          </cell>
          <cell r="BY459">
            <v>0</v>
          </cell>
          <cell r="BZ459">
            <v>2</v>
          </cell>
        </row>
        <row r="460">
          <cell r="A460" t="str">
            <v>4522</v>
          </cell>
          <cell r="B460">
            <v>452</v>
          </cell>
          <cell r="C460" t="str">
            <v>4522</v>
          </cell>
          <cell r="D460">
            <v>452</v>
          </cell>
          <cell r="E460">
            <v>452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2</v>
          </cell>
          <cell r="Q460">
            <v>2</v>
          </cell>
          <cell r="R460">
            <v>12</v>
          </cell>
          <cell r="S460">
            <v>12</v>
          </cell>
          <cell r="T460" t="str">
            <v>01</v>
          </cell>
          <cell r="U460">
            <v>12</v>
          </cell>
          <cell r="V460">
            <v>12</v>
          </cell>
          <cell r="W460" t="str">
            <v xml:space="preserve"> 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67500000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0</v>
          </cell>
          <cell r="BN460">
            <v>1</v>
          </cell>
          <cell r="BO460">
            <v>0</v>
          </cell>
          <cell r="BP460">
            <v>1</v>
          </cell>
          <cell r="BQ460">
            <v>12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V460">
            <v>0</v>
          </cell>
          <cell r="BW460">
            <v>0</v>
          </cell>
          <cell r="BX460">
            <v>0</v>
          </cell>
          <cell r="BY460">
            <v>0</v>
          </cell>
          <cell r="BZ460">
            <v>2</v>
          </cell>
        </row>
        <row r="461">
          <cell r="A461" t="str">
            <v>4532</v>
          </cell>
          <cell r="B461">
            <v>453</v>
          </cell>
          <cell r="C461" t="str">
            <v>4532</v>
          </cell>
          <cell r="D461">
            <v>453</v>
          </cell>
          <cell r="E461">
            <v>453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2</v>
          </cell>
          <cell r="Q461">
            <v>2</v>
          </cell>
          <cell r="R461">
            <v>12</v>
          </cell>
          <cell r="S461">
            <v>12</v>
          </cell>
          <cell r="T461" t="str">
            <v>01</v>
          </cell>
          <cell r="U461">
            <v>12</v>
          </cell>
          <cell r="V461">
            <v>12</v>
          </cell>
          <cell r="W461" t="str">
            <v xml:space="preserve"> 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67500000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1</v>
          </cell>
          <cell r="BO461">
            <v>0</v>
          </cell>
          <cell r="BP461">
            <v>1</v>
          </cell>
          <cell r="BQ461">
            <v>12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V461">
            <v>0</v>
          </cell>
          <cell r="BW461">
            <v>0</v>
          </cell>
          <cell r="BX461">
            <v>0</v>
          </cell>
          <cell r="BY461">
            <v>0</v>
          </cell>
          <cell r="BZ461">
            <v>2</v>
          </cell>
        </row>
        <row r="462">
          <cell r="A462" t="str">
            <v>4542</v>
          </cell>
          <cell r="B462">
            <v>454</v>
          </cell>
          <cell r="C462" t="str">
            <v>4542</v>
          </cell>
          <cell r="D462">
            <v>454</v>
          </cell>
          <cell r="E462">
            <v>454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2</v>
          </cell>
          <cell r="Q462">
            <v>2</v>
          </cell>
          <cell r="R462">
            <v>12</v>
          </cell>
          <cell r="S462">
            <v>12</v>
          </cell>
          <cell r="T462" t="str">
            <v>01</v>
          </cell>
          <cell r="U462">
            <v>12</v>
          </cell>
          <cell r="V462">
            <v>12</v>
          </cell>
          <cell r="W462" t="str">
            <v xml:space="preserve"> 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67500000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1</v>
          </cell>
          <cell r="BO462">
            <v>0</v>
          </cell>
          <cell r="BP462">
            <v>1</v>
          </cell>
          <cell r="BQ462">
            <v>12</v>
          </cell>
          <cell r="BR462">
            <v>0</v>
          </cell>
          <cell r="BS462">
            <v>0</v>
          </cell>
          <cell r="BT462">
            <v>0</v>
          </cell>
          <cell r="BU462">
            <v>0</v>
          </cell>
          <cell r="BV462">
            <v>0</v>
          </cell>
          <cell r="BW462">
            <v>0</v>
          </cell>
          <cell r="BX462">
            <v>0</v>
          </cell>
          <cell r="BY462">
            <v>0</v>
          </cell>
          <cell r="BZ462">
            <v>2</v>
          </cell>
        </row>
        <row r="463">
          <cell r="A463" t="str">
            <v>4552</v>
          </cell>
          <cell r="B463">
            <v>455</v>
          </cell>
          <cell r="C463" t="str">
            <v>4552</v>
          </cell>
          <cell r="D463">
            <v>455</v>
          </cell>
          <cell r="E463">
            <v>455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2</v>
          </cell>
          <cell r="Q463">
            <v>2</v>
          </cell>
          <cell r="R463">
            <v>12</v>
          </cell>
          <cell r="S463">
            <v>12</v>
          </cell>
          <cell r="T463" t="str">
            <v>01</v>
          </cell>
          <cell r="U463">
            <v>12</v>
          </cell>
          <cell r="V463">
            <v>12</v>
          </cell>
          <cell r="W463" t="str">
            <v xml:space="preserve"> 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67500000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>
            <v>0</v>
          </cell>
          <cell r="BJ463">
            <v>0</v>
          </cell>
          <cell r="BK463">
            <v>0</v>
          </cell>
          <cell r="BL463">
            <v>0</v>
          </cell>
          <cell r="BM463">
            <v>0</v>
          </cell>
          <cell r="BN463">
            <v>1</v>
          </cell>
          <cell r="BO463">
            <v>0</v>
          </cell>
          <cell r="BP463">
            <v>1</v>
          </cell>
          <cell r="BQ463">
            <v>12</v>
          </cell>
          <cell r="BR463">
            <v>0</v>
          </cell>
          <cell r="BS463">
            <v>0</v>
          </cell>
          <cell r="BT463">
            <v>0</v>
          </cell>
          <cell r="BU463">
            <v>0</v>
          </cell>
          <cell r="BV463">
            <v>0</v>
          </cell>
          <cell r="BW463">
            <v>0</v>
          </cell>
          <cell r="BX463">
            <v>0</v>
          </cell>
          <cell r="BY463">
            <v>0</v>
          </cell>
          <cell r="BZ463">
            <v>2</v>
          </cell>
        </row>
        <row r="464">
          <cell r="A464" t="str">
            <v>4562</v>
          </cell>
          <cell r="B464">
            <v>456</v>
          </cell>
          <cell r="C464" t="str">
            <v>4562</v>
          </cell>
          <cell r="D464">
            <v>456</v>
          </cell>
          <cell r="E464">
            <v>456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2</v>
          </cell>
          <cell r="Q464">
            <v>2</v>
          </cell>
          <cell r="R464">
            <v>12</v>
          </cell>
          <cell r="S464">
            <v>12</v>
          </cell>
          <cell r="T464" t="str">
            <v>01</v>
          </cell>
          <cell r="U464">
            <v>12</v>
          </cell>
          <cell r="V464">
            <v>12</v>
          </cell>
          <cell r="W464" t="str">
            <v xml:space="preserve"> 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67500000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1</v>
          </cell>
          <cell r="BO464">
            <v>0</v>
          </cell>
          <cell r="BP464">
            <v>1</v>
          </cell>
          <cell r="BQ464">
            <v>12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V464">
            <v>0</v>
          </cell>
          <cell r="BW464">
            <v>0</v>
          </cell>
          <cell r="BX464">
            <v>0</v>
          </cell>
          <cell r="BY464">
            <v>0</v>
          </cell>
          <cell r="BZ464">
            <v>2</v>
          </cell>
        </row>
        <row r="465">
          <cell r="A465" t="str">
            <v>4572</v>
          </cell>
          <cell r="B465">
            <v>457</v>
          </cell>
          <cell r="C465" t="str">
            <v>4572</v>
          </cell>
          <cell r="D465">
            <v>457</v>
          </cell>
          <cell r="E465">
            <v>457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2</v>
          </cell>
          <cell r="Q465">
            <v>2</v>
          </cell>
          <cell r="R465">
            <v>12</v>
          </cell>
          <cell r="S465">
            <v>12</v>
          </cell>
          <cell r="T465" t="str">
            <v>01</v>
          </cell>
          <cell r="U465">
            <v>12</v>
          </cell>
          <cell r="V465">
            <v>12</v>
          </cell>
          <cell r="W465" t="str">
            <v xml:space="preserve"> 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67500000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>
            <v>0</v>
          </cell>
          <cell r="BN465">
            <v>1</v>
          </cell>
          <cell r="BO465">
            <v>0</v>
          </cell>
          <cell r="BP465">
            <v>1</v>
          </cell>
          <cell r="BQ465">
            <v>12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V465">
            <v>0</v>
          </cell>
          <cell r="BW465">
            <v>0</v>
          </cell>
          <cell r="BX465">
            <v>0</v>
          </cell>
          <cell r="BY465">
            <v>0</v>
          </cell>
          <cell r="BZ465">
            <v>2</v>
          </cell>
        </row>
        <row r="466">
          <cell r="A466" t="str">
            <v>4582</v>
          </cell>
          <cell r="B466">
            <v>458</v>
          </cell>
          <cell r="C466" t="str">
            <v>4582</v>
          </cell>
          <cell r="D466">
            <v>458</v>
          </cell>
          <cell r="E466">
            <v>458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2</v>
          </cell>
          <cell r="Q466">
            <v>2</v>
          </cell>
          <cell r="R466">
            <v>12</v>
          </cell>
          <cell r="S466">
            <v>12</v>
          </cell>
          <cell r="T466" t="str">
            <v>01</v>
          </cell>
          <cell r="U466">
            <v>12</v>
          </cell>
          <cell r="V466">
            <v>12</v>
          </cell>
          <cell r="W466" t="str">
            <v xml:space="preserve"> 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67500000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>
            <v>0</v>
          </cell>
          <cell r="BB466">
            <v>0</v>
          </cell>
          <cell r="BC466">
            <v>0</v>
          </cell>
          <cell r="BD466">
            <v>0</v>
          </cell>
          <cell r="BE466">
            <v>0</v>
          </cell>
          <cell r="BF466">
            <v>0</v>
          </cell>
          <cell r="BG466">
            <v>0</v>
          </cell>
          <cell r="BH466">
            <v>0</v>
          </cell>
          <cell r="BI466">
            <v>0</v>
          </cell>
          <cell r="BJ466">
            <v>0</v>
          </cell>
          <cell r="BK466">
            <v>0</v>
          </cell>
          <cell r="BL466">
            <v>0</v>
          </cell>
          <cell r="BM466">
            <v>0</v>
          </cell>
          <cell r="BN466">
            <v>1</v>
          </cell>
          <cell r="BO466">
            <v>0</v>
          </cell>
          <cell r="BP466">
            <v>1</v>
          </cell>
          <cell r="BQ466">
            <v>12</v>
          </cell>
          <cell r="BR466">
            <v>0</v>
          </cell>
          <cell r="BS466">
            <v>0</v>
          </cell>
          <cell r="BT466">
            <v>0</v>
          </cell>
          <cell r="BU466">
            <v>0</v>
          </cell>
          <cell r="BV466">
            <v>0</v>
          </cell>
          <cell r="BW466">
            <v>0</v>
          </cell>
          <cell r="BX466">
            <v>0</v>
          </cell>
          <cell r="BY466">
            <v>0</v>
          </cell>
          <cell r="BZ466">
            <v>2</v>
          </cell>
        </row>
        <row r="467">
          <cell r="A467" t="str">
            <v>4592</v>
          </cell>
          <cell r="B467">
            <v>459</v>
          </cell>
          <cell r="C467" t="str">
            <v>4592</v>
          </cell>
          <cell r="D467">
            <v>459</v>
          </cell>
          <cell r="E467">
            <v>459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2</v>
          </cell>
          <cell r="Q467">
            <v>2</v>
          </cell>
          <cell r="R467">
            <v>12</v>
          </cell>
          <cell r="S467">
            <v>12</v>
          </cell>
          <cell r="T467" t="str">
            <v>01</v>
          </cell>
          <cell r="U467">
            <v>12</v>
          </cell>
          <cell r="V467">
            <v>12</v>
          </cell>
          <cell r="W467" t="str">
            <v xml:space="preserve"> 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67500000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J467">
            <v>0</v>
          </cell>
          <cell r="BK467">
            <v>0</v>
          </cell>
          <cell r="BL467">
            <v>0</v>
          </cell>
          <cell r="BM467">
            <v>0</v>
          </cell>
          <cell r="BN467">
            <v>1</v>
          </cell>
          <cell r="BO467">
            <v>0</v>
          </cell>
          <cell r="BP467">
            <v>1</v>
          </cell>
          <cell r="BQ467">
            <v>12</v>
          </cell>
          <cell r="BR467">
            <v>0</v>
          </cell>
          <cell r="BS467">
            <v>0</v>
          </cell>
          <cell r="BT467">
            <v>0</v>
          </cell>
          <cell r="BU467">
            <v>0</v>
          </cell>
          <cell r="BV467">
            <v>0</v>
          </cell>
          <cell r="BW467">
            <v>0</v>
          </cell>
          <cell r="BX467">
            <v>0</v>
          </cell>
          <cell r="BY467">
            <v>0</v>
          </cell>
          <cell r="BZ467">
            <v>2</v>
          </cell>
        </row>
        <row r="468">
          <cell r="A468" t="str">
            <v>4602</v>
          </cell>
          <cell r="B468">
            <v>460</v>
          </cell>
          <cell r="C468" t="str">
            <v>4602</v>
          </cell>
          <cell r="D468">
            <v>460</v>
          </cell>
          <cell r="E468">
            <v>460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2</v>
          </cell>
          <cell r="Q468">
            <v>2</v>
          </cell>
          <cell r="R468">
            <v>12</v>
          </cell>
          <cell r="S468">
            <v>12</v>
          </cell>
          <cell r="T468" t="str">
            <v>01</v>
          </cell>
          <cell r="U468">
            <v>12</v>
          </cell>
          <cell r="V468">
            <v>12</v>
          </cell>
          <cell r="W468" t="str">
            <v xml:space="preserve"> 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67500000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0</v>
          </cell>
          <cell r="BG468">
            <v>0</v>
          </cell>
          <cell r="BH468">
            <v>0</v>
          </cell>
          <cell r="BI468">
            <v>0</v>
          </cell>
          <cell r="BJ468">
            <v>0</v>
          </cell>
          <cell r="BK468">
            <v>0</v>
          </cell>
          <cell r="BL468">
            <v>0</v>
          </cell>
          <cell r="BM468">
            <v>0</v>
          </cell>
          <cell r="BN468">
            <v>1</v>
          </cell>
          <cell r="BO468">
            <v>0</v>
          </cell>
          <cell r="BP468">
            <v>1</v>
          </cell>
          <cell r="BQ468">
            <v>12</v>
          </cell>
          <cell r="BR468">
            <v>0</v>
          </cell>
          <cell r="BS468">
            <v>0</v>
          </cell>
          <cell r="BT468">
            <v>0</v>
          </cell>
          <cell r="BU468">
            <v>0</v>
          </cell>
          <cell r="BV468">
            <v>0</v>
          </cell>
          <cell r="BW468">
            <v>0</v>
          </cell>
          <cell r="BX468">
            <v>0</v>
          </cell>
          <cell r="BY468">
            <v>0</v>
          </cell>
          <cell r="BZ468">
            <v>2</v>
          </cell>
        </row>
        <row r="469">
          <cell r="A469" t="str">
            <v>4612</v>
          </cell>
          <cell r="B469">
            <v>461</v>
          </cell>
          <cell r="C469" t="str">
            <v>4612</v>
          </cell>
          <cell r="D469">
            <v>461</v>
          </cell>
          <cell r="E469">
            <v>461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2</v>
          </cell>
          <cell r="Q469">
            <v>2</v>
          </cell>
          <cell r="R469">
            <v>12</v>
          </cell>
          <cell r="S469">
            <v>12</v>
          </cell>
          <cell r="T469" t="str">
            <v>01</v>
          </cell>
          <cell r="U469">
            <v>12</v>
          </cell>
          <cell r="V469">
            <v>12</v>
          </cell>
          <cell r="W469" t="str">
            <v xml:space="preserve"> 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67500000</v>
          </cell>
          <cell r="AW469">
            <v>0</v>
          </cell>
          <cell r="AX469">
            <v>0</v>
          </cell>
          <cell r="AY469">
            <v>0</v>
          </cell>
          <cell r="AZ469">
            <v>0</v>
          </cell>
          <cell r="BA469">
            <v>0</v>
          </cell>
          <cell r="BB469">
            <v>0</v>
          </cell>
          <cell r="BC469">
            <v>0</v>
          </cell>
          <cell r="BD469">
            <v>0</v>
          </cell>
          <cell r="BE469">
            <v>0</v>
          </cell>
          <cell r="BF469">
            <v>0</v>
          </cell>
          <cell r="BG469">
            <v>0</v>
          </cell>
          <cell r="BH469">
            <v>0</v>
          </cell>
          <cell r="BI469">
            <v>0</v>
          </cell>
          <cell r="BJ469">
            <v>0</v>
          </cell>
          <cell r="BK469">
            <v>0</v>
          </cell>
          <cell r="BL469">
            <v>0</v>
          </cell>
          <cell r="BM469">
            <v>0</v>
          </cell>
          <cell r="BN469">
            <v>1</v>
          </cell>
          <cell r="BO469">
            <v>0</v>
          </cell>
          <cell r="BP469">
            <v>1</v>
          </cell>
          <cell r="BQ469">
            <v>12</v>
          </cell>
          <cell r="BR469">
            <v>0</v>
          </cell>
          <cell r="BS469">
            <v>0</v>
          </cell>
          <cell r="BT469">
            <v>0</v>
          </cell>
          <cell r="BU469">
            <v>0</v>
          </cell>
          <cell r="BV469">
            <v>0</v>
          </cell>
          <cell r="BW469">
            <v>0</v>
          </cell>
          <cell r="BX469">
            <v>0</v>
          </cell>
          <cell r="BY469">
            <v>0</v>
          </cell>
          <cell r="BZ469">
            <v>2</v>
          </cell>
        </row>
        <row r="470">
          <cell r="A470" t="str">
            <v>4622</v>
          </cell>
          <cell r="B470">
            <v>462</v>
          </cell>
          <cell r="C470" t="str">
            <v>4622</v>
          </cell>
          <cell r="D470">
            <v>462</v>
          </cell>
          <cell r="E470">
            <v>462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2</v>
          </cell>
          <cell r="Q470">
            <v>2</v>
          </cell>
          <cell r="R470">
            <v>12</v>
          </cell>
          <cell r="S470">
            <v>12</v>
          </cell>
          <cell r="T470" t="str">
            <v>01</v>
          </cell>
          <cell r="U470">
            <v>12</v>
          </cell>
          <cell r="V470">
            <v>12</v>
          </cell>
          <cell r="W470" t="str">
            <v xml:space="preserve"> 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67500000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0</v>
          </cell>
          <cell r="BG470">
            <v>0</v>
          </cell>
          <cell r="BH470">
            <v>0</v>
          </cell>
          <cell r="BI470">
            <v>0</v>
          </cell>
          <cell r="BJ470">
            <v>0</v>
          </cell>
          <cell r="BK470">
            <v>0</v>
          </cell>
          <cell r="BL470">
            <v>0</v>
          </cell>
          <cell r="BM470">
            <v>0</v>
          </cell>
          <cell r="BN470">
            <v>1</v>
          </cell>
          <cell r="BO470">
            <v>0</v>
          </cell>
          <cell r="BP470">
            <v>1</v>
          </cell>
          <cell r="BQ470">
            <v>12</v>
          </cell>
          <cell r="BR470">
            <v>0</v>
          </cell>
          <cell r="BS470">
            <v>0</v>
          </cell>
          <cell r="BT470">
            <v>0</v>
          </cell>
          <cell r="BU470">
            <v>0</v>
          </cell>
          <cell r="BV470">
            <v>0</v>
          </cell>
          <cell r="BW470">
            <v>0</v>
          </cell>
          <cell r="BX470">
            <v>0</v>
          </cell>
          <cell r="BY470">
            <v>0</v>
          </cell>
          <cell r="BZ470">
            <v>2</v>
          </cell>
        </row>
        <row r="471">
          <cell r="A471" t="str">
            <v>4632</v>
          </cell>
          <cell r="B471">
            <v>463</v>
          </cell>
          <cell r="C471" t="str">
            <v>4632</v>
          </cell>
          <cell r="D471">
            <v>463</v>
          </cell>
          <cell r="E471">
            <v>463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2</v>
          </cell>
          <cell r="Q471">
            <v>2</v>
          </cell>
          <cell r="R471">
            <v>12</v>
          </cell>
          <cell r="S471">
            <v>12</v>
          </cell>
          <cell r="T471" t="str">
            <v>01</v>
          </cell>
          <cell r="U471">
            <v>12</v>
          </cell>
          <cell r="V471">
            <v>12</v>
          </cell>
          <cell r="W471" t="str">
            <v xml:space="preserve"> 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67500000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>
            <v>0</v>
          </cell>
          <cell r="BK471">
            <v>0</v>
          </cell>
          <cell r="BL471">
            <v>0</v>
          </cell>
          <cell r="BM471">
            <v>0</v>
          </cell>
          <cell r="BN471">
            <v>1</v>
          </cell>
          <cell r="BO471">
            <v>0</v>
          </cell>
          <cell r="BP471">
            <v>1</v>
          </cell>
          <cell r="BQ471">
            <v>12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V471">
            <v>0</v>
          </cell>
          <cell r="BW471">
            <v>0</v>
          </cell>
          <cell r="BX471">
            <v>0</v>
          </cell>
          <cell r="BY471">
            <v>0</v>
          </cell>
          <cell r="BZ471">
            <v>2</v>
          </cell>
        </row>
        <row r="472">
          <cell r="A472" t="str">
            <v>4642</v>
          </cell>
          <cell r="B472">
            <v>464</v>
          </cell>
          <cell r="C472" t="str">
            <v>4642</v>
          </cell>
          <cell r="D472">
            <v>464</v>
          </cell>
          <cell r="E472">
            <v>464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2</v>
          </cell>
          <cell r="Q472">
            <v>2</v>
          </cell>
          <cell r="R472">
            <v>12</v>
          </cell>
          <cell r="S472">
            <v>12</v>
          </cell>
          <cell r="T472" t="str">
            <v>01</v>
          </cell>
          <cell r="U472">
            <v>12</v>
          </cell>
          <cell r="V472">
            <v>12</v>
          </cell>
          <cell r="W472" t="str">
            <v xml:space="preserve"> 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67500000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0</v>
          </cell>
          <cell r="BG472">
            <v>0</v>
          </cell>
          <cell r="BH472">
            <v>0</v>
          </cell>
          <cell r="BI472">
            <v>0</v>
          </cell>
          <cell r="BJ472">
            <v>0</v>
          </cell>
          <cell r="BK472">
            <v>0</v>
          </cell>
          <cell r="BL472">
            <v>0</v>
          </cell>
          <cell r="BM472">
            <v>0</v>
          </cell>
          <cell r="BN472">
            <v>1</v>
          </cell>
          <cell r="BO472">
            <v>0</v>
          </cell>
          <cell r="BP472">
            <v>1</v>
          </cell>
          <cell r="BQ472">
            <v>12</v>
          </cell>
          <cell r="BR472">
            <v>0</v>
          </cell>
          <cell r="BS472">
            <v>0</v>
          </cell>
          <cell r="BT472">
            <v>0</v>
          </cell>
          <cell r="BU472">
            <v>0</v>
          </cell>
          <cell r="BV472">
            <v>0</v>
          </cell>
          <cell r="BW472">
            <v>0</v>
          </cell>
          <cell r="BX472">
            <v>0</v>
          </cell>
          <cell r="BY472">
            <v>0</v>
          </cell>
          <cell r="BZ472">
            <v>2</v>
          </cell>
        </row>
        <row r="473">
          <cell r="A473" t="str">
            <v>4652</v>
          </cell>
          <cell r="B473">
            <v>465</v>
          </cell>
          <cell r="C473" t="str">
            <v>4652</v>
          </cell>
          <cell r="D473">
            <v>465</v>
          </cell>
          <cell r="E473">
            <v>465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2</v>
          </cell>
          <cell r="Q473">
            <v>2</v>
          </cell>
          <cell r="R473">
            <v>12</v>
          </cell>
          <cell r="S473">
            <v>12</v>
          </cell>
          <cell r="T473" t="str">
            <v>01</v>
          </cell>
          <cell r="U473">
            <v>12</v>
          </cell>
          <cell r="V473">
            <v>12</v>
          </cell>
          <cell r="W473" t="str">
            <v xml:space="preserve"> 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67500000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J473">
            <v>0</v>
          </cell>
          <cell r="BK473">
            <v>0</v>
          </cell>
          <cell r="BL473">
            <v>0</v>
          </cell>
          <cell r="BM473">
            <v>0</v>
          </cell>
          <cell r="BN473">
            <v>1</v>
          </cell>
          <cell r="BO473">
            <v>0</v>
          </cell>
          <cell r="BP473">
            <v>1</v>
          </cell>
          <cell r="BQ473">
            <v>12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V473">
            <v>0</v>
          </cell>
          <cell r="BW473">
            <v>0</v>
          </cell>
          <cell r="BX473">
            <v>0</v>
          </cell>
          <cell r="BY473">
            <v>0</v>
          </cell>
          <cell r="BZ473">
            <v>2</v>
          </cell>
        </row>
        <row r="474">
          <cell r="A474" t="str">
            <v>4662</v>
          </cell>
          <cell r="B474">
            <v>466</v>
          </cell>
          <cell r="C474" t="str">
            <v>4662</v>
          </cell>
          <cell r="D474">
            <v>466</v>
          </cell>
          <cell r="E474">
            <v>466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2</v>
          </cell>
          <cell r="Q474">
            <v>2</v>
          </cell>
          <cell r="R474">
            <v>12</v>
          </cell>
          <cell r="S474">
            <v>12</v>
          </cell>
          <cell r="T474" t="str">
            <v>01</v>
          </cell>
          <cell r="U474">
            <v>12</v>
          </cell>
          <cell r="V474">
            <v>12</v>
          </cell>
          <cell r="W474" t="str">
            <v xml:space="preserve"> 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67500000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>
            <v>0</v>
          </cell>
          <cell r="BJ474">
            <v>0</v>
          </cell>
          <cell r="BK474">
            <v>0</v>
          </cell>
          <cell r="BL474">
            <v>0</v>
          </cell>
          <cell r="BM474">
            <v>0</v>
          </cell>
          <cell r="BN474">
            <v>1</v>
          </cell>
          <cell r="BO474">
            <v>0</v>
          </cell>
          <cell r="BP474">
            <v>1</v>
          </cell>
          <cell r="BQ474">
            <v>12</v>
          </cell>
          <cell r="BR474">
            <v>0</v>
          </cell>
          <cell r="BS474">
            <v>0</v>
          </cell>
          <cell r="BT474">
            <v>0</v>
          </cell>
          <cell r="BU474">
            <v>0</v>
          </cell>
          <cell r="BV474">
            <v>0</v>
          </cell>
          <cell r="BW474">
            <v>0</v>
          </cell>
          <cell r="BX474">
            <v>0</v>
          </cell>
          <cell r="BY474">
            <v>0</v>
          </cell>
          <cell r="BZ474">
            <v>2</v>
          </cell>
        </row>
        <row r="475">
          <cell r="A475" t="str">
            <v>4672</v>
          </cell>
          <cell r="B475">
            <v>467</v>
          </cell>
          <cell r="C475" t="str">
            <v>4672</v>
          </cell>
          <cell r="D475">
            <v>467</v>
          </cell>
          <cell r="E475">
            <v>467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2</v>
          </cell>
          <cell r="Q475">
            <v>2</v>
          </cell>
          <cell r="R475">
            <v>12</v>
          </cell>
          <cell r="S475">
            <v>12</v>
          </cell>
          <cell r="T475" t="str">
            <v>01</v>
          </cell>
          <cell r="U475">
            <v>12</v>
          </cell>
          <cell r="V475">
            <v>12</v>
          </cell>
          <cell r="W475" t="str">
            <v xml:space="preserve"> 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67500000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>
            <v>0</v>
          </cell>
          <cell r="BJ475">
            <v>0</v>
          </cell>
          <cell r="BK475">
            <v>0</v>
          </cell>
          <cell r="BL475">
            <v>0</v>
          </cell>
          <cell r="BM475">
            <v>0</v>
          </cell>
          <cell r="BN475">
            <v>1</v>
          </cell>
          <cell r="BO475">
            <v>0</v>
          </cell>
          <cell r="BP475">
            <v>1</v>
          </cell>
          <cell r="BQ475">
            <v>12</v>
          </cell>
          <cell r="BR475">
            <v>0</v>
          </cell>
          <cell r="BS475">
            <v>0</v>
          </cell>
          <cell r="BT475">
            <v>0</v>
          </cell>
          <cell r="BU475">
            <v>0</v>
          </cell>
          <cell r="BV475">
            <v>0</v>
          </cell>
          <cell r="BW475">
            <v>0</v>
          </cell>
          <cell r="BX475">
            <v>0</v>
          </cell>
          <cell r="BY475">
            <v>0</v>
          </cell>
          <cell r="BZ475">
            <v>2</v>
          </cell>
        </row>
        <row r="476">
          <cell r="A476" t="str">
            <v>4682</v>
          </cell>
          <cell r="B476">
            <v>468</v>
          </cell>
          <cell r="C476" t="str">
            <v>4682</v>
          </cell>
          <cell r="D476">
            <v>468</v>
          </cell>
          <cell r="E476">
            <v>468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2</v>
          </cell>
          <cell r="Q476">
            <v>2</v>
          </cell>
          <cell r="R476">
            <v>12</v>
          </cell>
          <cell r="S476">
            <v>12</v>
          </cell>
          <cell r="T476" t="str">
            <v>01</v>
          </cell>
          <cell r="U476">
            <v>12</v>
          </cell>
          <cell r="V476">
            <v>12</v>
          </cell>
          <cell r="W476" t="str">
            <v xml:space="preserve"> 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67500000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  <cell r="BK476">
            <v>0</v>
          </cell>
          <cell r="BL476">
            <v>0</v>
          </cell>
          <cell r="BM476">
            <v>0</v>
          </cell>
          <cell r="BN476">
            <v>1</v>
          </cell>
          <cell r="BO476">
            <v>0</v>
          </cell>
          <cell r="BP476">
            <v>1</v>
          </cell>
          <cell r="BQ476">
            <v>12</v>
          </cell>
          <cell r="BR476">
            <v>0</v>
          </cell>
          <cell r="BS476">
            <v>0</v>
          </cell>
          <cell r="BT476">
            <v>0</v>
          </cell>
          <cell r="BU476">
            <v>0</v>
          </cell>
          <cell r="BV476">
            <v>0</v>
          </cell>
          <cell r="BW476">
            <v>0</v>
          </cell>
          <cell r="BX476">
            <v>0</v>
          </cell>
          <cell r="BY476">
            <v>0</v>
          </cell>
          <cell r="BZ476">
            <v>2</v>
          </cell>
        </row>
        <row r="477">
          <cell r="A477" t="str">
            <v>4692</v>
          </cell>
          <cell r="B477">
            <v>469</v>
          </cell>
          <cell r="C477" t="str">
            <v>4692</v>
          </cell>
          <cell r="D477">
            <v>469</v>
          </cell>
          <cell r="E477">
            <v>469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2</v>
          </cell>
          <cell r="Q477">
            <v>2</v>
          </cell>
          <cell r="R477">
            <v>12</v>
          </cell>
          <cell r="S477">
            <v>12</v>
          </cell>
          <cell r="T477" t="str">
            <v>01</v>
          </cell>
          <cell r="U477">
            <v>12</v>
          </cell>
          <cell r="V477">
            <v>12</v>
          </cell>
          <cell r="W477" t="str">
            <v xml:space="preserve"> 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67500000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  <cell r="BK477">
            <v>0</v>
          </cell>
          <cell r="BL477">
            <v>0</v>
          </cell>
          <cell r="BM477">
            <v>0</v>
          </cell>
          <cell r="BN477">
            <v>1</v>
          </cell>
          <cell r="BO477">
            <v>0</v>
          </cell>
          <cell r="BP477">
            <v>1</v>
          </cell>
          <cell r="BQ477">
            <v>12</v>
          </cell>
          <cell r="BR477">
            <v>0</v>
          </cell>
          <cell r="BS477">
            <v>0</v>
          </cell>
          <cell r="BT477">
            <v>0</v>
          </cell>
          <cell r="BU477">
            <v>0</v>
          </cell>
          <cell r="BV477">
            <v>0</v>
          </cell>
          <cell r="BW477">
            <v>0</v>
          </cell>
          <cell r="BX477">
            <v>0</v>
          </cell>
          <cell r="BY477">
            <v>0</v>
          </cell>
          <cell r="BZ477">
            <v>2</v>
          </cell>
        </row>
        <row r="478">
          <cell r="A478" t="str">
            <v>4702</v>
          </cell>
          <cell r="B478">
            <v>470</v>
          </cell>
          <cell r="C478" t="str">
            <v>4702</v>
          </cell>
          <cell r="D478">
            <v>470</v>
          </cell>
          <cell r="E478">
            <v>470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2</v>
          </cell>
          <cell r="Q478">
            <v>2</v>
          </cell>
          <cell r="R478">
            <v>12</v>
          </cell>
          <cell r="S478">
            <v>12</v>
          </cell>
          <cell r="T478" t="str">
            <v>01</v>
          </cell>
          <cell r="U478">
            <v>12</v>
          </cell>
          <cell r="V478">
            <v>12</v>
          </cell>
          <cell r="W478" t="str">
            <v xml:space="preserve"> 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67500000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>
            <v>0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>
            <v>0</v>
          </cell>
          <cell r="BJ478">
            <v>0</v>
          </cell>
          <cell r="BK478">
            <v>0</v>
          </cell>
          <cell r="BL478">
            <v>0</v>
          </cell>
          <cell r="BM478">
            <v>0</v>
          </cell>
          <cell r="BN478">
            <v>1</v>
          </cell>
          <cell r="BO478">
            <v>0</v>
          </cell>
          <cell r="BP478">
            <v>1</v>
          </cell>
          <cell r="BQ478">
            <v>12</v>
          </cell>
          <cell r="BR478">
            <v>0</v>
          </cell>
          <cell r="BS478">
            <v>0</v>
          </cell>
          <cell r="BT478">
            <v>0</v>
          </cell>
          <cell r="BU478">
            <v>0</v>
          </cell>
          <cell r="BV478">
            <v>0</v>
          </cell>
          <cell r="BW478">
            <v>0</v>
          </cell>
          <cell r="BX478">
            <v>0</v>
          </cell>
          <cell r="BY478">
            <v>0</v>
          </cell>
          <cell r="BZ478">
            <v>2</v>
          </cell>
        </row>
        <row r="479">
          <cell r="A479" t="str">
            <v>4712</v>
          </cell>
          <cell r="B479">
            <v>471</v>
          </cell>
          <cell r="C479" t="str">
            <v>4712</v>
          </cell>
          <cell r="D479">
            <v>471</v>
          </cell>
          <cell r="E479">
            <v>471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2</v>
          </cell>
          <cell r="Q479">
            <v>2</v>
          </cell>
          <cell r="R479">
            <v>12</v>
          </cell>
          <cell r="S479">
            <v>12</v>
          </cell>
          <cell r="T479" t="str">
            <v>01</v>
          </cell>
          <cell r="U479">
            <v>12</v>
          </cell>
          <cell r="V479">
            <v>12</v>
          </cell>
          <cell r="W479" t="str">
            <v xml:space="preserve"> 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67500000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  <cell r="BK479">
            <v>0</v>
          </cell>
          <cell r="BL479">
            <v>0</v>
          </cell>
          <cell r="BM479">
            <v>0</v>
          </cell>
          <cell r="BN479">
            <v>1</v>
          </cell>
          <cell r="BO479">
            <v>0</v>
          </cell>
          <cell r="BP479">
            <v>1</v>
          </cell>
          <cell r="BQ479">
            <v>12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V479">
            <v>0</v>
          </cell>
          <cell r="BW479">
            <v>0</v>
          </cell>
          <cell r="BX479">
            <v>0</v>
          </cell>
          <cell r="BY479">
            <v>0</v>
          </cell>
          <cell r="BZ479">
            <v>2</v>
          </cell>
        </row>
        <row r="480">
          <cell r="A480" t="str">
            <v>4722</v>
          </cell>
          <cell r="B480">
            <v>472</v>
          </cell>
          <cell r="C480" t="str">
            <v>4722</v>
          </cell>
          <cell r="D480">
            <v>472</v>
          </cell>
          <cell r="E480">
            <v>472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2</v>
          </cell>
          <cell r="Q480">
            <v>2</v>
          </cell>
          <cell r="R480">
            <v>12</v>
          </cell>
          <cell r="S480">
            <v>12</v>
          </cell>
          <cell r="T480" t="str">
            <v>01</v>
          </cell>
          <cell r="U480">
            <v>12</v>
          </cell>
          <cell r="V480">
            <v>12</v>
          </cell>
          <cell r="W480" t="str">
            <v xml:space="preserve"> 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67500000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0</v>
          </cell>
          <cell r="BN480">
            <v>1</v>
          </cell>
          <cell r="BO480">
            <v>0</v>
          </cell>
          <cell r="BP480">
            <v>1</v>
          </cell>
          <cell r="BQ480">
            <v>12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V480">
            <v>0</v>
          </cell>
          <cell r="BW480">
            <v>0</v>
          </cell>
          <cell r="BX480">
            <v>0</v>
          </cell>
          <cell r="BY480">
            <v>0</v>
          </cell>
          <cell r="BZ480">
            <v>2</v>
          </cell>
        </row>
        <row r="481">
          <cell r="A481" t="str">
            <v>4732</v>
          </cell>
          <cell r="B481">
            <v>473</v>
          </cell>
          <cell r="C481" t="str">
            <v>4732</v>
          </cell>
          <cell r="D481">
            <v>473</v>
          </cell>
          <cell r="E481">
            <v>473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2</v>
          </cell>
          <cell r="Q481">
            <v>2</v>
          </cell>
          <cell r="R481">
            <v>12</v>
          </cell>
          <cell r="S481">
            <v>12</v>
          </cell>
          <cell r="T481" t="str">
            <v>01</v>
          </cell>
          <cell r="U481">
            <v>12</v>
          </cell>
          <cell r="V481">
            <v>12</v>
          </cell>
          <cell r="W481" t="str">
            <v xml:space="preserve"> 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67500000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>
            <v>0</v>
          </cell>
          <cell r="BJ481">
            <v>0</v>
          </cell>
          <cell r="BK481">
            <v>0</v>
          </cell>
          <cell r="BL481">
            <v>0</v>
          </cell>
          <cell r="BM481">
            <v>0</v>
          </cell>
          <cell r="BN481">
            <v>1</v>
          </cell>
          <cell r="BO481">
            <v>0</v>
          </cell>
          <cell r="BP481">
            <v>1</v>
          </cell>
          <cell r="BQ481">
            <v>12</v>
          </cell>
          <cell r="BR481">
            <v>0</v>
          </cell>
          <cell r="BS481">
            <v>0</v>
          </cell>
          <cell r="BT481">
            <v>0</v>
          </cell>
          <cell r="BU481">
            <v>0</v>
          </cell>
          <cell r="BV481">
            <v>0</v>
          </cell>
          <cell r="BW481">
            <v>0</v>
          </cell>
          <cell r="BX481">
            <v>0</v>
          </cell>
          <cell r="BY481">
            <v>0</v>
          </cell>
          <cell r="BZ481">
            <v>2</v>
          </cell>
        </row>
        <row r="482">
          <cell r="A482" t="str">
            <v>4742</v>
          </cell>
          <cell r="B482">
            <v>474</v>
          </cell>
          <cell r="C482" t="str">
            <v>4742</v>
          </cell>
          <cell r="D482">
            <v>474</v>
          </cell>
          <cell r="E482">
            <v>474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2</v>
          </cell>
          <cell r="Q482">
            <v>2</v>
          </cell>
          <cell r="R482">
            <v>12</v>
          </cell>
          <cell r="S482">
            <v>12</v>
          </cell>
          <cell r="T482" t="str">
            <v>01</v>
          </cell>
          <cell r="U482">
            <v>12</v>
          </cell>
          <cell r="V482">
            <v>12</v>
          </cell>
          <cell r="W482" t="str">
            <v xml:space="preserve"> 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67500000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1</v>
          </cell>
          <cell r="BO482">
            <v>0</v>
          </cell>
          <cell r="BP482">
            <v>1</v>
          </cell>
          <cell r="BQ482">
            <v>12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V482">
            <v>0</v>
          </cell>
          <cell r="BW482">
            <v>0</v>
          </cell>
          <cell r="BX482">
            <v>0</v>
          </cell>
          <cell r="BY482">
            <v>0</v>
          </cell>
          <cell r="BZ482">
            <v>2</v>
          </cell>
        </row>
        <row r="483">
          <cell r="A483" t="str">
            <v>4752</v>
          </cell>
          <cell r="B483">
            <v>475</v>
          </cell>
          <cell r="C483" t="str">
            <v>4752</v>
          </cell>
          <cell r="D483">
            <v>475</v>
          </cell>
          <cell r="E483">
            <v>475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2</v>
          </cell>
          <cell r="Q483">
            <v>2</v>
          </cell>
          <cell r="R483">
            <v>12</v>
          </cell>
          <cell r="S483">
            <v>12</v>
          </cell>
          <cell r="T483" t="str">
            <v>01</v>
          </cell>
          <cell r="U483">
            <v>12</v>
          </cell>
          <cell r="V483">
            <v>12</v>
          </cell>
          <cell r="W483" t="str">
            <v xml:space="preserve"> 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67500000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>
            <v>0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>
            <v>0</v>
          </cell>
          <cell r="BN483">
            <v>1</v>
          </cell>
          <cell r="BO483">
            <v>0</v>
          </cell>
          <cell r="BP483">
            <v>1</v>
          </cell>
          <cell r="BQ483">
            <v>12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V483">
            <v>0</v>
          </cell>
          <cell r="BW483">
            <v>0</v>
          </cell>
          <cell r="BX483">
            <v>0</v>
          </cell>
          <cell r="BY483">
            <v>0</v>
          </cell>
          <cell r="BZ483">
            <v>2</v>
          </cell>
        </row>
        <row r="484">
          <cell r="A484" t="str">
            <v>4762</v>
          </cell>
          <cell r="B484">
            <v>476</v>
          </cell>
          <cell r="C484" t="str">
            <v>4762</v>
          </cell>
          <cell r="D484">
            <v>476</v>
          </cell>
          <cell r="E484">
            <v>476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2</v>
          </cell>
          <cell r="Q484">
            <v>2</v>
          </cell>
          <cell r="R484">
            <v>12</v>
          </cell>
          <cell r="S484">
            <v>12</v>
          </cell>
          <cell r="T484" t="str">
            <v>01</v>
          </cell>
          <cell r="U484">
            <v>12</v>
          </cell>
          <cell r="V484">
            <v>12</v>
          </cell>
          <cell r="W484" t="str">
            <v xml:space="preserve"> 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67500000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0</v>
          </cell>
          <cell r="BF484">
            <v>0</v>
          </cell>
          <cell r="BG484">
            <v>0</v>
          </cell>
          <cell r="BH484">
            <v>0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0</v>
          </cell>
          <cell r="BN484">
            <v>1</v>
          </cell>
          <cell r="BO484">
            <v>0</v>
          </cell>
          <cell r="BP484">
            <v>1</v>
          </cell>
          <cell r="BQ484">
            <v>12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V484">
            <v>0</v>
          </cell>
          <cell r="BW484">
            <v>0</v>
          </cell>
          <cell r="BX484">
            <v>0</v>
          </cell>
          <cell r="BY484">
            <v>0</v>
          </cell>
          <cell r="BZ484">
            <v>2</v>
          </cell>
        </row>
        <row r="485">
          <cell r="A485" t="str">
            <v>4772</v>
          </cell>
          <cell r="B485">
            <v>477</v>
          </cell>
          <cell r="C485" t="str">
            <v>4772</v>
          </cell>
          <cell r="D485">
            <v>477</v>
          </cell>
          <cell r="E485">
            <v>477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2</v>
          </cell>
          <cell r="Q485">
            <v>2</v>
          </cell>
          <cell r="R485">
            <v>12</v>
          </cell>
          <cell r="S485">
            <v>12</v>
          </cell>
          <cell r="T485" t="str">
            <v>01</v>
          </cell>
          <cell r="U485">
            <v>12</v>
          </cell>
          <cell r="V485">
            <v>12</v>
          </cell>
          <cell r="W485" t="str">
            <v xml:space="preserve"> 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67500000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0</v>
          </cell>
          <cell r="BN485">
            <v>1</v>
          </cell>
          <cell r="BO485">
            <v>0</v>
          </cell>
          <cell r="BP485">
            <v>1</v>
          </cell>
          <cell r="BQ485">
            <v>12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V485">
            <v>0</v>
          </cell>
          <cell r="BW485">
            <v>0</v>
          </cell>
          <cell r="BX485">
            <v>0</v>
          </cell>
          <cell r="BY485">
            <v>0</v>
          </cell>
          <cell r="BZ485">
            <v>2</v>
          </cell>
        </row>
        <row r="486">
          <cell r="A486" t="str">
            <v>4782</v>
          </cell>
          <cell r="B486">
            <v>478</v>
          </cell>
          <cell r="C486" t="str">
            <v>4782</v>
          </cell>
          <cell r="D486">
            <v>478</v>
          </cell>
          <cell r="E486">
            <v>478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2</v>
          </cell>
          <cell r="Q486">
            <v>2</v>
          </cell>
          <cell r="R486">
            <v>12</v>
          </cell>
          <cell r="S486">
            <v>12</v>
          </cell>
          <cell r="T486" t="str">
            <v>01</v>
          </cell>
          <cell r="U486">
            <v>12</v>
          </cell>
          <cell r="V486">
            <v>12</v>
          </cell>
          <cell r="W486" t="str">
            <v xml:space="preserve"> 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67500000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  <cell r="BK486">
            <v>0</v>
          </cell>
          <cell r="BL486">
            <v>0</v>
          </cell>
          <cell r="BM486">
            <v>0</v>
          </cell>
          <cell r="BN486">
            <v>1</v>
          </cell>
          <cell r="BO486">
            <v>0</v>
          </cell>
          <cell r="BP486">
            <v>1</v>
          </cell>
          <cell r="BQ486">
            <v>12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V486">
            <v>0</v>
          </cell>
          <cell r="BW486">
            <v>0</v>
          </cell>
          <cell r="BX486">
            <v>0</v>
          </cell>
          <cell r="BY486">
            <v>0</v>
          </cell>
          <cell r="BZ486">
            <v>2</v>
          </cell>
        </row>
        <row r="487">
          <cell r="A487" t="str">
            <v>4792</v>
          </cell>
          <cell r="B487">
            <v>479</v>
          </cell>
          <cell r="C487" t="str">
            <v>4792</v>
          </cell>
          <cell r="D487">
            <v>479</v>
          </cell>
          <cell r="E487">
            <v>479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2</v>
          </cell>
          <cell r="Q487">
            <v>2</v>
          </cell>
          <cell r="R487">
            <v>12</v>
          </cell>
          <cell r="S487">
            <v>12</v>
          </cell>
          <cell r="T487" t="str">
            <v>01</v>
          </cell>
          <cell r="U487">
            <v>12</v>
          </cell>
          <cell r="V487">
            <v>12</v>
          </cell>
          <cell r="W487" t="str">
            <v xml:space="preserve"> 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67500000</v>
          </cell>
          <cell r="AW487">
            <v>0</v>
          </cell>
          <cell r="AX487">
            <v>0</v>
          </cell>
          <cell r="AY487">
            <v>0</v>
          </cell>
          <cell r="AZ487">
            <v>0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>
            <v>0</v>
          </cell>
          <cell r="BJ487">
            <v>0</v>
          </cell>
          <cell r="BK487">
            <v>0</v>
          </cell>
          <cell r="BL487">
            <v>0</v>
          </cell>
          <cell r="BM487">
            <v>0</v>
          </cell>
          <cell r="BN487">
            <v>1</v>
          </cell>
          <cell r="BO487">
            <v>0</v>
          </cell>
          <cell r="BP487">
            <v>1</v>
          </cell>
          <cell r="BQ487">
            <v>12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V487">
            <v>0</v>
          </cell>
          <cell r="BW487">
            <v>0</v>
          </cell>
          <cell r="BX487">
            <v>0</v>
          </cell>
          <cell r="BY487">
            <v>0</v>
          </cell>
          <cell r="BZ487">
            <v>2</v>
          </cell>
        </row>
        <row r="488">
          <cell r="A488" t="str">
            <v>4802</v>
          </cell>
          <cell r="B488">
            <v>480</v>
          </cell>
          <cell r="C488" t="str">
            <v>4802</v>
          </cell>
          <cell r="D488">
            <v>480</v>
          </cell>
          <cell r="E488">
            <v>480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2</v>
          </cell>
          <cell r="Q488">
            <v>2</v>
          </cell>
          <cell r="R488">
            <v>12</v>
          </cell>
          <cell r="S488">
            <v>12</v>
          </cell>
          <cell r="T488" t="str">
            <v>01</v>
          </cell>
          <cell r="U488">
            <v>12</v>
          </cell>
          <cell r="V488">
            <v>12</v>
          </cell>
          <cell r="W488" t="str">
            <v xml:space="preserve"> 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67500000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  <cell r="BE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0</v>
          </cell>
          <cell r="BN488">
            <v>1</v>
          </cell>
          <cell r="BO488">
            <v>0</v>
          </cell>
          <cell r="BP488">
            <v>1</v>
          </cell>
          <cell r="BQ488">
            <v>12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V488">
            <v>0</v>
          </cell>
          <cell r="BW488">
            <v>0</v>
          </cell>
          <cell r="BX488">
            <v>0</v>
          </cell>
          <cell r="BY488">
            <v>0</v>
          </cell>
          <cell r="BZ488">
            <v>2</v>
          </cell>
        </row>
        <row r="489">
          <cell r="A489" t="str">
            <v>4812</v>
          </cell>
          <cell r="B489">
            <v>481</v>
          </cell>
          <cell r="C489" t="str">
            <v>4812</v>
          </cell>
          <cell r="D489">
            <v>481</v>
          </cell>
          <cell r="E489">
            <v>481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2</v>
          </cell>
          <cell r="Q489">
            <v>2</v>
          </cell>
          <cell r="R489">
            <v>12</v>
          </cell>
          <cell r="S489">
            <v>12</v>
          </cell>
          <cell r="T489" t="str">
            <v>01</v>
          </cell>
          <cell r="U489">
            <v>12</v>
          </cell>
          <cell r="V489">
            <v>12</v>
          </cell>
          <cell r="W489" t="str">
            <v xml:space="preserve"> 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67500000</v>
          </cell>
          <cell r="AW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  <cell r="BE489">
            <v>0</v>
          </cell>
          <cell r="BF489">
            <v>0</v>
          </cell>
          <cell r="BG489">
            <v>0</v>
          </cell>
          <cell r="BH489">
            <v>0</v>
          </cell>
          <cell r="BI489">
            <v>0</v>
          </cell>
          <cell r="BJ489">
            <v>0</v>
          </cell>
          <cell r="BK489">
            <v>0</v>
          </cell>
          <cell r="BL489">
            <v>0</v>
          </cell>
          <cell r="BM489">
            <v>0</v>
          </cell>
          <cell r="BN489">
            <v>1</v>
          </cell>
          <cell r="BO489">
            <v>0</v>
          </cell>
          <cell r="BP489">
            <v>1</v>
          </cell>
          <cell r="BQ489">
            <v>12</v>
          </cell>
          <cell r="BR489">
            <v>0</v>
          </cell>
          <cell r="BS489">
            <v>0</v>
          </cell>
          <cell r="BT489">
            <v>0</v>
          </cell>
          <cell r="BU489">
            <v>0</v>
          </cell>
          <cell r="BV489">
            <v>0</v>
          </cell>
          <cell r="BW489">
            <v>0</v>
          </cell>
          <cell r="BX489">
            <v>0</v>
          </cell>
          <cell r="BY489">
            <v>0</v>
          </cell>
          <cell r="BZ489">
            <v>2</v>
          </cell>
        </row>
        <row r="490">
          <cell r="A490" t="str">
            <v>4822</v>
          </cell>
          <cell r="B490">
            <v>482</v>
          </cell>
          <cell r="C490" t="str">
            <v>4822</v>
          </cell>
          <cell r="D490">
            <v>482</v>
          </cell>
          <cell r="E490">
            <v>482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2</v>
          </cell>
          <cell r="Q490">
            <v>2</v>
          </cell>
          <cell r="R490">
            <v>12</v>
          </cell>
          <cell r="S490">
            <v>12</v>
          </cell>
          <cell r="T490" t="str">
            <v>01</v>
          </cell>
          <cell r="U490">
            <v>12</v>
          </cell>
          <cell r="V490">
            <v>12</v>
          </cell>
          <cell r="W490" t="str">
            <v xml:space="preserve"> 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67500000</v>
          </cell>
          <cell r="AW490">
            <v>0</v>
          </cell>
          <cell r="AX490">
            <v>0</v>
          </cell>
          <cell r="AY490">
            <v>0</v>
          </cell>
          <cell r="AZ490">
            <v>0</v>
          </cell>
          <cell r="BA490">
            <v>0</v>
          </cell>
          <cell r="BB490">
            <v>0</v>
          </cell>
          <cell r="BC490">
            <v>0</v>
          </cell>
          <cell r="BD490">
            <v>0</v>
          </cell>
          <cell r="BE490">
            <v>0</v>
          </cell>
          <cell r="BF490">
            <v>0</v>
          </cell>
          <cell r="BG490">
            <v>0</v>
          </cell>
          <cell r="BH490">
            <v>0</v>
          </cell>
          <cell r="BI490">
            <v>0</v>
          </cell>
          <cell r="BJ490">
            <v>0</v>
          </cell>
          <cell r="BK490">
            <v>0</v>
          </cell>
          <cell r="BL490">
            <v>0</v>
          </cell>
          <cell r="BM490">
            <v>0</v>
          </cell>
          <cell r="BN490">
            <v>1</v>
          </cell>
          <cell r="BO490">
            <v>0</v>
          </cell>
          <cell r="BP490">
            <v>1</v>
          </cell>
          <cell r="BQ490">
            <v>12</v>
          </cell>
          <cell r="BR490">
            <v>0</v>
          </cell>
          <cell r="BS490">
            <v>0</v>
          </cell>
          <cell r="BT490">
            <v>0</v>
          </cell>
          <cell r="BU490">
            <v>0</v>
          </cell>
          <cell r="BV490">
            <v>0</v>
          </cell>
          <cell r="BW490">
            <v>0</v>
          </cell>
          <cell r="BX490">
            <v>0</v>
          </cell>
          <cell r="BY490">
            <v>0</v>
          </cell>
          <cell r="BZ490">
            <v>2</v>
          </cell>
        </row>
        <row r="491">
          <cell r="A491" t="str">
            <v>4832</v>
          </cell>
          <cell r="B491">
            <v>483</v>
          </cell>
          <cell r="C491" t="str">
            <v>4832</v>
          </cell>
          <cell r="D491">
            <v>483</v>
          </cell>
          <cell r="E491">
            <v>483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2</v>
          </cell>
          <cell r="Q491">
            <v>2</v>
          </cell>
          <cell r="R491">
            <v>12</v>
          </cell>
          <cell r="S491">
            <v>12</v>
          </cell>
          <cell r="T491" t="str">
            <v>01</v>
          </cell>
          <cell r="U491">
            <v>12</v>
          </cell>
          <cell r="V491">
            <v>12</v>
          </cell>
          <cell r="W491" t="str">
            <v xml:space="preserve"> 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67500000</v>
          </cell>
          <cell r="AW491">
            <v>0</v>
          </cell>
          <cell r="AX491">
            <v>0</v>
          </cell>
          <cell r="AY491">
            <v>0</v>
          </cell>
          <cell r="AZ491">
            <v>0</v>
          </cell>
          <cell r="BA491">
            <v>0</v>
          </cell>
          <cell r="BB491">
            <v>0</v>
          </cell>
          <cell r="BC491">
            <v>0</v>
          </cell>
          <cell r="BD491">
            <v>0</v>
          </cell>
          <cell r="BE491">
            <v>0</v>
          </cell>
          <cell r="BF491">
            <v>0</v>
          </cell>
          <cell r="BG491">
            <v>0</v>
          </cell>
          <cell r="BH491">
            <v>0</v>
          </cell>
          <cell r="BI491">
            <v>0</v>
          </cell>
          <cell r="BJ491">
            <v>0</v>
          </cell>
          <cell r="BK491">
            <v>0</v>
          </cell>
          <cell r="BL491">
            <v>0</v>
          </cell>
          <cell r="BM491">
            <v>0</v>
          </cell>
          <cell r="BN491">
            <v>1</v>
          </cell>
          <cell r="BO491">
            <v>0</v>
          </cell>
          <cell r="BP491">
            <v>1</v>
          </cell>
          <cell r="BQ491">
            <v>12</v>
          </cell>
          <cell r="BR491">
            <v>0</v>
          </cell>
          <cell r="BS491">
            <v>0</v>
          </cell>
          <cell r="BT491">
            <v>0</v>
          </cell>
          <cell r="BU491">
            <v>0</v>
          </cell>
          <cell r="BV491">
            <v>0</v>
          </cell>
          <cell r="BW491">
            <v>0</v>
          </cell>
          <cell r="BX491">
            <v>0</v>
          </cell>
          <cell r="BY491">
            <v>0</v>
          </cell>
          <cell r="BZ491">
            <v>2</v>
          </cell>
        </row>
        <row r="492">
          <cell r="A492" t="str">
            <v>4842</v>
          </cell>
          <cell r="B492">
            <v>484</v>
          </cell>
          <cell r="C492" t="str">
            <v>4842</v>
          </cell>
          <cell r="D492">
            <v>484</v>
          </cell>
          <cell r="E492">
            <v>484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2</v>
          </cell>
          <cell r="Q492">
            <v>2</v>
          </cell>
          <cell r="R492">
            <v>12</v>
          </cell>
          <cell r="S492">
            <v>12</v>
          </cell>
          <cell r="T492" t="str">
            <v>01</v>
          </cell>
          <cell r="U492">
            <v>12</v>
          </cell>
          <cell r="V492">
            <v>12</v>
          </cell>
          <cell r="W492" t="str">
            <v xml:space="preserve"> 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67500000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  <cell r="BE492">
            <v>0</v>
          </cell>
          <cell r="BF492">
            <v>0</v>
          </cell>
          <cell r="BG492">
            <v>0</v>
          </cell>
          <cell r="BH492">
            <v>0</v>
          </cell>
          <cell r="BI492">
            <v>0</v>
          </cell>
          <cell r="BJ492">
            <v>0</v>
          </cell>
          <cell r="BK492">
            <v>0</v>
          </cell>
          <cell r="BL492">
            <v>0</v>
          </cell>
          <cell r="BM492">
            <v>0</v>
          </cell>
          <cell r="BN492">
            <v>1</v>
          </cell>
          <cell r="BO492">
            <v>0</v>
          </cell>
          <cell r="BP492">
            <v>1</v>
          </cell>
          <cell r="BQ492">
            <v>12</v>
          </cell>
          <cell r="BR492">
            <v>0</v>
          </cell>
          <cell r="BS492">
            <v>0</v>
          </cell>
          <cell r="BT492">
            <v>0</v>
          </cell>
          <cell r="BU492">
            <v>0</v>
          </cell>
          <cell r="BV492">
            <v>0</v>
          </cell>
          <cell r="BW492">
            <v>0</v>
          </cell>
          <cell r="BX492">
            <v>0</v>
          </cell>
          <cell r="BY492">
            <v>0</v>
          </cell>
          <cell r="BZ492">
            <v>2</v>
          </cell>
        </row>
        <row r="493">
          <cell r="A493" t="str">
            <v>4852</v>
          </cell>
          <cell r="B493">
            <v>485</v>
          </cell>
          <cell r="C493" t="str">
            <v>4852</v>
          </cell>
          <cell r="D493">
            <v>485</v>
          </cell>
          <cell r="E493">
            <v>485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2</v>
          </cell>
          <cell r="Q493">
            <v>2</v>
          </cell>
          <cell r="R493">
            <v>12</v>
          </cell>
          <cell r="S493">
            <v>12</v>
          </cell>
          <cell r="T493" t="str">
            <v>01</v>
          </cell>
          <cell r="U493">
            <v>12</v>
          </cell>
          <cell r="V493">
            <v>12</v>
          </cell>
          <cell r="W493" t="str">
            <v xml:space="preserve"> 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67500000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  <cell r="BE493">
            <v>0</v>
          </cell>
          <cell r="BF493">
            <v>0</v>
          </cell>
          <cell r="BG493">
            <v>0</v>
          </cell>
          <cell r="BH493">
            <v>0</v>
          </cell>
          <cell r="BI493">
            <v>0</v>
          </cell>
          <cell r="BJ493">
            <v>0</v>
          </cell>
          <cell r="BK493">
            <v>0</v>
          </cell>
          <cell r="BL493">
            <v>0</v>
          </cell>
          <cell r="BM493">
            <v>0</v>
          </cell>
          <cell r="BN493">
            <v>1</v>
          </cell>
          <cell r="BO493">
            <v>0</v>
          </cell>
          <cell r="BP493">
            <v>1</v>
          </cell>
          <cell r="BQ493">
            <v>12</v>
          </cell>
          <cell r="BR493">
            <v>0</v>
          </cell>
          <cell r="BS493">
            <v>0</v>
          </cell>
          <cell r="BT493">
            <v>0</v>
          </cell>
          <cell r="BU493">
            <v>0</v>
          </cell>
          <cell r="BV493">
            <v>0</v>
          </cell>
          <cell r="BW493">
            <v>0</v>
          </cell>
          <cell r="BX493">
            <v>0</v>
          </cell>
          <cell r="BY493">
            <v>0</v>
          </cell>
          <cell r="BZ493">
            <v>2</v>
          </cell>
        </row>
        <row r="494">
          <cell r="A494" t="str">
            <v>4862</v>
          </cell>
          <cell r="B494">
            <v>486</v>
          </cell>
          <cell r="C494" t="str">
            <v>4862</v>
          </cell>
          <cell r="D494">
            <v>486</v>
          </cell>
          <cell r="E494">
            <v>486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2</v>
          </cell>
          <cell r="Q494">
            <v>2</v>
          </cell>
          <cell r="R494">
            <v>12</v>
          </cell>
          <cell r="S494">
            <v>12</v>
          </cell>
          <cell r="T494" t="str">
            <v>01</v>
          </cell>
          <cell r="U494">
            <v>12</v>
          </cell>
          <cell r="V494">
            <v>12</v>
          </cell>
          <cell r="W494" t="str">
            <v xml:space="preserve"> 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67500000</v>
          </cell>
          <cell r="AW494">
            <v>0</v>
          </cell>
          <cell r="AX494">
            <v>0</v>
          </cell>
          <cell r="AY494">
            <v>0</v>
          </cell>
          <cell r="AZ494">
            <v>0</v>
          </cell>
          <cell r="BA494">
            <v>0</v>
          </cell>
          <cell r="BB494">
            <v>0</v>
          </cell>
          <cell r="BC494">
            <v>0</v>
          </cell>
          <cell r="BD494">
            <v>0</v>
          </cell>
          <cell r="BE494">
            <v>0</v>
          </cell>
          <cell r="BF494">
            <v>0</v>
          </cell>
          <cell r="BG494">
            <v>0</v>
          </cell>
          <cell r="BH494">
            <v>0</v>
          </cell>
          <cell r="BI494">
            <v>0</v>
          </cell>
          <cell r="BJ494">
            <v>0</v>
          </cell>
          <cell r="BK494">
            <v>0</v>
          </cell>
          <cell r="BL494">
            <v>0</v>
          </cell>
          <cell r="BM494">
            <v>0</v>
          </cell>
          <cell r="BN494">
            <v>1</v>
          </cell>
          <cell r="BO494">
            <v>0</v>
          </cell>
          <cell r="BP494">
            <v>1</v>
          </cell>
          <cell r="BQ494">
            <v>12</v>
          </cell>
          <cell r="BR494">
            <v>0</v>
          </cell>
          <cell r="BS494">
            <v>0</v>
          </cell>
          <cell r="BT494">
            <v>0</v>
          </cell>
          <cell r="BU494">
            <v>0</v>
          </cell>
          <cell r="BV494">
            <v>0</v>
          </cell>
          <cell r="BW494">
            <v>0</v>
          </cell>
          <cell r="BX494">
            <v>0</v>
          </cell>
          <cell r="BY494">
            <v>0</v>
          </cell>
          <cell r="BZ494">
            <v>2</v>
          </cell>
        </row>
        <row r="495">
          <cell r="A495" t="str">
            <v>4872</v>
          </cell>
          <cell r="B495">
            <v>487</v>
          </cell>
          <cell r="C495" t="str">
            <v>4872</v>
          </cell>
          <cell r="D495">
            <v>487</v>
          </cell>
          <cell r="E495">
            <v>487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2</v>
          </cell>
          <cell r="Q495">
            <v>2</v>
          </cell>
          <cell r="R495">
            <v>12</v>
          </cell>
          <cell r="S495">
            <v>12</v>
          </cell>
          <cell r="T495" t="str">
            <v>01</v>
          </cell>
          <cell r="U495">
            <v>12</v>
          </cell>
          <cell r="V495">
            <v>12</v>
          </cell>
          <cell r="W495" t="str">
            <v xml:space="preserve"> 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67500000</v>
          </cell>
          <cell r="AW495">
            <v>0</v>
          </cell>
          <cell r="AX495">
            <v>0</v>
          </cell>
          <cell r="AY495">
            <v>0</v>
          </cell>
          <cell r="AZ495">
            <v>0</v>
          </cell>
          <cell r="BA495">
            <v>0</v>
          </cell>
          <cell r="BB495">
            <v>0</v>
          </cell>
          <cell r="BC495">
            <v>0</v>
          </cell>
          <cell r="BD495">
            <v>0</v>
          </cell>
          <cell r="BE495">
            <v>0</v>
          </cell>
          <cell r="BF495">
            <v>0</v>
          </cell>
          <cell r="BG495">
            <v>0</v>
          </cell>
          <cell r="BH495">
            <v>0</v>
          </cell>
          <cell r="BI495">
            <v>0</v>
          </cell>
          <cell r="BJ495">
            <v>0</v>
          </cell>
          <cell r="BK495">
            <v>0</v>
          </cell>
          <cell r="BL495">
            <v>0</v>
          </cell>
          <cell r="BM495">
            <v>0</v>
          </cell>
          <cell r="BN495">
            <v>1</v>
          </cell>
          <cell r="BO495">
            <v>0</v>
          </cell>
          <cell r="BP495">
            <v>1</v>
          </cell>
          <cell r="BQ495">
            <v>12</v>
          </cell>
          <cell r="BR495">
            <v>0</v>
          </cell>
          <cell r="BS495">
            <v>0</v>
          </cell>
          <cell r="BT495">
            <v>0</v>
          </cell>
          <cell r="BU495">
            <v>0</v>
          </cell>
          <cell r="BV495">
            <v>0</v>
          </cell>
          <cell r="BW495">
            <v>0</v>
          </cell>
          <cell r="BX495">
            <v>0</v>
          </cell>
          <cell r="BY495">
            <v>0</v>
          </cell>
          <cell r="BZ495">
            <v>2</v>
          </cell>
        </row>
        <row r="496">
          <cell r="A496" t="str">
            <v>4882</v>
          </cell>
          <cell r="B496">
            <v>488</v>
          </cell>
          <cell r="C496" t="str">
            <v>4882</v>
          </cell>
          <cell r="D496">
            <v>488</v>
          </cell>
          <cell r="E496">
            <v>488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2</v>
          </cell>
          <cell r="Q496">
            <v>2</v>
          </cell>
          <cell r="R496">
            <v>12</v>
          </cell>
          <cell r="S496">
            <v>12</v>
          </cell>
          <cell r="T496" t="str">
            <v>01</v>
          </cell>
          <cell r="U496">
            <v>12</v>
          </cell>
          <cell r="V496">
            <v>12</v>
          </cell>
          <cell r="W496" t="str">
            <v xml:space="preserve"> 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67500000</v>
          </cell>
          <cell r="AW496">
            <v>0</v>
          </cell>
          <cell r="AX496">
            <v>0</v>
          </cell>
          <cell r="AY496">
            <v>0</v>
          </cell>
          <cell r="AZ496">
            <v>0</v>
          </cell>
          <cell r="BA496">
            <v>0</v>
          </cell>
          <cell r="BB496">
            <v>0</v>
          </cell>
          <cell r="BC496">
            <v>0</v>
          </cell>
          <cell r="BD496">
            <v>0</v>
          </cell>
          <cell r="BE496">
            <v>0</v>
          </cell>
          <cell r="BF496">
            <v>0</v>
          </cell>
          <cell r="BG496">
            <v>0</v>
          </cell>
          <cell r="BH496">
            <v>0</v>
          </cell>
          <cell r="BI496">
            <v>0</v>
          </cell>
          <cell r="BJ496">
            <v>0</v>
          </cell>
          <cell r="BK496">
            <v>0</v>
          </cell>
          <cell r="BL496">
            <v>0</v>
          </cell>
          <cell r="BM496">
            <v>0</v>
          </cell>
          <cell r="BN496">
            <v>1</v>
          </cell>
          <cell r="BO496">
            <v>0</v>
          </cell>
          <cell r="BP496">
            <v>1</v>
          </cell>
          <cell r="BQ496">
            <v>12</v>
          </cell>
          <cell r="BR496">
            <v>0</v>
          </cell>
          <cell r="BS496">
            <v>0</v>
          </cell>
          <cell r="BT496">
            <v>0</v>
          </cell>
          <cell r="BU496">
            <v>0</v>
          </cell>
          <cell r="BV496">
            <v>0</v>
          </cell>
          <cell r="BW496">
            <v>0</v>
          </cell>
          <cell r="BX496">
            <v>0</v>
          </cell>
          <cell r="BY496">
            <v>0</v>
          </cell>
          <cell r="BZ496">
            <v>2</v>
          </cell>
        </row>
        <row r="497">
          <cell r="A497" t="str">
            <v>4892</v>
          </cell>
          <cell r="B497">
            <v>489</v>
          </cell>
          <cell r="C497" t="str">
            <v>4892</v>
          </cell>
          <cell r="D497">
            <v>489</v>
          </cell>
          <cell r="E497">
            <v>489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2</v>
          </cell>
          <cell r="Q497">
            <v>2</v>
          </cell>
          <cell r="R497">
            <v>12</v>
          </cell>
          <cell r="S497">
            <v>12</v>
          </cell>
          <cell r="T497" t="str">
            <v>01</v>
          </cell>
          <cell r="U497">
            <v>12</v>
          </cell>
          <cell r="V497">
            <v>12</v>
          </cell>
          <cell r="W497" t="str">
            <v xml:space="preserve"> 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>
            <v>0</v>
          </cell>
          <cell r="AP497">
            <v>0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67500000</v>
          </cell>
          <cell r="AW497">
            <v>0</v>
          </cell>
          <cell r="AX497">
            <v>0</v>
          </cell>
          <cell r="AY497">
            <v>0</v>
          </cell>
          <cell r="AZ497">
            <v>0</v>
          </cell>
          <cell r="BA497">
            <v>0</v>
          </cell>
          <cell r="BB497">
            <v>0</v>
          </cell>
          <cell r="BC497">
            <v>0</v>
          </cell>
          <cell r="BD497">
            <v>0</v>
          </cell>
          <cell r="BE497">
            <v>0</v>
          </cell>
          <cell r="BF497">
            <v>0</v>
          </cell>
          <cell r="BG497">
            <v>0</v>
          </cell>
          <cell r="BH497">
            <v>0</v>
          </cell>
          <cell r="BI497">
            <v>0</v>
          </cell>
          <cell r="BJ497">
            <v>0</v>
          </cell>
          <cell r="BK497">
            <v>0</v>
          </cell>
          <cell r="BL497">
            <v>0</v>
          </cell>
          <cell r="BM497">
            <v>0</v>
          </cell>
          <cell r="BN497">
            <v>1</v>
          </cell>
          <cell r="BO497">
            <v>0</v>
          </cell>
          <cell r="BP497">
            <v>1</v>
          </cell>
          <cell r="BQ497">
            <v>12</v>
          </cell>
          <cell r="BR497">
            <v>0</v>
          </cell>
          <cell r="BS497">
            <v>0</v>
          </cell>
          <cell r="BT497">
            <v>0</v>
          </cell>
          <cell r="BU497">
            <v>0</v>
          </cell>
          <cell r="BV497">
            <v>0</v>
          </cell>
          <cell r="BW497">
            <v>0</v>
          </cell>
          <cell r="BX497">
            <v>0</v>
          </cell>
          <cell r="BY497">
            <v>0</v>
          </cell>
          <cell r="BZ497">
            <v>2</v>
          </cell>
        </row>
        <row r="498">
          <cell r="A498" t="str">
            <v>4902</v>
          </cell>
          <cell r="B498">
            <v>490</v>
          </cell>
          <cell r="C498" t="str">
            <v>4902</v>
          </cell>
          <cell r="D498">
            <v>490</v>
          </cell>
          <cell r="E498">
            <v>490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2</v>
          </cell>
          <cell r="Q498">
            <v>2</v>
          </cell>
          <cell r="R498">
            <v>12</v>
          </cell>
          <cell r="S498">
            <v>12</v>
          </cell>
          <cell r="T498" t="str">
            <v>01</v>
          </cell>
          <cell r="U498">
            <v>12</v>
          </cell>
          <cell r="V498">
            <v>12</v>
          </cell>
          <cell r="W498" t="str">
            <v xml:space="preserve"> 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67500000</v>
          </cell>
          <cell r="AW498">
            <v>0</v>
          </cell>
          <cell r="AX498">
            <v>0</v>
          </cell>
          <cell r="AY498">
            <v>0</v>
          </cell>
          <cell r="AZ498">
            <v>0</v>
          </cell>
          <cell r="BA498">
            <v>0</v>
          </cell>
          <cell r="BB498">
            <v>0</v>
          </cell>
          <cell r="BC498">
            <v>0</v>
          </cell>
          <cell r="BD498">
            <v>0</v>
          </cell>
          <cell r="BE498">
            <v>0</v>
          </cell>
          <cell r="BF498">
            <v>0</v>
          </cell>
          <cell r="BG498">
            <v>0</v>
          </cell>
          <cell r="BH498">
            <v>0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>
            <v>0</v>
          </cell>
          <cell r="BN498">
            <v>1</v>
          </cell>
          <cell r="BO498">
            <v>0</v>
          </cell>
          <cell r="BP498">
            <v>1</v>
          </cell>
          <cell r="BQ498">
            <v>12</v>
          </cell>
          <cell r="BR498">
            <v>0</v>
          </cell>
          <cell r="BS498">
            <v>0</v>
          </cell>
          <cell r="BT498">
            <v>0</v>
          </cell>
          <cell r="BU498">
            <v>0</v>
          </cell>
          <cell r="BV498">
            <v>0</v>
          </cell>
          <cell r="BW498">
            <v>0</v>
          </cell>
          <cell r="BX498">
            <v>0</v>
          </cell>
          <cell r="BY498">
            <v>0</v>
          </cell>
          <cell r="BZ498">
            <v>2</v>
          </cell>
        </row>
        <row r="499">
          <cell r="A499" t="str">
            <v>4912</v>
          </cell>
          <cell r="B499">
            <v>491</v>
          </cell>
          <cell r="C499" t="str">
            <v>4912</v>
          </cell>
          <cell r="D499">
            <v>491</v>
          </cell>
          <cell r="E499">
            <v>491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2</v>
          </cell>
          <cell r="Q499">
            <v>2</v>
          </cell>
          <cell r="R499">
            <v>12</v>
          </cell>
          <cell r="S499">
            <v>12</v>
          </cell>
          <cell r="T499" t="str">
            <v>01</v>
          </cell>
          <cell r="U499">
            <v>12</v>
          </cell>
          <cell r="V499">
            <v>12</v>
          </cell>
          <cell r="W499" t="str">
            <v xml:space="preserve"> 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67500000</v>
          </cell>
          <cell r="AW499">
            <v>0</v>
          </cell>
          <cell r="AX499">
            <v>0</v>
          </cell>
          <cell r="AY499">
            <v>0</v>
          </cell>
          <cell r="AZ499">
            <v>0</v>
          </cell>
          <cell r="BA499">
            <v>0</v>
          </cell>
          <cell r="BB499">
            <v>0</v>
          </cell>
          <cell r="BC499">
            <v>0</v>
          </cell>
          <cell r="BD499">
            <v>0</v>
          </cell>
          <cell r="BE499">
            <v>0</v>
          </cell>
          <cell r="BF499">
            <v>0</v>
          </cell>
          <cell r="BG499">
            <v>0</v>
          </cell>
          <cell r="BH499">
            <v>0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>
            <v>0</v>
          </cell>
          <cell r="BN499">
            <v>1</v>
          </cell>
          <cell r="BO499">
            <v>0</v>
          </cell>
          <cell r="BP499">
            <v>1</v>
          </cell>
          <cell r="BQ499">
            <v>12</v>
          </cell>
          <cell r="BR499">
            <v>0</v>
          </cell>
          <cell r="BS499">
            <v>0</v>
          </cell>
          <cell r="BT499">
            <v>0</v>
          </cell>
          <cell r="BU499">
            <v>0</v>
          </cell>
          <cell r="BV499">
            <v>0</v>
          </cell>
          <cell r="BW499">
            <v>0</v>
          </cell>
          <cell r="BX499">
            <v>0</v>
          </cell>
          <cell r="BY499">
            <v>0</v>
          </cell>
          <cell r="BZ499">
            <v>2</v>
          </cell>
        </row>
        <row r="500">
          <cell r="A500" t="str">
            <v>4922</v>
          </cell>
          <cell r="B500">
            <v>492</v>
          </cell>
          <cell r="C500" t="str">
            <v>4922</v>
          </cell>
          <cell r="D500">
            <v>492</v>
          </cell>
          <cell r="E500">
            <v>492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2</v>
          </cell>
          <cell r="Q500">
            <v>2</v>
          </cell>
          <cell r="R500">
            <v>12</v>
          </cell>
          <cell r="S500">
            <v>12</v>
          </cell>
          <cell r="T500" t="str">
            <v>01</v>
          </cell>
          <cell r="U500">
            <v>12</v>
          </cell>
          <cell r="V500">
            <v>12</v>
          </cell>
          <cell r="W500" t="str">
            <v xml:space="preserve"> 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>
            <v>0</v>
          </cell>
          <cell r="AP500">
            <v>0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67500000</v>
          </cell>
          <cell r="AW500">
            <v>0</v>
          </cell>
          <cell r="AX500">
            <v>0</v>
          </cell>
          <cell r="AY500">
            <v>0</v>
          </cell>
          <cell r="AZ500">
            <v>0</v>
          </cell>
          <cell r="BA500">
            <v>0</v>
          </cell>
          <cell r="BB500">
            <v>0</v>
          </cell>
          <cell r="BC500">
            <v>0</v>
          </cell>
          <cell r="BD500">
            <v>0</v>
          </cell>
          <cell r="BE500">
            <v>0</v>
          </cell>
          <cell r="BF500">
            <v>0</v>
          </cell>
          <cell r="BG500">
            <v>0</v>
          </cell>
          <cell r="BH500">
            <v>0</v>
          </cell>
          <cell r="BI500">
            <v>0</v>
          </cell>
          <cell r="BJ500">
            <v>0</v>
          </cell>
          <cell r="BK500">
            <v>0</v>
          </cell>
          <cell r="BL500">
            <v>0</v>
          </cell>
          <cell r="BM500">
            <v>0</v>
          </cell>
          <cell r="BN500">
            <v>1</v>
          </cell>
          <cell r="BO500">
            <v>0</v>
          </cell>
          <cell r="BP500">
            <v>1</v>
          </cell>
          <cell r="BQ500">
            <v>12</v>
          </cell>
          <cell r="BR500">
            <v>0</v>
          </cell>
          <cell r="BS500">
            <v>0</v>
          </cell>
          <cell r="BT500">
            <v>0</v>
          </cell>
          <cell r="BU500">
            <v>0</v>
          </cell>
          <cell r="BV500">
            <v>0</v>
          </cell>
          <cell r="BW500">
            <v>0</v>
          </cell>
          <cell r="BX500">
            <v>0</v>
          </cell>
          <cell r="BY500">
            <v>0</v>
          </cell>
          <cell r="BZ500">
            <v>2</v>
          </cell>
        </row>
        <row r="501">
          <cell r="A501" t="str">
            <v>4932</v>
          </cell>
          <cell r="B501">
            <v>493</v>
          </cell>
          <cell r="C501" t="str">
            <v>4932</v>
          </cell>
          <cell r="D501">
            <v>493</v>
          </cell>
          <cell r="E501">
            <v>493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2</v>
          </cell>
          <cell r="Q501">
            <v>2</v>
          </cell>
          <cell r="R501">
            <v>12</v>
          </cell>
          <cell r="S501">
            <v>12</v>
          </cell>
          <cell r="T501" t="str">
            <v>01</v>
          </cell>
          <cell r="U501">
            <v>12</v>
          </cell>
          <cell r="V501">
            <v>12</v>
          </cell>
          <cell r="W501" t="str">
            <v xml:space="preserve"> 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67500000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>
            <v>0</v>
          </cell>
          <cell r="BB501">
            <v>0</v>
          </cell>
          <cell r="BC501">
            <v>0</v>
          </cell>
          <cell r="BD501">
            <v>0</v>
          </cell>
          <cell r="BE501">
            <v>0</v>
          </cell>
          <cell r="BF501">
            <v>0</v>
          </cell>
          <cell r="BG501">
            <v>0</v>
          </cell>
          <cell r="BH501">
            <v>0</v>
          </cell>
          <cell r="BI501">
            <v>0</v>
          </cell>
          <cell r="BJ501">
            <v>0</v>
          </cell>
          <cell r="BK501">
            <v>0</v>
          </cell>
          <cell r="BL501">
            <v>0</v>
          </cell>
          <cell r="BM501">
            <v>0</v>
          </cell>
          <cell r="BN501">
            <v>1</v>
          </cell>
          <cell r="BO501">
            <v>0</v>
          </cell>
          <cell r="BP501">
            <v>1</v>
          </cell>
          <cell r="BQ501">
            <v>12</v>
          </cell>
          <cell r="BR501">
            <v>0</v>
          </cell>
          <cell r="BS501">
            <v>0</v>
          </cell>
          <cell r="BT501">
            <v>0</v>
          </cell>
          <cell r="BU501">
            <v>0</v>
          </cell>
          <cell r="BV501">
            <v>0</v>
          </cell>
          <cell r="BW501">
            <v>0</v>
          </cell>
          <cell r="BX501">
            <v>0</v>
          </cell>
          <cell r="BY501">
            <v>0</v>
          </cell>
          <cell r="BZ501">
            <v>2</v>
          </cell>
        </row>
        <row r="502">
          <cell r="A502" t="str">
            <v>4942</v>
          </cell>
          <cell r="B502">
            <v>494</v>
          </cell>
          <cell r="C502" t="str">
            <v>4942</v>
          </cell>
          <cell r="D502">
            <v>494</v>
          </cell>
          <cell r="E502">
            <v>494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2</v>
          </cell>
          <cell r="Q502">
            <v>2</v>
          </cell>
          <cell r="R502">
            <v>12</v>
          </cell>
          <cell r="S502">
            <v>12</v>
          </cell>
          <cell r="T502" t="str">
            <v>01</v>
          </cell>
          <cell r="U502">
            <v>12</v>
          </cell>
          <cell r="V502">
            <v>12</v>
          </cell>
          <cell r="W502" t="str">
            <v xml:space="preserve"> 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67500000</v>
          </cell>
          <cell r="AW502">
            <v>0</v>
          </cell>
          <cell r="AX502">
            <v>0</v>
          </cell>
          <cell r="AY502">
            <v>0</v>
          </cell>
          <cell r="AZ502">
            <v>0</v>
          </cell>
          <cell r="BA502">
            <v>0</v>
          </cell>
          <cell r="BB502">
            <v>0</v>
          </cell>
          <cell r="BC502">
            <v>0</v>
          </cell>
          <cell r="BD502">
            <v>0</v>
          </cell>
          <cell r="BE502">
            <v>0</v>
          </cell>
          <cell r="BF502">
            <v>0</v>
          </cell>
          <cell r="BG502">
            <v>0</v>
          </cell>
          <cell r="BH502">
            <v>0</v>
          </cell>
          <cell r="BI502">
            <v>0</v>
          </cell>
          <cell r="BJ502">
            <v>0</v>
          </cell>
          <cell r="BK502">
            <v>0</v>
          </cell>
          <cell r="BL502">
            <v>0</v>
          </cell>
          <cell r="BM502">
            <v>0</v>
          </cell>
          <cell r="BN502">
            <v>1</v>
          </cell>
          <cell r="BO502">
            <v>0</v>
          </cell>
          <cell r="BP502">
            <v>1</v>
          </cell>
          <cell r="BQ502">
            <v>12</v>
          </cell>
          <cell r="BR502">
            <v>0</v>
          </cell>
          <cell r="BS502">
            <v>0</v>
          </cell>
          <cell r="BT502">
            <v>0</v>
          </cell>
          <cell r="BU502">
            <v>0</v>
          </cell>
          <cell r="BV502">
            <v>0</v>
          </cell>
          <cell r="BW502">
            <v>0</v>
          </cell>
          <cell r="BX502">
            <v>0</v>
          </cell>
          <cell r="BY502">
            <v>0</v>
          </cell>
          <cell r="BZ502">
            <v>2</v>
          </cell>
        </row>
        <row r="503">
          <cell r="A503" t="str">
            <v>4952</v>
          </cell>
          <cell r="B503">
            <v>495</v>
          </cell>
          <cell r="C503" t="str">
            <v>4952</v>
          </cell>
          <cell r="D503">
            <v>495</v>
          </cell>
          <cell r="E503">
            <v>495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2</v>
          </cell>
          <cell r="Q503">
            <v>2</v>
          </cell>
          <cell r="R503">
            <v>12</v>
          </cell>
          <cell r="S503">
            <v>12</v>
          </cell>
          <cell r="T503" t="str">
            <v>01</v>
          </cell>
          <cell r="U503">
            <v>12</v>
          </cell>
          <cell r="V503">
            <v>12</v>
          </cell>
          <cell r="W503" t="str">
            <v xml:space="preserve"> 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  <cell r="AJ503">
            <v>0</v>
          </cell>
          <cell r="AK503">
            <v>0</v>
          </cell>
          <cell r="AL503">
            <v>0</v>
          </cell>
          <cell r="AM503">
            <v>0</v>
          </cell>
          <cell r="AN503">
            <v>0</v>
          </cell>
          <cell r="AO503">
            <v>0</v>
          </cell>
          <cell r="AP503">
            <v>0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  <cell r="AU503">
            <v>0</v>
          </cell>
          <cell r="AV503">
            <v>67500000</v>
          </cell>
          <cell r="AW503">
            <v>0</v>
          </cell>
          <cell r="AX503">
            <v>0</v>
          </cell>
          <cell r="AY503">
            <v>0</v>
          </cell>
          <cell r="AZ503">
            <v>0</v>
          </cell>
          <cell r="BA503">
            <v>0</v>
          </cell>
          <cell r="BB503">
            <v>0</v>
          </cell>
          <cell r="BC503">
            <v>0</v>
          </cell>
          <cell r="BD503">
            <v>0</v>
          </cell>
          <cell r="BE503">
            <v>0</v>
          </cell>
          <cell r="BF503">
            <v>0</v>
          </cell>
          <cell r="BG503">
            <v>0</v>
          </cell>
          <cell r="BH503">
            <v>0</v>
          </cell>
          <cell r="BI503">
            <v>0</v>
          </cell>
          <cell r="BJ503">
            <v>0</v>
          </cell>
          <cell r="BK503">
            <v>0</v>
          </cell>
          <cell r="BL503">
            <v>0</v>
          </cell>
          <cell r="BM503">
            <v>0</v>
          </cell>
          <cell r="BN503">
            <v>1</v>
          </cell>
          <cell r="BO503">
            <v>0</v>
          </cell>
          <cell r="BP503">
            <v>1</v>
          </cell>
          <cell r="BQ503">
            <v>12</v>
          </cell>
          <cell r="BR503">
            <v>0</v>
          </cell>
          <cell r="BS503">
            <v>0</v>
          </cell>
          <cell r="BT503">
            <v>0</v>
          </cell>
          <cell r="BU503">
            <v>0</v>
          </cell>
          <cell r="BV503">
            <v>0</v>
          </cell>
          <cell r="BW503">
            <v>0</v>
          </cell>
          <cell r="BX503">
            <v>0</v>
          </cell>
          <cell r="BY503">
            <v>0</v>
          </cell>
          <cell r="BZ503">
            <v>2</v>
          </cell>
        </row>
        <row r="504">
          <cell r="A504" t="str">
            <v>4962</v>
          </cell>
          <cell r="B504">
            <v>496</v>
          </cell>
          <cell r="C504" t="str">
            <v>4962</v>
          </cell>
          <cell r="D504">
            <v>496</v>
          </cell>
          <cell r="E504">
            <v>496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2</v>
          </cell>
          <cell r="Q504">
            <v>2</v>
          </cell>
          <cell r="R504">
            <v>12</v>
          </cell>
          <cell r="S504">
            <v>12</v>
          </cell>
          <cell r="T504" t="str">
            <v>01</v>
          </cell>
          <cell r="U504">
            <v>12</v>
          </cell>
          <cell r="V504">
            <v>12</v>
          </cell>
          <cell r="W504" t="str">
            <v xml:space="preserve"> 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67500000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>
            <v>0</v>
          </cell>
          <cell r="BB504">
            <v>0</v>
          </cell>
          <cell r="BC504">
            <v>0</v>
          </cell>
          <cell r="BD504">
            <v>0</v>
          </cell>
          <cell r="BE504">
            <v>0</v>
          </cell>
          <cell r="BF504">
            <v>0</v>
          </cell>
          <cell r="BG504">
            <v>0</v>
          </cell>
          <cell r="BH504">
            <v>0</v>
          </cell>
          <cell r="BI504">
            <v>0</v>
          </cell>
          <cell r="BJ504">
            <v>0</v>
          </cell>
          <cell r="BK504">
            <v>0</v>
          </cell>
          <cell r="BL504">
            <v>0</v>
          </cell>
          <cell r="BM504">
            <v>0</v>
          </cell>
          <cell r="BN504">
            <v>1</v>
          </cell>
          <cell r="BO504">
            <v>0</v>
          </cell>
          <cell r="BP504">
            <v>1</v>
          </cell>
          <cell r="BQ504">
            <v>12</v>
          </cell>
          <cell r="BR504">
            <v>0</v>
          </cell>
          <cell r="BS504">
            <v>0</v>
          </cell>
          <cell r="BT504">
            <v>0</v>
          </cell>
          <cell r="BU504">
            <v>0</v>
          </cell>
          <cell r="BV504">
            <v>0</v>
          </cell>
          <cell r="BW504">
            <v>0</v>
          </cell>
          <cell r="BX504">
            <v>0</v>
          </cell>
          <cell r="BY504">
            <v>0</v>
          </cell>
          <cell r="BZ504">
            <v>2</v>
          </cell>
        </row>
        <row r="505">
          <cell r="A505" t="str">
            <v>4972</v>
          </cell>
          <cell r="B505">
            <v>497</v>
          </cell>
          <cell r="C505" t="str">
            <v>4972</v>
          </cell>
          <cell r="D505">
            <v>497</v>
          </cell>
          <cell r="E505">
            <v>497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2</v>
          </cell>
          <cell r="Q505">
            <v>2</v>
          </cell>
          <cell r="R505">
            <v>12</v>
          </cell>
          <cell r="S505">
            <v>12</v>
          </cell>
          <cell r="T505" t="str">
            <v>01</v>
          </cell>
          <cell r="U505">
            <v>12</v>
          </cell>
          <cell r="V505">
            <v>12</v>
          </cell>
          <cell r="W505" t="str">
            <v xml:space="preserve"> 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67500000</v>
          </cell>
          <cell r="AW505">
            <v>0</v>
          </cell>
          <cell r="AX505">
            <v>0</v>
          </cell>
          <cell r="AY505">
            <v>0</v>
          </cell>
          <cell r="AZ505">
            <v>0</v>
          </cell>
          <cell r="BA505">
            <v>0</v>
          </cell>
          <cell r="BB505">
            <v>0</v>
          </cell>
          <cell r="BC505">
            <v>0</v>
          </cell>
          <cell r="BD505">
            <v>0</v>
          </cell>
          <cell r="BE505">
            <v>0</v>
          </cell>
          <cell r="BF505">
            <v>0</v>
          </cell>
          <cell r="BG505">
            <v>0</v>
          </cell>
          <cell r="BH505">
            <v>0</v>
          </cell>
          <cell r="BI505">
            <v>0</v>
          </cell>
          <cell r="BJ505">
            <v>0</v>
          </cell>
          <cell r="BK505">
            <v>0</v>
          </cell>
          <cell r="BL505">
            <v>0</v>
          </cell>
          <cell r="BM505">
            <v>0</v>
          </cell>
          <cell r="BN505">
            <v>1</v>
          </cell>
          <cell r="BO505">
            <v>0</v>
          </cell>
          <cell r="BP505">
            <v>1</v>
          </cell>
          <cell r="BQ505">
            <v>12</v>
          </cell>
          <cell r="BR505">
            <v>0</v>
          </cell>
          <cell r="BS505">
            <v>0</v>
          </cell>
          <cell r="BT505">
            <v>0</v>
          </cell>
          <cell r="BU505">
            <v>0</v>
          </cell>
          <cell r="BV505">
            <v>0</v>
          </cell>
          <cell r="BW505">
            <v>0</v>
          </cell>
          <cell r="BX505">
            <v>0</v>
          </cell>
          <cell r="BY505">
            <v>0</v>
          </cell>
          <cell r="BZ505">
            <v>2</v>
          </cell>
        </row>
        <row r="506">
          <cell r="A506" t="str">
            <v>4982</v>
          </cell>
          <cell r="B506">
            <v>498</v>
          </cell>
          <cell r="C506" t="str">
            <v>4982</v>
          </cell>
          <cell r="D506">
            <v>498</v>
          </cell>
          <cell r="E506">
            <v>498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2</v>
          </cell>
          <cell r="Q506">
            <v>2</v>
          </cell>
          <cell r="R506">
            <v>12</v>
          </cell>
          <cell r="S506">
            <v>12</v>
          </cell>
          <cell r="T506" t="str">
            <v>01</v>
          </cell>
          <cell r="U506">
            <v>12</v>
          </cell>
          <cell r="V506">
            <v>12</v>
          </cell>
          <cell r="W506" t="str">
            <v xml:space="preserve"> 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67500000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>
            <v>0</v>
          </cell>
          <cell r="BB506">
            <v>0</v>
          </cell>
          <cell r="BC506">
            <v>0</v>
          </cell>
          <cell r="BD506">
            <v>0</v>
          </cell>
          <cell r="BE506">
            <v>0</v>
          </cell>
          <cell r="BF506">
            <v>0</v>
          </cell>
          <cell r="BG506">
            <v>0</v>
          </cell>
          <cell r="BH506">
            <v>0</v>
          </cell>
          <cell r="BI506">
            <v>0</v>
          </cell>
          <cell r="BJ506">
            <v>0</v>
          </cell>
          <cell r="BK506">
            <v>0</v>
          </cell>
          <cell r="BL506">
            <v>0</v>
          </cell>
          <cell r="BM506">
            <v>0</v>
          </cell>
          <cell r="BN506">
            <v>1</v>
          </cell>
          <cell r="BO506">
            <v>0</v>
          </cell>
          <cell r="BP506">
            <v>1</v>
          </cell>
          <cell r="BQ506">
            <v>12</v>
          </cell>
          <cell r="BR506">
            <v>0</v>
          </cell>
          <cell r="BS506">
            <v>0</v>
          </cell>
          <cell r="BT506">
            <v>0</v>
          </cell>
          <cell r="BU506">
            <v>0</v>
          </cell>
          <cell r="BV506">
            <v>0</v>
          </cell>
          <cell r="BW506">
            <v>0</v>
          </cell>
          <cell r="BX506">
            <v>0</v>
          </cell>
          <cell r="BY506">
            <v>0</v>
          </cell>
          <cell r="BZ506">
            <v>2</v>
          </cell>
        </row>
        <row r="507">
          <cell r="A507" t="str">
            <v>4992</v>
          </cell>
          <cell r="B507">
            <v>499</v>
          </cell>
          <cell r="C507" t="str">
            <v>4992</v>
          </cell>
          <cell r="D507">
            <v>499</v>
          </cell>
          <cell r="E507">
            <v>499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2</v>
          </cell>
          <cell r="Q507">
            <v>2</v>
          </cell>
          <cell r="R507">
            <v>12</v>
          </cell>
          <cell r="S507">
            <v>12</v>
          </cell>
          <cell r="T507" t="str">
            <v>01</v>
          </cell>
          <cell r="U507">
            <v>12</v>
          </cell>
          <cell r="V507">
            <v>12</v>
          </cell>
          <cell r="W507" t="str">
            <v xml:space="preserve"> 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67500000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>
            <v>0</v>
          </cell>
          <cell r="BB507">
            <v>0</v>
          </cell>
          <cell r="BC507">
            <v>0</v>
          </cell>
          <cell r="BD507">
            <v>0</v>
          </cell>
          <cell r="BE507">
            <v>0</v>
          </cell>
          <cell r="BF507">
            <v>0</v>
          </cell>
          <cell r="BG507">
            <v>0</v>
          </cell>
          <cell r="BH507">
            <v>0</v>
          </cell>
          <cell r="BI507">
            <v>0</v>
          </cell>
          <cell r="BJ507">
            <v>0</v>
          </cell>
          <cell r="BK507">
            <v>0</v>
          </cell>
          <cell r="BL507">
            <v>0</v>
          </cell>
          <cell r="BM507">
            <v>0</v>
          </cell>
          <cell r="BN507">
            <v>1</v>
          </cell>
          <cell r="BO507">
            <v>0</v>
          </cell>
          <cell r="BP507">
            <v>1</v>
          </cell>
          <cell r="BQ507">
            <v>12</v>
          </cell>
          <cell r="BR507">
            <v>0</v>
          </cell>
          <cell r="BS507">
            <v>0</v>
          </cell>
          <cell r="BT507">
            <v>0</v>
          </cell>
          <cell r="BU507">
            <v>0</v>
          </cell>
          <cell r="BV507">
            <v>0</v>
          </cell>
          <cell r="BW507">
            <v>0</v>
          </cell>
          <cell r="BX507">
            <v>0</v>
          </cell>
          <cell r="BY507">
            <v>0</v>
          </cell>
          <cell r="BZ507">
            <v>2</v>
          </cell>
        </row>
        <row r="508">
          <cell r="A508" t="str">
            <v>5002</v>
          </cell>
          <cell r="B508">
            <v>500</v>
          </cell>
          <cell r="C508" t="str">
            <v>5002</v>
          </cell>
          <cell r="D508">
            <v>500</v>
          </cell>
          <cell r="E508">
            <v>500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2</v>
          </cell>
          <cell r="Q508">
            <v>2</v>
          </cell>
          <cell r="R508">
            <v>12</v>
          </cell>
          <cell r="S508">
            <v>12</v>
          </cell>
          <cell r="T508" t="str">
            <v>01</v>
          </cell>
          <cell r="U508">
            <v>12</v>
          </cell>
          <cell r="V508">
            <v>12</v>
          </cell>
          <cell r="W508" t="str">
            <v xml:space="preserve"> 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67500000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>
            <v>0</v>
          </cell>
          <cell r="BB508">
            <v>0</v>
          </cell>
          <cell r="BC508">
            <v>0</v>
          </cell>
          <cell r="BD508">
            <v>0</v>
          </cell>
          <cell r="BE508">
            <v>0</v>
          </cell>
          <cell r="BF508">
            <v>0</v>
          </cell>
          <cell r="BG508">
            <v>0</v>
          </cell>
          <cell r="BH508">
            <v>0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>
            <v>0</v>
          </cell>
          <cell r="BN508">
            <v>1</v>
          </cell>
          <cell r="BO508">
            <v>0</v>
          </cell>
          <cell r="BP508">
            <v>1</v>
          </cell>
          <cell r="BQ508">
            <v>12</v>
          </cell>
          <cell r="BR508">
            <v>0</v>
          </cell>
          <cell r="BS508">
            <v>0</v>
          </cell>
          <cell r="BT508">
            <v>0</v>
          </cell>
          <cell r="BU508">
            <v>0</v>
          </cell>
          <cell r="BV508">
            <v>0</v>
          </cell>
          <cell r="BW508">
            <v>0</v>
          </cell>
          <cell r="BX508">
            <v>0</v>
          </cell>
          <cell r="BY508">
            <v>0</v>
          </cell>
          <cell r="BZ508">
            <v>2</v>
          </cell>
        </row>
        <row r="509">
          <cell r="E509" t="str">
            <v>J   u   m   l   a   h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46750000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9360000</v>
          </cell>
          <cell r="AF509">
            <v>56110000</v>
          </cell>
          <cell r="AG509">
            <v>561000000</v>
          </cell>
          <cell r="AH509">
            <v>0</v>
          </cell>
          <cell r="AI509">
            <v>0</v>
          </cell>
          <cell r="AJ509">
            <v>0</v>
          </cell>
          <cell r="AK509">
            <v>46750000</v>
          </cell>
          <cell r="AL509">
            <v>0</v>
          </cell>
          <cell r="AM509">
            <v>112320000</v>
          </cell>
          <cell r="AN509">
            <v>720070000</v>
          </cell>
          <cell r="AO509">
            <v>0</v>
          </cell>
          <cell r="AP509">
            <v>720070000</v>
          </cell>
          <cell r="AQ509">
            <v>36003500</v>
          </cell>
          <cell r="AR509">
            <v>36003500</v>
          </cell>
          <cell r="AS509">
            <v>0</v>
          </cell>
          <cell r="AT509">
            <v>2337500</v>
          </cell>
          <cell r="AU509">
            <v>684066500</v>
          </cell>
          <cell r="AV509">
            <v>33480000000</v>
          </cell>
          <cell r="AW509">
            <v>0</v>
          </cell>
          <cell r="AX509">
            <v>0</v>
          </cell>
          <cell r="AY509">
            <v>0</v>
          </cell>
          <cell r="AZ509">
            <v>684066500</v>
          </cell>
          <cell r="BA509">
            <v>684066500</v>
          </cell>
          <cell r="BB509">
            <v>684066500</v>
          </cell>
          <cell r="BC509">
            <v>0</v>
          </cell>
          <cell r="BD509">
            <v>0</v>
          </cell>
          <cell r="BE509">
            <v>0</v>
          </cell>
          <cell r="BF509">
            <v>0</v>
          </cell>
          <cell r="BG509">
            <v>0</v>
          </cell>
          <cell r="BH509">
            <v>0</v>
          </cell>
          <cell r="BI509">
            <v>0</v>
          </cell>
          <cell r="BJ509">
            <v>0</v>
          </cell>
          <cell r="BK509">
            <v>0</v>
          </cell>
          <cell r="BL509">
            <v>0</v>
          </cell>
          <cell r="BM509">
            <v>0</v>
          </cell>
        </row>
        <row r="510"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>
            <v>0</v>
          </cell>
          <cell r="BB510">
            <v>0</v>
          </cell>
          <cell r="BC510">
            <v>0</v>
          </cell>
          <cell r="BD510">
            <v>0</v>
          </cell>
          <cell r="BE510">
            <v>0</v>
          </cell>
          <cell r="BF510">
            <v>0</v>
          </cell>
          <cell r="BG510">
            <v>0</v>
          </cell>
          <cell r="BH510">
            <v>0</v>
          </cell>
          <cell r="BI510">
            <v>0</v>
          </cell>
          <cell r="BJ510">
            <v>0</v>
          </cell>
          <cell r="BK510">
            <v>0</v>
          </cell>
          <cell r="BL510">
            <v>0</v>
          </cell>
          <cell r="BM510">
            <v>0</v>
          </cell>
        </row>
        <row r="511"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AZ511">
            <v>0</v>
          </cell>
          <cell r="BA511">
            <v>0</v>
          </cell>
          <cell r="BB511">
            <v>0</v>
          </cell>
          <cell r="BC511">
            <v>0</v>
          </cell>
          <cell r="BD511">
            <v>0</v>
          </cell>
          <cell r="BE511">
            <v>0</v>
          </cell>
          <cell r="BF511">
            <v>0</v>
          </cell>
          <cell r="BG511">
            <v>0</v>
          </cell>
          <cell r="BH511">
            <v>0</v>
          </cell>
          <cell r="BI511">
            <v>0</v>
          </cell>
          <cell r="BJ511">
            <v>0</v>
          </cell>
          <cell r="BK511">
            <v>0</v>
          </cell>
          <cell r="BL511">
            <v>0</v>
          </cell>
          <cell r="BM511">
            <v>0</v>
          </cell>
          <cell r="BN511">
            <v>0</v>
          </cell>
          <cell r="BO511">
            <v>0</v>
          </cell>
          <cell r="BP511">
            <v>0</v>
          </cell>
          <cell r="BQ511">
            <v>0</v>
          </cell>
          <cell r="BR511">
            <v>0</v>
          </cell>
          <cell r="BS511">
            <v>0</v>
          </cell>
          <cell r="BT511">
            <v>0</v>
          </cell>
          <cell r="BU511">
            <v>0</v>
          </cell>
          <cell r="BV511">
            <v>0</v>
          </cell>
          <cell r="BW511">
            <v>0</v>
          </cell>
          <cell r="BX511">
            <v>0</v>
          </cell>
          <cell r="BY511">
            <v>0</v>
          </cell>
          <cell r="BZ511">
            <v>0</v>
          </cell>
          <cell r="CA511">
            <v>0</v>
          </cell>
          <cell r="CB511">
            <v>0</v>
          </cell>
          <cell r="CC511">
            <v>0</v>
          </cell>
          <cell r="CD511">
            <v>0</v>
          </cell>
        </row>
        <row r="512">
          <cell r="F512">
            <v>0</v>
          </cell>
          <cell r="H512">
            <v>0</v>
          </cell>
          <cell r="J512">
            <v>0</v>
          </cell>
          <cell r="L512">
            <v>0</v>
          </cell>
          <cell r="N512">
            <v>0</v>
          </cell>
          <cell r="P512">
            <v>0</v>
          </cell>
          <cell r="R512">
            <v>0</v>
          </cell>
          <cell r="T512">
            <v>0</v>
          </cell>
          <cell r="V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H512">
            <v>0</v>
          </cell>
          <cell r="AJ512">
            <v>0</v>
          </cell>
          <cell r="AL512">
            <v>0</v>
          </cell>
          <cell r="AN512">
            <v>0</v>
          </cell>
          <cell r="AP512">
            <v>0</v>
          </cell>
          <cell r="AR512">
            <v>0</v>
          </cell>
          <cell r="AT512">
            <v>0</v>
          </cell>
          <cell r="AV512">
            <v>0</v>
          </cell>
          <cell r="AX512">
            <v>0</v>
          </cell>
          <cell r="AZ512">
            <v>0</v>
          </cell>
          <cell r="BB512">
            <v>0</v>
          </cell>
          <cell r="BD512">
            <v>0</v>
          </cell>
          <cell r="BF512">
            <v>0</v>
          </cell>
          <cell r="BH512">
            <v>0</v>
          </cell>
          <cell r="BJ512">
            <v>0</v>
          </cell>
          <cell r="BL512">
            <v>0</v>
          </cell>
          <cell r="BM512">
            <v>0</v>
          </cell>
        </row>
        <row r="513"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M513">
            <v>0</v>
          </cell>
          <cell r="AN513">
            <v>0</v>
          </cell>
          <cell r="AO513">
            <v>0</v>
          </cell>
          <cell r="AP513">
            <v>0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0</v>
          </cell>
          <cell r="AZ513">
            <v>0</v>
          </cell>
          <cell r="BA513">
            <v>0</v>
          </cell>
          <cell r="BB513">
            <v>0</v>
          </cell>
          <cell r="BC513">
            <v>0</v>
          </cell>
          <cell r="BD513">
            <v>0</v>
          </cell>
          <cell r="BE513">
            <v>0</v>
          </cell>
          <cell r="BF513">
            <v>0</v>
          </cell>
          <cell r="BG513">
            <v>0</v>
          </cell>
          <cell r="BH513">
            <v>0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>
            <v>0</v>
          </cell>
          <cell r="BN513">
            <v>0</v>
          </cell>
          <cell r="BO513">
            <v>0</v>
          </cell>
          <cell r="BP513">
            <v>0</v>
          </cell>
          <cell r="BQ513">
            <v>0</v>
          </cell>
          <cell r="BR513">
            <v>0</v>
          </cell>
          <cell r="BS513">
            <v>0</v>
          </cell>
          <cell r="BT513">
            <v>0</v>
          </cell>
          <cell r="BU513">
            <v>0</v>
          </cell>
          <cell r="BV513">
            <v>0</v>
          </cell>
          <cell r="BW513">
            <v>0</v>
          </cell>
          <cell r="BX513">
            <v>0</v>
          </cell>
          <cell r="BY513">
            <v>0</v>
          </cell>
          <cell r="BZ513">
            <v>0</v>
          </cell>
        </row>
        <row r="514"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BM514">
            <v>0</v>
          </cell>
        </row>
        <row r="515"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BM515">
            <v>0</v>
          </cell>
        </row>
        <row r="516"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  <cell r="BM516">
            <v>0</v>
          </cell>
        </row>
        <row r="517"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N517">
            <v>0</v>
          </cell>
          <cell r="AO517">
            <v>0</v>
          </cell>
          <cell r="AP517">
            <v>0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  <cell r="BM517">
            <v>0</v>
          </cell>
        </row>
        <row r="518"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BM518">
            <v>0</v>
          </cell>
        </row>
        <row r="519"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BM519">
            <v>0</v>
          </cell>
        </row>
        <row r="520"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N520">
            <v>0</v>
          </cell>
          <cell r="AO520">
            <v>0</v>
          </cell>
          <cell r="AP520">
            <v>0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BM520">
            <v>0</v>
          </cell>
        </row>
        <row r="521"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BM521">
            <v>0</v>
          </cell>
        </row>
        <row r="522"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AS522">
            <v>0</v>
          </cell>
          <cell r="AT522">
            <v>0</v>
          </cell>
          <cell r="BM522">
            <v>0</v>
          </cell>
        </row>
        <row r="523"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utorial"/>
      <sheetName val="Data Pemotong Pajak"/>
      <sheetName val="Lembar Penolong"/>
      <sheetName val="1721-A1_2014"/>
      <sheetName val="1721-I Bulanan"/>
      <sheetName val="1721-I Tahunan"/>
      <sheetName val="Form Impor eSPT Tahunan"/>
      <sheetName val="Form Impor eSPT Bulanan"/>
    </sheetNames>
    <sheetDataSet>
      <sheetData sheetId="0"/>
      <sheetData sheetId="1">
        <row r="5">
          <cell r="D5">
            <v>2015</v>
          </cell>
        </row>
      </sheetData>
      <sheetData sheetId="2">
        <row r="509">
          <cell r="AG509">
            <v>3399810840</v>
          </cell>
        </row>
      </sheetData>
      <sheetData sheetId="3">
        <row r="80">
          <cell r="DO80">
            <v>1</v>
          </cell>
          <cell r="DP80" t="str">
            <v>Dra. Hj. Aristini Sriyatun</v>
          </cell>
          <cell r="DQ80" t="str">
            <v>08.961.590.0-543.001</v>
          </cell>
          <cell r="DR80" t="str">
            <v>Bejen Dk bejen, RT/RW 005/-, Kecamatan Bantul, Bantul</v>
          </cell>
          <cell r="DS80" t="str">
            <v>3402084304590005</v>
          </cell>
          <cell r="DT80">
            <v>0</v>
          </cell>
          <cell r="DU80" t="str">
            <v>Direktur Utama</v>
          </cell>
          <cell r="DV80" t="str">
            <v>P</v>
          </cell>
          <cell r="DW80" t="str">
            <v>TK/0</v>
          </cell>
          <cell r="DX80" t="str">
            <v>01</v>
          </cell>
          <cell r="DY80">
            <v>12</v>
          </cell>
          <cell r="DZ80" t="str">
            <v/>
          </cell>
          <cell r="EA80">
            <v>134772000</v>
          </cell>
          <cell r="EB80">
            <v>286924400</v>
          </cell>
          <cell r="EC80">
            <v>620859528</v>
          </cell>
          <cell r="ED80">
            <v>0</v>
          </cell>
          <cell r="EE80">
            <v>0</v>
          </cell>
          <cell r="EF80">
            <v>164792743.56005812</v>
          </cell>
          <cell r="EH80">
            <v>1207348671.5600581</v>
          </cell>
          <cell r="EI80">
            <v>25600128</v>
          </cell>
          <cell r="EJ80">
            <v>6000000</v>
          </cell>
          <cell r="EL80">
            <v>1175748543.5600581</v>
          </cell>
          <cell r="EM80">
            <v>0</v>
          </cell>
          <cell r="EN80">
            <v>1175748543.5600581</v>
          </cell>
          <cell r="EO80">
            <v>36000000</v>
          </cell>
          <cell r="EP80">
            <v>1139748543.5600581</v>
          </cell>
          <cell r="EQ80">
            <v>286924400</v>
          </cell>
          <cell r="ER80">
            <v>0</v>
          </cell>
          <cell r="ES80">
            <v>286924400</v>
          </cell>
          <cell r="ET80">
            <v>286924400</v>
          </cell>
        </row>
        <row r="81">
          <cell r="DO81">
            <v>2</v>
          </cell>
          <cell r="DP81" t="str">
            <v>Sugiarti Handayani, SE</v>
          </cell>
          <cell r="DQ81" t="str">
            <v>07.243.540.7-542.001</v>
          </cell>
          <cell r="DR81" t="str">
            <v>Dayakan, RT/RW 006/036, Kecamatan Ngaglik, Sardonoharjo</v>
          </cell>
          <cell r="DS81" t="str">
            <v>3404125812650003</v>
          </cell>
          <cell r="DT81">
            <v>0</v>
          </cell>
          <cell r="DU81" t="str">
            <v>Kepala Bagian Pembukuan</v>
          </cell>
          <cell r="DV81" t="str">
            <v>P</v>
          </cell>
          <cell r="DW81" t="str">
            <v>TK/0</v>
          </cell>
          <cell r="DX81" t="str">
            <v>01</v>
          </cell>
          <cell r="DY81">
            <v>12</v>
          </cell>
          <cell r="DZ81" t="str">
            <v/>
          </cell>
          <cell r="EA81">
            <v>44990400</v>
          </cell>
          <cell r="EB81">
            <v>23489350</v>
          </cell>
          <cell r="EC81">
            <v>101114887</v>
          </cell>
          <cell r="ED81">
            <v>0</v>
          </cell>
          <cell r="EE81">
            <v>0</v>
          </cell>
          <cell r="EF81">
            <v>70788732.941251606</v>
          </cell>
          <cell r="EH81">
            <v>240383369.94125161</v>
          </cell>
          <cell r="EI81">
            <v>8453772</v>
          </cell>
          <cell r="EJ81">
            <v>6000000</v>
          </cell>
          <cell r="EL81">
            <v>225929597.94125161</v>
          </cell>
          <cell r="EM81">
            <v>0</v>
          </cell>
          <cell r="EN81">
            <v>225929597.94125161</v>
          </cell>
          <cell r="EO81">
            <v>36000000</v>
          </cell>
          <cell r="EP81">
            <v>189929597.94125161</v>
          </cell>
          <cell r="EQ81">
            <v>23489350</v>
          </cell>
          <cell r="ER81">
            <v>0</v>
          </cell>
          <cell r="ES81">
            <v>23489350</v>
          </cell>
          <cell r="ET81">
            <v>23489350</v>
          </cell>
        </row>
        <row r="82">
          <cell r="DO82">
            <v>3</v>
          </cell>
          <cell r="DP82" t="str">
            <v>Suhartini, SE</v>
          </cell>
          <cell r="DQ82" t="str">
            <v>57.968.760.9-542.000</v>
          </cell>
          <cell r="DR82" t="str">
            <v>Ganjuran Manukan, RT/RW 001/003, Kecamatan Depok, Condong catur</v>
          </cell>
          <cell r="DS82" t="str">
            <v>3404076506590001</v>
          </cell>
          <cell r="DT82">
            <v>0</v>
          </cell>
          <cell r="DU82" t="str">
            <v>Kepala Sub Bagian Rumah Tangga</v>
          </cell>
          <cell r="DV82" t="str">
            <v>P</v>
          </cell>
          <cell r="DW82" t="str">
            <v>TK/0</v>
          </cell>
          <cell r="DX82" t="str">
            <v>01</v>
          </cell>
          <cell r="DY82" t="str">
            <v>7</v>
          </cell>
          <cell r="DZ82" t="str">
            <v/>
          </cell>
          <cell r="EA82">
            <v>22843800</v>
          </cell>
          <cell r="EB82">
            <v>7045589</v>
          </cell>
          <cell r="EC82">
            <v>24795780</v>
          </cell>
          <cell r="ED82">
            <v>0</v>
          </cell>
          <cell r="EE82">
            <v>0</v>
          </cell>
          <cell r="EF82">
            <v>35482021.672241926</v>
          </cell>
          <cell r="EH82">
            <v>90167190.672241926</v>
          </cell>
          <cell r="EI82">
            <v>3144180</v>
          </cell>
          <cell r="EJ82">
            <v>3500000</v>
          </cell>
          <cell r="EL82">
            <v>83523010.672241926</v>
          </cell>
          <cell r="EM82">
            <v>0</v>
          </cell>
          <cell r="EN82">
            <v>83523010.672241926</v>
          </cell>
          <cell r="EO82">
            <v>36000000</v>
          </cell>
          <cell r="EP82">
            <v>47523010.672241926</v>
          </cell>
          <cell r="EQ82">
            <v>2376150</v>
          </cell>
          <cell r="ER82">
            <v>0</v>
          </cell>
          <cell r="ES82">
            <v>2376150</v>
          </cell>
          <cell r="ET82">
            <v>2376150</v>
          </cell>
        </row>
        <row r="83">
          <cell r="DO83">
            <v>4</v>
          </cell>
          <cell r="DP83" t="str">
            <v>H. Sri Mujiyana, SE</v>
          </cell>
          <cell r="DQ83" t="str">
            <v>24.105.180.4-541.000</v>
          </cell>
          <cell r="DR83" t="str">
            <v>Mangir Lor, RT/RW 04/-, Kecamatan Pajangan, Sendangsari</v>
          </cell>
          <cell r="DS83" t="str">
            <v>3402070811630001</v>
          </cell>
          <cell r="DT83">
            <v>0</v>
          </cell>
          <cell r="DU83" t="str">
            <v>Staf Sub Bagian Deposito</v>
          </cell>
          <cell r="DV83" t="str">
            <v>L</v>
          </cell>
          <cell r="DW83" t="str">
            <v>K/2</v>
          </cell>
          <cell r="DX83" t="str">
            <v>01</v>
          </cell>
          <cell r="DY83">
            <v>12</v>
          </cell>
          <cell r="DZ83" t="str">
            <v/>
          </cell>
          <cell r="EA83">
            <v>45687600</v>
          </cell>
          <cell r="EB83">
            <v>6235750</v>
          </cell>
          <cell r="EC83">
            <v>44876148</v>
          </cell>
          <cell r="ED83">
            <v>0</v>
          </cell>
          <cell r="EE83">
            <v>0</v>
          </cell>
          <cell r="EF83">
            <v>34159172.539265715</v>
          </cell>
          <cell r="EH83">
            <v>130958670.53926572</v>
          </cell>
          <cell r="EI83">
            <v>5053128</v>
          </cell>
          <cell r="EJ83">
            <v>6000000</v>
          </cell>
          <cell r="EL83">
            <v>119905542.53926572</v>
          </cell>
          <cell r="EM83">
            <v>0</v>
          </cell>
          <cell r="EN83">
            <v>119905542.53926572</v>
          </cell>
          <cell r="EO83">
            <v>45000000</v>
          </cell>
          <cell r="EP83">
            <v>74905542.539265722</v>
          </cell>
          <cell r="EQ83">
            <v>6235750</v>
          </cell>
          <cell r="ER83">
            <v>0</v>
          </cell>
          <cell r="ES83">
            <v>6235750</v>
          </cell>
          <cell r="ET83">
            <v>6235750</v>
          </cell>
        </row>
        <row r="84">
          <cell r="DO84">
            <v>5</v>
          </cell>
          <cell r="DP84" t="str">
            <v>Suyanto, SE</v>
          </cell>
          <cell r="DQ84" t="str">
            <v>57.968.762.5-543.000</v>
          </cell>
          <cell r="DR84" t="str">
            <v>Jl Hos Cokroaminoto 56, RT/RW 002/-, Kecamatan Bantul, Bantul</v>
          </cell>
          <cell r="DS84" t="str">
            <v>3402082012600003</v>
          </cell>
          <cell r="DT84">
            <v>0</v>
          </cell>
          <cell r="DU84" t="str">
            <v>Kepala Bagian SPI</v>
          </cell>
          <cell r="DV84" t="str">
            <v>L</v>
          </cell>
          <cell r="DW84" t="str">
            <v>K/1</v>
          </cell>
          <cell r="DX84" t="str">
            <v>01</v>
          </cell>
          <cell r="DY84">
            <v>12</v>
          </cell>
          <cell r="DZ84" t="str">
            <v/>
          </cell>
          <cell r="EA84">
            <v>44537600</v>
          </cell>
          <cell r="EB84">
            <v>19043200</v>
          </cell>
          <cell r="EC84">
            <v>103479849</v>
          </cell>
          <cell r="ED84">
            <v>0</v>
          </cell>
          <cell r="EE84">
            <v>0</v>
          </cell>
          <cell r="EF84">
            <v>49789875.45805458</v>
          </cell>
          <cell r="EH84">
            <v>216850524.45805457</v>
          </cell>
          <cell r="EI84">
            <v>8561894</v>
          </cell>
          <cell r="EJ84">
            <v>6000000</v>
          </cell>
          <cell r="EL84">
            <v>202288630.45805457</v>
          </cell>
          <cell r="EM84">
            <v>0</v>
          </cell>
          <cell r="EN84">
            <v>202288630.45805457</v>
          </cell>
          <cell r="EO84">
            <v>42000000</v>
          </cell>
          <cell r="EP84">
            <v>160288630.45805457</v>
          </cell>
          <cell r="EQ84">
            <v>19043200</v>
          </cell>
          <cell r="ER84">
            <v>0</v>
          </cell>
          <cell r="ES84">
            <v>19043200</v>
          </cell>
          <cell r="ET84">
            <v>19043200</v>
          </cell>
        </row>
        <row r="85">
          <cell r="DO85">
            <v>6</v>
          </cell>
          <cell r="DP85" t="str">
            <v>Sri Kadaryati, SE</v>
          </cell>
          <cell r="DQ85" t="str">
            <v>57.968.763.3-543.000</v>
          </cell>
          <cell r="DR85" t="str">
            <v>Piring Piring, RT/RW 003/-, Kecamatan Pundong, Srihardono</v>
          </cell>
          <cell r="DS85" t="str">
            <v>3402046012630002</v>
          </cell>
          <cell r="DT85">
            <v>0</v>
          </cell>
          <cell r="DU85" t="str">
            <v>Kepala Kantor Kas Srandakan</v>
          </cell>
          <cell r="DV85" t="str">
            <v>P</v>
          </cell>
          <cell r="DW85" t="str">
            <v>TK/0</v>
          </cell>
          <cell r="DX85" t="str">
            <v>01</v>
          </cell>
          <cell r="DY85">
            <v>12</v>
          </cell>
          <cell r="DZ85" t="str">
            <v/>
          </cell>
          <cell r="EA85">
            <v>44537600</v>
          </cell>
          <cell r="EB85">
            <v>11906350</v>
          </cell>
          <cell r="EC85">
            <v>62465812</v>
          </cell>
          <cell r="ED85">
            <v>0</v>
          </cell>
          <cell r="EE85">
            <v>0</v>
          </cell>
          <cell r="EF85">
            <v>41838213.05254887</v>
          </cell>
          <cell r="EH85">
            <v>160747975.05254889</v>
          </cell>
          <cell r="EI85">
            <v>6038922</v>
          </cell>
          <cell r="EJ85">
            <v>6000000</v>
          </cell>
          <cell r="EL85">
            <v>148709053.05254889</v>
          </cell>
          <cell r="EM85">
            <v>0</v>
          </cell>
          <cell r="EN85">
            <v>148709053.05254889</v>
          </cell>
          <cell r="EO85">
            <v>36000000</v>
          </cell>
          <cell r="EP85">
            <v>112709053.05254889</v>
          </cell>
          <cell r="EQ85">
            <v>11906350</v>
          </cell>
          <cell r="ER85">
            <v>0</v>
          </cell>
          <cell r="ES85">
            <v>11906350</v>
          </cell>
          <cell r="ET85">
            <v>11906350</v>
          </cell>
        </row>
        <row r="86">
          <cell r="DO86">
            <v>7</v>
          </cell>
          <cell r="DP86" t="str">
            <v>Suhandoko</v>
          </cell>
          <cell r="DQ86" t="str">
            <v>57.968.764.1-543.000</v>
          </cell>
          <cell r="DR86" t="str">
            <v>Serut DK Serut, RT/RW 008/, Kecamatan Bantul, Palbapang</v>
          </cell>
          <cell r="DS86" t="str">
            <v>3402082712620001</v>
          </cell>
          <cell r="DT86">
            <v>0</v>
          </cell>
          <cell r="DU86" t="str">
            <v>Staf Bagian Pembukuan</v>
          </cell>
          <cell r="DV86" t="str">
            <v>L</v>
          </cell>
          <cell r="DW86" t="str">
            <v>K/1</v>
          </cell>
          <cell r="DX86" t="str">
            <v>01</v>
          </cell>
          <cell r="DY86">
            <v>12</v>
          </cell>
          <cell r="DZ86" t="str">
            <v/>
          </cell>
          <cell r="EA86">
            <v>40770000</v>
          </cell>
          <cell r="EB86">
            <v>4922959</v>
          </cell>
          <cell r="EC86">
            <v>40097229</v>
          </cell>
          <cell r="ED86">
            <v>0</v>
          </cell>
          <cell r="EE86">
            <v>0</v>
          </cell>
          <cell r="EF86">
            <v>30613467.424159531</v>
          </cell>
          <cell r="EH86">
            <v>116403655.42415953</v>
          </cell>
          <cell r="EI86">
            <v>4464204</v>
          </cell>
          <cell r="EJ86">
            <v>5820182.7712079771</v>
          </cell>
          <cell r="EL86">
            <v>106119268.65295155</v>
          </cell>
          <cell r="EM86">
            <v>0</v>
          </cell>
          <cell r="EN86">
            <v>106119268.65295155</v>
          </cell>
          <cell r="EO86">
            <v>42000000</v>
          </cell>
          <cell r="EP86">
            <v>64119268.652951553</v>
          </cell>
          <cell r="EQ86">
            <v>4617850</v>
          </cell>
          <cell r="ER86">
            <v>0</v>
          </cell>
          <cell r="ES86">
            <v>4617850</v>
          </cell>
          <cell r="ET86">
            <v>4617850</v>
          </cell>
        </row>
        <row r="87">
          <cell r="DO87">
            <v>8</v>
          </cell>
          <cell r="DP87" t="str">
            <v>Marsudiyanto, SE</v>
          </cell>
          <cell r="DQ87" t="str">
            <v>57.968.766.6-543.000</v>
          </cell>
          <cell r="DR87" t="str">
            <v>Piring Piring, RT/RW 03/18, Kecamatan Pundong, Srihardono</v>
          </cell>
          <cell r="DS87" t="str">
            <v>3402040808670003</v>
          </cell>
          <cell r="DT87">
            <v>0</v>
          </cell>
          <cell r="DU87" t="str">
            <v>Kepala Kantor Kas Dlingo</v>
          </cell>
          <cell r="DV87" t="str">
            <v>L</v>
          </cell>
          <cell r="DW87" t="str">
            <v>K/2</v>
          </cell>
          <cell r="DX87" t="str">
            <v>01</v>
          </cell>
          <cell r="DY87">
            <v>12</v>
          </cell>
          <cell r="DZ87" t="str">
            <v/>
          </cell>
          <cell r="EA87">
            <v>42495600</v>
          </cell>
          <cell r="EB87">
            <v>9580521</v>
          </cell>
          <cell r="EC87">
            <v>66427212</v>
          </cell>
          <cell r="ED87">
            <v>0</v>
          </cell>
          <cell r="EE87">
            <v>0</v>
          </cell>
          <cell r="EF87">
            <v>37103798.868584566</v>
          </cell>
          <cell r="EH87">
            <v>155607131.86858457</v>
          </cell>
          <cell r="EI87">
            <v>6144192</v>
          </cell>
          <cell r="EJ87">
            <v>6000000</v>
          </cell>
          <cell r="EL87">
            <v>143462939.86858457</v>
          </cell>
          <cell r="EM87">
            <v>0</v>
          </cell>
          <cell r="EN87">
            <v>143462939.86858457</v>
          </cell>
          <cell r="EO87">
            <v>45000000</v>
          </cell>
          <cell r="EP87">
            <v>98462939.868584573</v>
          </cell>
          <cell r="EQ87">
            <v>9769300</v>
          </cell>
          <cell r="ER87">
            <v>0</v>
          </cell>
          <cell r="ES87">
            <v>9769300</v>
          </cell>
          <cell r="ET87">
            <v>9769300</v>
          </cell>
        </row>
        <row r="88">
          <cell r="DO88">
            <v>9</v>
          </cell>
          <cell r="DP88" t="str">
            <v>Zawawi</v>
          </cell>
          <cell r="DQ88" t="str">
            <v>57.968.765.8-543.000</v>
          </cell>
          <cell r="DR88" t="str">
            <v>Mandingan Dk Mandingan , RT/RW 001/, Kecamatan Bantul, Ringinharjo</v>
          </cell>
          <cell r="DS88" t="str">
            <v>3402081409620001</v>
          </cell>
          <cell r="DT88">
            <v>0</v>
          </cell>
          <cell r="DU88" t="str">
            <v>Staf Sub Bagian P2K</v>
          </cell>
          <cell r="DV88" t="str">
            <v>L</v>
          </cell>
          <cell r="DW88" t="str">
            <v>K/1</v>
          </cell>
          <cell r="DX88" t="str">
            <v>01</v>
          </cell>
          <cell r="DY88">
            <v>12</v>
          </cell>
          <cell r="DZ88" t="str">
            <v/>
          </cell>
          <cell r="EA88">
            <v>40770000</v>
          </cell>
          <cell r="EB88">
            <v>4922959</v>
          </cell>
          <cell r="EC88">
            <v>40157229</v>
          </cell>
          <cell r="ED88">
            <v>0</v>
          </cell>
          <cell r="EE88">
            <v>0</v>
          </cell>
          <cell r="EF88">
            <v>30990759.512270924</v>
          </cell>
          <cell r="EH88">
            <v>116840947.51227093</v>
          </cell>
          <cell r="EI88">
            <v>4464204</v>
          </cell>
          <cell r="EJ88">
            <v>5842047.3756135469</v>
          </cell>
          <cell r="EL88">
            <v>106534696.13665739</v>
          </cell>
          <cell r="EM88">
            <v>0</v>
          </cell>
          <cell r="EN88">
            <v>106534696.13665739</v>
          </cell>
          <cell r="EO88">
            <v>42000000</v>
          </cell>
          <cell r="EP88">
            <v>64534696.136657387</v>
          </cell>
          <cell r="EQ88">
            <v>4680100</v>
          </cell>
          <cell r="ER88">
            <v>0</v>
          </cell>
          <cell r="ES88">
            <v>4680100</v>
          </cell>
          <cell r="ET88">
            <v>4680100</v>
          </cell>
        </row>
        <row r="89">
          <cell r="DO89">
            <v>10</v>
          </cell>
          <cell r="DP89" t="str">
            <v>Sarijan, SE</v>
          </cell>
          <cell r="DQ89" t="str">
            <v>57.968.767.4-543.000</v>
          </cell>
          <cell r="DR89" t="str">
            <v>Ngibikan, RT/RW 003/, Kecamatan Jetis, Canden</v>
          </cell>
          <cell r="DS89" t="str">
            <v>3402091211660002</v>
          </cell>
          <cell r="DT89">
            <v>0</v>
          </cell>
          <cell r="DU89" t="str">
            <v>Kepala Sub Bagian Pembagian</v>
          </cell>
          <cell r="DV89" t="str">
            <v>L</v>
          </cell>
          <cell r="DW89" t="str">
            <v>K/1</v>
          </cell>
          <cell r="DX89" t="str">
            <v>01</v>
          </cell>
          <cell r="DY89">
            <v>12</v>
          </cell>
          <cell r="DZ89" t="str">
            <v/>
          </cell>
          <cell r="EA89">
            <v>42495600</v>
          </cell>
          <cell r="EB89">
            <v>9767350</v>
          </cell>
          <cell r="EC89">
            <v>63795103</v>
          </cell>
          <cell r="ED89">
            <v>0</v>
          </cell>
          <cell r="EE89">
            <v>0</v>
          </cell>
          <cell r="EF89">
            <v>36395538.868584566</v>
          </cell>
          <cell r="EH89">
            <v>152453591.86858457</v>
          </cell>
          <cell r="EI89">
            <v>6003948</v>
          </cell>
          <cell r="EJ89">
            <v>6000000</v>
          </cell>
          <cell r="EL89">
            <v>140449643.86858457</v>
          </cell>
          <cell r="EM89">
            <v>0</v>
          </cell>
          <cell r="EN89">
            <v>140449643.86858457</v>
          </cell>
          <cell r="EO89">
            <v>42000000</v>
          </cell>
          <cell r="EP89">
            <v>98449643.868584573</v>
          </cell>
          <cell r="EQ89">
            <v>9767350</v>
          </cell>
          <cell r="ER89">
            <v>0</v>
          </cell>
          <cell r="ES89">
            <v>9767350</v>
          </cell>
          <cell r="ET89">
            <v>9767350</v>
          </cell>
        </row>
        <row r="90">
          <cell r="DO90">
            <v>11</v>
          </cell>
          <cell r="DP90" t="str">
            <v>Dwibaningsih Anta Indrati, SE</v>
          </cell>
          <cell r="DQ90" t="str">
            <v>24.081.403.8-543.001</v>
          </cell>
          <cell r="DR90" t="str">
            <v>Jl A. Yani 34, RT/RW 009/, Kecamatan Bantul, Bantul</v>
          </cell>
          <cell r="DS90" t="str">
            <v>3402085411670002</v>
          </cell>
          <cell r="DT90">
            <v>0</v>
          </cell>
          <cell r="DU90" t="str">
            <v>Kepala Bagian Dana</v>
          </cell>
          <cell r="DV90" t="str">
            <v>P</v>
          </cell>
          <cell r="DW90" t="str">
            <v>TK/0</v>
          </cell>
          <cell r="DX90" t="str">
            <v>01</v>
          </cell>
          <cell r="DY90">
            <v>12</v>
          </cell>
          <cell r="DZ90" t="str">
            <v/>
          </cell>
          <cell r="EA90">
            <v>41629200</v>
          </cell>
          <cell r="EB90">
            <v>19454950</v>
          </cell>
          <cell r="EC90">
            <v>102063637</v>
          </cell>
          <cell r="ED90">
            <v>0</v>
          </cell>
          <cell r="EE90">
            <v>0</v>
          </cell>
          <cell r="EF90">
            <v>50188753.468215227</v>
          </cell>
          <cell r="EH90">
            <v>213336540.46821523</v>
          </cell>
          <cell r="EI90">
            <v>8302752</v>
          </cell>
          <cell r="EJ90">
            <v>6000000</v>
          </cell>
          <cell r="EL90">
            <v>199033788.46821523</v>
          </cell>
          <cell r="EM90">
            <v>0</v>
          </cell>
          <cell r="EN90">
            <v>199033788.46821523</v>
          </cell>
          <cell r="EO90">
            <v>36000000</v>
          </cell>
          <cell r="EP90">
            <v>163033788.46821523</v>
          </cell>
          <cell r="EQ90">
            <v>19454950</v>
          </cell>
          <cell r="ER90">
            <v>0</v>
          </cell>
          <cell r="ES90">
            <v>19454950</v>
          </cell>
          <cell r="ET90">
            <v>19454950</v>
          </cell>
        </row>
        <row r="91">
          <cell r="DO91">
            <v>12</v>
          </cell>
          <cell r="DP91" t="str">
            <v>Heri Sucipto</v>
          </cell>
          <cell r="DQ91" t="str">
            <v>57.968.768.2-543.000</v>
          </cell>
          <cell r="DR91" t="str">
            <v>Barongan Barongan, RT/RW 002/, Kecamatan Jetis, Sumberagung</v>
          </cell>
          <cell r="DS91" t="str">
            <v>3402092102660002</v>
          </cell>
          <cell r="DT91">
            <v>0</v>
          </cell>
          <cell r="DU91" t="str">
            <v>Staf Sub Bagian RT</v>
          </cell>
          <cell r="DV91" t="str">
            <v>L</v>
          </cell>
          <cell r="DW91" t="str">
            <v>K/2</v>
          </cell>
          <cell r="DX91" t="str">
            <v>01</v>
          </cell>
          <cell r="DY91">
            <v>12</v>
          </cell>
          <cell r="DZ91" t="str">
            <v/>
          </cell>
          <cell r="EA91">
            <v>36202200</v>
          </cell>
          <cell r="EB91">
            <v>4511737</v>
          </cell>
          <cell r="EC91">
            <v>39887318</v>
          </cell>
          <cell r="ED91">
            <v>0</v>
          </cell>
          <cell r="EE91">
            <v>0</v>
          </cell>
          <cell r="EF91">
            <v>32372386.579486966</v>
          </cell>
          <cell r="EH91">
            <v>112973641.57948697</v>
          </cell>
          <cell r="EI91">
            <v>4176678</v>
          </cell>
          <cell r="EJ91">
            <v>5648682.0789743485</v>
          </cell>
          <cell r="EL91">
            <v>103148281.50051261</v>
          </cell>
          <cell r="EM91">
            <v>0</v>
          </cell>
          <cell r="EN91">
            <v>103148281.50051261</v>
          </cell>
          <cell r="EO91">
            <v>45000000</v>
          </cell>
          <cell r="EP91">
            <v>58148281.500512615</v>
          </cell>
          <cell r="EQ91">
            <v>3722200</v>
          </cell>
          <cell r="ER91">
            <v>0</v>
          </cell>
          <cell r="ES91">
            <v>3722200</v>
          </cell>
          <cell r="ET91">
            <v>3722200</v>
          </cell>
        </row>
        <row r="92">
          <cell r="DO92">
            <v>13</v>
          </cell>
          <cell r="DP92" t="str">
            <v>Indah Wulandari, SE</v>
          </cell>
          <cell r="DQ92" t="str">
            <v>57.968.769.0-543.000</v>
          </cell>
          <cell r="DR92" t="str">
            <v>Jetis, RT/RW 021/, Kecamatan Jetis, Patalan</v>
          </cell>
          <cell r="DS92" t="str">
            <v>3402095607690003</v>
          </cell>
          <cell r="DT92">
            <v>0</v>
          </cell>
          <cell r="DU92" t="str">
            <v>Kepala Sub Bagian Kas</v>
          </cell>
          <cell r="DV92" t="str">
            <v>P</v>
          </cell>
          <cell r="DW92" t="str">
            <v>TK/0</v>
          </cell>
          <cell r="DX92" t="str">
            <v>01</v>
          </cell>
          <cell r="DY92">
            <v>12</v>
          </cell>
          <cell r="DZ92" t="str">
            <v/>
          </cell>
          <cell r="EA92">
            <v>39525600</v>
          </cell>
          <cell r="EB92">
            <v>10250350</v>
          </cell>
          <cell r="EC92">
            <v>64501884</v>
          </cell>
          <cell r="ED92">
            <v>0</v>
          </cell>
          <cell r="EE92">
            <v>0</v>
          </cell>
          <cell r="EF92">
            <v>35261294.414991446</v>
          </cell>
          <cell r="EH92">
            <v>149539128.41499144</v>
          </cell>
          <cell r="EI92">
            <v>5869764</v>
          </cell>
          <cell r="EJ92">
            <v>6000000</v>
          </cell>
          <cell r="EL92">
            <v>137669364.41499144</v>
          </cell>
          <cell r="EM92">
            <v>0</v>
          </cell>
          <cell r="EN92">
            <v>137669364.41499144</v>
          </cell>
          <cell r="EO92">
            <v>36000000</v>
          </cell>
          <cell r="EP92">
            <v>101669364.41499144</v>
          </cell>
          <cell r="EQ92">
            <v>10250350</v>
          </cell>
          <cell r="ER92">
            <v>0</v>
          </cell>
          <cell r="ES92">
            <v>10250350</v>
          </cell>
          <cell r="ET92">
            <v>10250350</v>
          </cell>
        </row>
        <row r="93">
          <cell r="DO93">
            <v>14</v>
          </cell>
          <cell r="DP93" t="str">
            <v>Martiwi, SE</v>
          </cell>
          <cell r="DQ93" t="str">
            <v>57.968.770.8-541.000</v>
          </cell>
          <cell r="DR93" t="str">
            <v>Pujokusuman MG I/437 Yk, RT/RW 021/005, Kecamatan Mergangsan, Keparakan</v>
          </cell>
          <cell r="DS93" t="str">
            <v>3471125411700002</v>
          </cell>
          <cell r="DT93">
            <v>0</v>
          </cell>
          <cell r="DU93" t="str">
            <v>Kepala Kantor Kas Pandak</v>
          </cell>
          <cell r="DV93" t="str">
            <v>P</v>
          </cell>
          <cell r="DW93" t="str">
            <v>TK/0</v>
          </cell>
          <cell r="DX93" t="str">
            <v>01</v>
          </cell>
          <cell r="DY93">
            <v>12</v>
          </cell>
          <cell r="DZ93" t="str">
            <v/>
          </cell>
          <cell r="EA93">
            <v>34824900</v>
          </cell>
          <cell r="EB93">
            <v>8280850</v>
          </cell>
          <cell r="EC93">
            <v>58540990</v>
          </cell>
          <cell r="ED93">
            <v>0</v>
          </cell>
          <cell r="EE93">
            <v>0</v>
          </cell>
          <cell r="EF93">
            <v>34098069.261020452</v>
          </cell>
          <cell r="EH93">
            <v>135744809.26102045</v>
          </cell>
          <cell r="EI93">
            <v>5205570</v>
          </cell>
          <cell r="EJ93">
            <v>6000000</v>
          </cell>
          <cell r="EL93">
            <v>124539239.26102045</v>
          </cell>
          <cell r="EM93">
            <v>0</v>
          </cell>
          <cell r="EN93">
            <v>124539239.26102045</v>
          </cell>
          <cell r="EO93">
            <v>36000000</v>
          </cell>
          <cell r="EP93">
            <v>88539239.261020452</v>
          </cell>
          <cell r="EQ93">
            <v>8280850</v>
          </cell>
          <cell r="ER93">
            <v>0</v>
          </cell>
          <cell r="ES93">
            <v>8280850</v>
          </cell>
          <cell r="ET93">
            <v>8280850</v>
          </cell>
        </row>
        <row r="94">
          <cell r="DO94">
            <v>15</v>
          </cell>
          <cell r="DP94" t="str">
            <v>Hariyadi, SE</v>
          </cell>
          <cell r="DQ94" t="str">
            <v>57.968.771.6-543.000</v>
          </cell>
          <cell r="DR94" t="str">
            <v>Tobratan, RT/RW 06/, Kecamatan Banguntapan, Wirokerten</v>
          </cell>
          <cell r="DS94" t="str">
            <v>3402121402640003</v>
          </cell>
          <cell r="DT94">
            <v>0</v>
          </cell>
          <cell r="DU94" t="str">
            <v>AO Kredit Pegawai</v>
          </cell>
          <cell r="DV94" t="str">
            <v>L</v>
          </cell>
          <cell r="DW94" t="str">
            <v>K/3</v>
          </cell>
          <cell r="DX94" t="str">
            <v>01</v>
          </cell>
          <cell r="DY94">
            <v>12</v>
          </cell>
          <cell r="DZ94" t="str">
            <v/>
          </cell>
          <cell r="EA94">
            <v>32391600</v>
          </cell>
          <cell r="EB94">
            <v>3874331</v>
          </cell>
          <cell r="EC94">
            <v>38066957</v>
          </cell>
          <cell r="ED94">
            <v>0</v>
          </cell>
          <cell r="EE94">
            <v>0</v>
          </cell>
          <cell r="EF94">
            <v>26348174.260361094</v>
          </cell>
          <cell r="EH94">
            <v>100681062.26036109</v>
          </cell>
          <cell r="EI94">
            <v>3824577</v>
          </cell>
          <cell r="EJ94">
            <v>5034053.1130180545</v>
          </cell>
          <cell r="EL94">
            <v>91822432.14734304</v>
          </cell>
          <cell r="EM94">
            <v>0</v>
          </cell>
          <cell r="EN94">
            <v>91822432.14734304</v>
          </cell>
          <cell r="EO94">
            <v>48000000</v>
          </cell>
          <cell r="EP94">
            <v>43822432.14734304</v>
          </cell>
          <cell r="EQ94">
            <v>2191100</v>
          </cell>
          <cell r="ER94">
            <v>0</v>
          </cell>
          <cell r="ES94">
            <v>2191100</v>
          </cell>
          <cell r="ET94">
            <v>2191100</v>
          </cell>
        </row>
        <row r="95">
          <cell r="DO95">
            <v>16</v>
          </cell>
          <cell r="DP95" t="str">
            <v>Surip Supardiman, SE</v>
          </cell>
          <cell r="DQ95" t="str">
            <v>57.968.772.4-543.000</v>
          </cell>
          <cell r="DR95" t="str">
            <v>Gendriyan Dk Nyangkringan, RT/RW 002/, Kecamatan Bantul, Bantul</v>
          </cell>
          <cell r="DS95" t="str">
            <v>3402080305670001</v>
          </cell>
          <cell r="DT95">
            <v>0</v>
          </cell>
          <cell r="DU95" t="str">
            <v>Staf Sub Bagian P2K</v>
          </cell>
          <cell r="DV95" t="str">
            <v>L</v>
          </cell>
          <cell r="DW95" t="str">
            <v>K/0</v>
          </cell>
          <cell r="DX95" t="str">
            <v>01</v>
          </cell>
          <cell r="DY95">
            <v>12</v>
          </cell>
          <cell r="DZ95" t="str">
            <v/>
          </cell>
          <cell r="EA95">
            <v>37538400</v>
          </cell>
          <cell r="EB95">
            <v>4569852</v>
          </cell>
          <cell r="EC95">
            <v>36718648</v>
          </cell>
          <cell r="ED95">
            <v>0</v>
          </cell>
          <cell r="EE95">
            <v>0</v>
          </cell>
          <cell r="EF95">
            <v>25647223.567612886</v>
          </cell>
          <cell r="EH95">
            <v>104474123.56761289</v>
          </cell>
          <cell r="EI95">
            <v>4052388</v>
          </cell>
          <cell r="EJ95">
            <v>5223706.1783806449</v>
          </cell>
          <cell r="EL95">
            <v>95198029.389232248</v>
          </cell>
          <cell r="EM95">
            <v>0</v>
          </cell>
          <cell r="EN95">
            <v>95198029.389232248</v>
          </cell>
          <cell r="EO95">
            <v>39000000</v>
          </cell>
          <cell r="EP95">
            <v>56198029.389232248</v>
          </cell>
          <cell r="EQ95">
            <v>3429700</v>
          </cell>
          <cell r="ER95">
            <v>0</v>
          </cell>
          <cell r="ES95">
            <v>3429700</v>
          </cell>
          <cell r="ET95">
            <v>3429700</v>
          </cell>
        </row>
        <row r="96">
          <cell r="DO96">
            <v>17</v>
          </cell>
          <cell r="DP96" t="str">
            <v>Sri Susilaningsih, SE</v>
          </cell>
          <cell r="DQ96" t="str">
            <v>57.968.773.2-543.000</v>
          </cell>
          <cell r="DR96" t="str">
            <v>Gendriyan Dk Nyangkringan, RT/RW 002/, Kecamatan Bantul, Bantul</v>
          </cell>
          <cell r="DS96" t="str">
            <v>3402085210680001</v>
          </cell>
          <cell r="DT96">
            <v>0</v>
          </cell>
          <cell r="DU96" t="str">
            <v>Kepala Kantor Kas Pleret</v>
          </cell>
          <cell r="DV96" t="str">
            <v>P</v>
          </cell>
          <cell r="DW96" t="str">
            <v>TK/0</v>
          </cell>
          <cell r="DX96" t="str">
            <v>01</v>
          </cell>
          <cell r="DY96">
            <v>12</v>
          </cell>
          <cell r="DZ96" t="str">
            <v/>
          </cell>
          <cell r="EA96">
            <v>37538400</v>
          </cell>
          <cell r="EB96">
            <v>9553750</v>
          </cell>
          <cell r="EC96">
            <v>63685620</v>
          </cell>
          <cell r="ED96">
            <v>0</v>
          </cell>
          <cell r="EE96">
            <v>0</v>
          </cell>
          <cell r="EF96">
            <v>33933660.125032991</v>
          </cell>
          <cell r="EH96">
            <v>144711430.12503299</v>
          </cell>
          <cell r="EI96">
            <v>5686140</v>
          </cell>
          <cell r="EJ96">
            <v>6000000</v>
          </cell>
          <cell r="EL96">
            <v>133025290.12503299</v>
          </cell>
          <cell r="EM96">
            <v>0</v>
          </cell>
          <cell r="EN96">
            <v>133025290.12503299</v>
          </cell>
          <cell r="EO96">
            <v>36000000</v>
          </cell>
          <cell r="EP96">
            <v>97025290.125032991</v>
          </cell>
          <cell r="EQ96">
            <v>9553750</v>
          </cell>
          <cell r="ER96">
            <v>0</v>
          </cell>
          <cell r="ES96">
            <v>9553750</v>
          </cell>
          <cell r="ET96">
            <v>9553750</v>
          </cell>
        </row>
        <row r="97">
          <cell r="DO97">
            <v>18</v>
          </cell>
          <cell r="DP97" t="str">
            <v>Suyadi</v>
          </cell>
          <cell r="DQ97" t="str">
            <v>57.968.774.0-543.000</v>
          </cell>
          <cell r="DR97" t="str">
            <v>Teruman Dk Kresen, RT/RW 001/, Kecamatan Bantul, Bantul</v>
          </cell>
          <cell r="DS97" t="str">
            <v>3402081210590001</v>
          </cell>
          <cell r="DT97">
            <v>0</v>
          </cell>
          <cell r="DU97" t="str">
            <v>Staf Bagian Umum</v>
          </cell>
          <cell r="DV97" t="str">
            <v>L</v>
          </cell>
          <cell r="DW97" t="str">
            <v>TK/0</v>
          </cell>
          <cell r="DX97" t="str">
            <v>01</v>
          </cell>
          <cell r="DY97" t="str">
            <v>8</v>
          </cell>
          <cell r="DZ97" t="str">
            <v/>
          </cell>
          <cell r="EA97">
            <v>18344000</v>
          </cell>
          <cell r="EB97">
            <v>2753101</v>
          </cell>
          <cell r="EC97">
            <v>12986176</v>
          </cell>
          <cell r="ED97">
            <v>0</v>
          </cell>
          <cell r="EE97">
            <v>0</v>
          </cell>
          <cell r="EF97">
            <v>19576860.633464009</v>
          </cell>
          <cell r="EH97">
            <v>53660137.633464009</v>
          </cell>
          <cell r="EI97">
            <v>2067776</v>
          </cell>
          <cell r="EJ97">
            <v>2683006.8816732005</v>
          </cell>
          <cell r="EL97">
            <v>48909354.751790807</v>
          </cell>
          <cell r="EM97">
            <v>0</v>
          </cell>
          <cell r="EN97">
            <v>48909354.751790807</v>
          </cell>
          <cell r="EO97">
            <v>36000000</v>
          </cell>
          <cell r="EP97">
            <v>12909354.751790807</v>
          </cell>
          <cell r="EQ97">
            <v>645450</v>
          </cell>
          <cell r="ER97">
            <v>0</v>
          </cell>
          <cell r="ES97">
            <v>645450</v>
          </cell>
          <cell r="ET97">
            <v>645450</v>
          </cell>
        </row>
        <row r="98">
          <cell r="DO98">
            <v>19</v>
          </cell>
          <cell r="DP98" t="str">
            <v>Ahmad Syamsudin</v>
          </cell>
          <cell r="DQ98" t="str">
            <v>57.968.775.7-543.000</v>
          </cell>
          <cell r="DR98" t="str">
            <v>Mandingan Dk Mandingan , RT/RW 003/, Kecamatan Bantul, Ringinharjo</v>
          </cell>
          <cell r="DS98" t="str">
            <v>3402082104790002</v>
          </cell>
          <cell r="DT98">
            <v>0</v>
          </cell>
          <cell r="DU98" t="str">
            <v>Staf  Kantor Kas Pundong</v>
          </cell>
          <cell r="DV98" t="str">
            <v>L</v>
          </cell>
          <cell r="DW98" t="str">
            <v>K/2</v>
          </cell>
          <cell r="DX98" t="str">
            <v>01</v>
          </cell>
          <cell r="DY98">
            <v>12</v>
          </cell>
          <cell r="DZ98" t="str">
            <v/>
          </cell>
          <cell r="EA98">
            <v>29745000</v>
          </cell>
          <cell r="EB98">
            <v>3425733</v>
          </cell>
          <cell r="EC98">
            <v>36974852</v>
          </cell>
          <cell r="ED98">
            <v>0</v>
          </cell>
          <cell r="EE98">
            <v>0</v>
          </cell>
          <cell r="EF98">
            <v>22105246.866529498</v>
          </cell>
          <cell r="EH98">
            <v>92250831.866529495</v>
          </cell>
          <cell r="EI98">
            <v>3580032</v>
          </cell>
          <cell r="EJ98">
            <v>4612541.5933264745</v>
          </cell>
          <cell r="EL98">
            <v>84058258.273203015</v>
          </cell>
          <cell r="EM98">
            <v>0</v>
          </cell>
          <cell r="EN98">
            <v>84058258.273203015</v>
          </cell>
          <cell r="EO98">
            <v>45000000</v>
          </cell>
          <cell r="EP98">
            <v>39058258.273203015</v>
          </cell>
          <cell r="EQ98">
            <v>1952900</v>
          </cell>
          <cell r="ER98">
            <v>0</v>
          </cell>
          <cell r="ES98">
            <v>1952900</v>
          </cell>
          <cell r="ET98">
            <v>1952900</v>
          </cell>
        </row>
        <row r="99">
          <cell r="DO99">
            <v>20</v>
          </cell>
          <cell r="DP99" t="str">
            <v>Arman Krisnanto, SE,MM</v>
          </cell>
          <cell r="DQ99" t="str">
            <v>14.189.049.1-542.000</v>
          </cell>
          <cell r="DR99" t="str">
            <v>Manding serut, RT/RW 01/, Kecamatan Bantul, Sabdodadi</v>
          </cell>
          <cell r="DS99" t="str">
            <v>3402082307740002</v>
          </cell>
          <cell r="DT99">
            <v>0</v>
          </cell>
          <cell r="DU99" t="str">
            <v>Staf Ahli</v>
          </cell>
          <cell r="DV99" t="str">
            <v>L</v>
          </cell>
          <cell r="DW99" t="str">
            <v>K/1</v>
          </cell>
          <cell r="DX99" t="str">
            <v>01</v>
          </cell>
          <cell r="DY99">
            <v>12</v>
          </cell>
          <cell r="DZ99" t="str">
            <v/>
          </cell>
          <cell r="EA99">
            <v>54739800</v>
          </cell>
          <cell r="EB99">
            <v>27870482</v>
          </cell>
          <cell r="EC99">
            <v>145758893</v>
          </cell>
          <cell r="ED99">
            <v>0</v>
          </cell>
          <cell r="EE99">
            <v>0</v>
          </cell>
          <cell r="EF99">
            <v>43901788.062341467</v>
          </cell>
          <cell r="EH99">
            <v>272270963.06234145</v>
          </cell>
          <cell r="EI99">
            <v>11035113</v>
          </cell>
          <cell r="EJ99">
            <v>6000000</v>
          </cell>
          <cell r="EL99">
            <v>255235850.06234145</v>
          </cell>
          <cell r="EM99">
            <v>0</v>
          </cell>
          <cell r="EN99">
            <v>255235850.06234145</v>
          </cell>
          <cell r="EO99">
            <v>42000000</v>
          </cell>
          <cell r="EP99">
            <v>213235850.06234145</v>
          </cell>
          <cell r="EQ99">
            <v>26985250</v>
          </cell>
          <cell r="ER99">
            <v>0</v>
          </cell>
          <cell r="ES99">
            <v>26985250</v>
          </cell>
          <cell r="ET99">
            <v>26985250</v>
          </cell>
        </row>
        <row r="100">
          <cell r="DO100">
            <v>21</v>
          </cell>
          <cell r="DP100" t="str">
            <v>Handhy Saputro Prabowo, SE</v>
          </cell>
          <cell r="DQ100" t="str">
            <v>08.963.282.2-543.000</v>
          </cell>
          <cell r="DR100" t="str">
            <v>Permata Griya Mandiri B 13, RT/RW 12/, Kecamatan Kasihan, Bangunjiwo</v>
          </cell>
          <cell r="DS100" t="str">
            <v>3402162308760003</v>
          </cell>
          <cell r="DT100">
            <v>0</v>
          </cell>
          <cell r="DU100" t="str">
            <v>Kepala Bagian Umum</v>
          </cell>
          <cell r="DV100" t="str">
            <v>L</v>
          </cell>
          <cell r="DW100" t="str">
            <v>K/2</v>
          </cell>
          <cell r="DX100" t="str">
            <v>01</v>
          </cell>
          <cell r="DY100">
            <v>12</v>
          </cell>
          <cell r="DZ100" t="str">
            <v/>
          </cell>
          <cell r="EA100">
            <v>36605400</v>
          </cell>
          <cell r="EB100">
            <v>17028250</v>
          </cell>
          <cell r="EC100">
            <v>101598538</v>
          </cell>
          <cell r="ED100">
            <v>0</v>
          </cell>
          <cell r="EE100">
            <v>0</v>
          </cell>
          <cell r="EF100">
            <v>50599507.605562016</v>
          </cell>
          <cell r="EH100">
            <v>205831695.60556203</v>
          </cell>
          <cell r="EI100">
            <v>7975938</v>
          </cell>
          <cell r="EJ100">
            <v>6000000</v>
          </cell>
          <cell r="EL100">
            <v>191855757.60556203</v>
          </cell>
          <cell r="EM100">
            <v>0</v>
          </cell>
          <cell r="EN100">
            <v>191855757.60556203</v>
          </cell>
          <cell r="EO100">
            <v>45000000</v>
          </cell>
          <cell r="EP100">
            <v>146855757.60556203</v>
          </cell>
          <cell r="EQ100">
            <v>17028250</v>
          </cell>
          <cell r="ER100">
            <v>0</v>
          </cell>
          <cell r="ES100">
            <v>17028250</v>
          </cell>
          <cell r="ET100">
            <v>17028250</v>
          </cell>
        </row>
        <row r="101">
          <cell r="DO101">
            <v>22</v>
          </cell>
          <cell r="DP101" t="str">
            <v>Tutik Suratmi, SE</v>
          </cell>
          <cell r="DQ101" t="str">
            <v>57.968.776.5-541.000</v>
          </cell>
          <cell r="DR101" t="str">
            <v>Perum Griya Nitikan A10, RT/RW 032/009, Kecamatan Umbulharjo, Sorosutan</v>
          </cell>
          <cell r="DS101" t="str">
            <v>3402105301760001</v>
          </cell>
          <cell r="DT101">
            <v>0</v>
          </cell>
          <cell r="DU101" t="str">
            <v>Kepala Kantor Kas  Pundong</v>
          </cell>
          <cell r="DV101" t="str">
            <v>P</v>
          </cell>
          <cell r="DW101" t="str">
            <v>TK/0</v>
          </cell>
          <cell r="DX101" t="str">
            <v>01</v>
          </cell>
          <cell r="DY101">
            <v>12</v>
          </cell>
          <cell r="DZ101" t="str">
            <v/>
          </cell>
          <cell r="EA101">
            <v>36605400</v>
          </cell>
          <cell r="EB101">
            <v>8996200</v>
          </cell>
          <cell r="EC101">
            <v>60095288</v>
          </cell>
          <cell r="ED101">
            <v>0</v>
          </cell>
          <cell r="EE101">
            <v>0</v>
          </cell>
          <cell r="EF101">
            <v>35211468.021228373</v>
          </cell>
          <cell r="EH101">
            <v>140908356.02122837</v>
          </cell>
          <cell r="EI101">
            <v>5599938</v>
          </cell>
          <cell r="EJ101">
            <v>6000000</v>
          </cell>
          <cell r="EL101">
            <v>129308418.02122837</v>
          </cell>
          <cell r="EM101">
            <v>0</v>
          </cell>
          <cell r="EN101">
            <v>129308418.02122837</v>
          </cell>
          <cell r="EO101">
            <v>36000000</v>
          </cell>
          <cell r="EP101">
            <v>93308418.021228373</v>
          </cell>
          <cell r="EQ101">
            <v>8996200</v>
          </cell>
          <cell r="ER101">
            <v>0</v>
          </cell>
          <cell r="ES101">
            <v>8996200</v>
          </cell>
          <cell r="ET101">
            <v>8996200</v>
          </cell>
        </row>
        <row r="102">
          <cell r="DO102">
            <v>23</v>
          </cell>
          <cell r="DP102" t="str">
            <v>Navi Arlistyo Nugroho, SE</v>
          </cell>
          <cell r="DQ102" t="str">
            <v>57.968.775.7-543.000</v>
          </cell>
          <cell r="DR102" t="str">
            <v>Kramat, RT/RW 008/018, Kecamatan Godean, Sidoarum</v>
          </cell>
          <cell r="DS102" t="str">
            <v>3404022709760001</v>
          </cell>
          <cell r="DT102">
            <v>0</v>
          </cell>
          <cell r="DU102" t="str">
            <v>Kepala Kantor Kas Kretek</v>
          </cell>
          <cell r="DV102" t="str">
            <v>L</v>
          </cell>
          <cell r="DW102" t="str">
            <v>K/2</v>
          </cell>
          <cell r="DX102" t="str">
            <v>01</v>
          </cell>
          <cell r="DY102">
            <v>12</v>
          </cell>
          <cell r="DZ102" t="str">
            <v/>
          </cell>
          <cell r="EA102">
            <v>36605400</v>
          </cell>
          <cell r="EB102">
            <v>7913200</v>
          </cell>
          <cell r="EC102">
            <v>62958538</v>
          </cell>
          <cell r="ED102">
            <v>0</v>
          </cell>
          <cell r="EE102">
            <v>0</v>
          </cell>
          <cell r="EF102">
            <v>35211468.021228373</v>
          </cell>
          <cell r="EH102">
            <v>142688606.02122837</v>
          </cell>
          <cell r="EI102">
            <v>5599938</v>
          </cell>
          <cell r="EJ102">
            <v>6000000</v>
          </cell>
          <cell r="EL102">
            <v>131088668.02122837</v>
          </cell>
          <cell r="EM102">
            <v>0</v>
          </cell>
          <cell r="EN102">
            <v>131088668.02122837</v>
          </cell>
          <cell r="EO102">
            <v>45000000</v>
          </cell>
          <cell r="EP102">
            <v>86088668.021228373</v>
          </cell>
          <cell r="EQ102">
            <v>7913200</v>
          </cell>
          <cell r="ER102">
            <v>0</v>
          </cell>
          <cell r="ES102">
            <v>7913200</v>
          </cell>
          <cell r="ET102">
            <v>7913200</v>
          </cell>
        </row>
        <row r="103">
          <cell r="DO103">
            <v>24</v>
          </cell>
          <cell r="DP103" t="str">
            <v>Hadi Purnomo, SE</v>
          </cell>
          <cell r="DQ103" t="str">
            <v>57.968.778.1-541.000</v>
          </cell>
          <cell r="DR103" t="str">
            <v>Bausasran DN 3/733, RT/RW 045/011, Kecamatan Danurejan, Bausasran</v>
          </cell>
          <cell r="DS103" t="str">
            <v>3471041309760001</v>
          </cell>
          <cell r="DT103">
            <v>0</v>
          </cell>
          <cell r="DU103" t="str">
            <v>Kepala Kantor Kas Banguntapan</v>
          </cell>
          <cell r="DV103" t="str">
            <v>L</v>
          </cell>
          <cell r="DW103" t="str">
            <v>K/3</v>
          </cell>
          <cell r="DX103" t="str">
            <v>01</v>
          </cell>
          <cell r="DY103">
            <v>12</v>
          </cell>
          <cell r="DZ103" t="str">
            <v/>
          </cell>
          <cell r="EA103">
            <v>36605400</v>
          </cell>
          <cell r="EB103">
            <v>7618854</v>
          </cell>
          <cell r="EC103">
            <v>63108538</v>
          </cell>
          <cell r="ED103">
            <v>0</v>
          </cell>
          <cell r="EE103">
            <v>0</v>
          </cell>
          <cell r="EF103">
            <v>35211468.021228373</v>
          </cell>
          <cell r="EH103">
            <v>142544260.02122837</v>
          </cell>
          <cell r="EI103">
            <v>5599938</v>
          </cell>
          <cell r="EJ103">
            <v>6000000</v>
          </cell>
          <cell r="EL103">
            <v>130944322.02122837</v>
          </cell>
          <cell r="EM103">
            <v>0</v>
          </cell>
          <cell r="EN103">
            <v>130944322.02122837</v>
          </cell>
          <cell r="EO103">
            <v>48000000</v>
          </cell>
          <cell r="EP103">
            <v>82944322.021228373</v>
          </cell>
          <cell r="EQ103">
            <v>7441600</v>
          </cell>
          <cell r="ER103">
            <v>0</v>
          </cell>
          <cell r="ES103">
            <v>7441600</v>
          </cell>
          <cell r="ET103">
            <v>7441600</v>
          </cell>
        </row>
        <row r="104">
          <cell r="DO104">
            <v>25</v>
          </cell>
          <cell r="DP104" t="str">
            <v>Moh. Agus Nurokhman</v>
          </cell>
          <cell r="DQ104" t="str">
            <v>57.968.779.9-543.000</v>
          </cell>
          <cell r="DR104" t="str">
            <v>Badegan DK Badegan, RT/RW 003/, Kecamatan Bantul, Bantul</v>
          </cell>
          <cell r="DS104" t="str">
            <v>3402082408680005</v>
          </cell>
          <cell r="DT104">
            <v>0</v>
          </cell>
          <cell r="DU104" t="str">
            <v>Staf  Kantor Kas Niten</v>
          </cell>
          <cell r="DV104" t="str">
            <v>L</v>
          </cell>
          <cell r="DW104" t="str">
            <v>K/2</v>
          </cell>
          <cell r="DX104" t="str">
            <v>01</v>
          </cell>
          <cell r="DY104">
            <v>12</v>
          </cell>
          <cell r="DZ104" t="str">
            <v/>
          </cell>
          <cell r="EA104">
            <v>27237600</v>
          </cell>
          <cell r="EB104">
            <v>3008284</v>
          </cell>
          <cell r="EC104">
            <v>37941148</v>
          </cell>
          <cell r="ED104">
            <v>0</v>
          </cell>
          <cell r="EE104">
            <v>0</v>
          </cell>
          <cell r="EF104">
            <v>21245741.126571525</v>
          </cell>
          <cell r="EH104">
            <v>89432773.126571521</v>
          </cell>
          <cell r="EI104">
            <v>3348348</v>
          </cell>
          <cell r="EJ104">
            <v>4471638.6563285766</v>
          </cell>
          <cell r="EL104">
            <v>81612786.470242947</v>
          </cell>
          <cell r="EM104">
            <v>0</v>
          </cell>
          <cell r="EN104">
            <v>81612786.470242947</v>
          </cell>
          <cell r="EO104">
            <v>45000000</v>
          </cell>
          <cell r="EP104">
            <v>36612786.470242947</v>
          </cell>
          <cell r="EQ104">
            <v>1830600</v>
          </cell>
          <cell r="ER104">
            <v>0</v>
          </cell>
          <cell r="ES104">
            <v>1830600</v>
          </cell>
          <cell r="ET104">
            <v>1830600</v>
          </cell>
        </row>
        <row r="105">
          <cell r="DO105">
            <v>26</v>
          </cell>
          <cell r="DP105" t="str">
            <v>Agustinus Sugianto, SE, MM</v>
          </cell>
          <cell r="DQ105" t="str">
            <v>57.968.780.7-543.000</v>
          </cell>
          <cell r="DR105" t="str">
            <v>Gedriyan Dk Nyangkringan, RT/RW 001/, Kecamatan Bantul, Bantul</v>
          </cell>
          <cell r="DS105" t="str">
            <v>3402082405730001</v>
          </cell>
          <cell r="DT105">
            <v>0</v>
          </cell>
          <cell r="DU105" t="str">
            <v>Kepala Sub Bagian Kredit Umum</v>
          </cell>
          <cell r="DV105" t="str">
            <v>L</v>
          </cell>
          <cell r="DW105" t="str">
            <v>K/2</v>
          </cell>
          <cell r="DX105" t="str">
            <v>01</v>
          </cell>
          <cell r="DY105">
            <v>12</v>
          </cell>
          <cell r="DZ105" t="str">
            <v/>
          </cell>
          <cell r="EA105">
            <v>35280000</v>
          </cell>
          <cell r="EB105">
            <v>7469191</v>
          </cell>
          <cell r="EC105">
            <v>60040392</v>
          </cell>
          <cell r="ED105">
            <v>0</v>
          </cell>
          <cell r="EE105">
            <v>0</v>
          </cell>
          <cell r="EF105">
            <v>35211468.021228373</v>
          </cell>
          <cell r="EH105">
            <v>138001051.02122837</v>
          </cell>
          <cell r="EI105">
            <v>5477472</v>
          </cell>
          <cell r="EJ105">
            <v>6000000</v>
          </cell>
          <cell r="EL105">
            <v>126523579.02122837</v>
          </cell>
          <cell r="EM105">
            <v>0</v>
          </cell>
          <cell r="EN105">
            <v>126523579.02122837</v>
          </cell>
          <cell r="EO105">
            <v>45000000</v>
          </cell>
          <cell r="EP105">
            <v>81523579.021228373</v>
          </cell>
          <cell r="EQ105">
            <v>7228450</v>
          </cell>
          <cell r="ER105">
            <v>0</v>
          </cell>
          <cell r="ES105">
            <v>7228450</v>
          </cell>
          <cell r="ET105">
            <v>7228450</v>
          </cell>
        </row>
        <row r="106">
          <cell r="DO106">
            <v>27</v>
          </cell>
          <cell r="DP106" t="str">
            <v>Dedi Broto Isjono, SE</v>
          </cell>
          <cell r="DQ106" t="str">
            <v>57.968.781.5-541.000</v>
          </cell>
          <cell r="DR106" t="str">
            <v>Jl Setyaki No 32, RT/RW 015/004, Kecamatan Wirobrajan, Wirobrajan</v>
          </cell>
          <cell r="DS106" t="str">
            <v>3471071412750002</v>
          </cell>
          <cell r="DT106">
            <v>0</v>
          </cell>
          <cell r="DU106" t="str">
            <v>Kepala Kantor Kas Kasihan</v>
          </cell>
          <cell r="DV106" t="str">
            <v>L</v>
          </cell>
          <cell r="DW106" t="str">
            <v>K/3</v>
          </cell>
          <cell r="DX106" t="str">
            <v>01</v>
          </cell>
          <cell r="DY106">
            <v>12</v>
          </cell>
          <cell r="DZ106" t="str">
            <v/>
          </cell>
          <cell r="EA106">
            <v>35280000</v>
          </cell>
          <cell r="EB106">
            <v>7225131</v>
          </cell>
          <cell r="EC106">
            <v>62428672</v>
          </cell>
          <cell r="ED106">
            <v>0</v>
          </cell>
          <cell r="EE106">
            <v>0</v>
          </cell>
          <cell r="EF106">
            <v>35211468.021228373</v>
          </cell>
          <cell r="EH106">
            <v>140145271.02122837</v>
          </cell>
          <cell r="EI106">
            <v>5477472</v>
          </cell>
          <cell r="EJ106">
            <v>6000000</v>
          </cell>
          <cell r="EL106">
            <v>128667799.02122837</v>
          </cell>
          <cell r="EM106">
            <v>0</v>
          </cell>
          <cell r="EN106">
            <v>128667799.02122837</v>
          </cell>
          <cell r="EO106">
            <v>48000000</v>
          </cell>
          <cell r="EP106">
            <v>80667799.021228373</v>
          </cell>
          <cell r="EQ106">
            <v>7100050</v>
          </cell>
          <cell r="ER106">
            <v>0</v>
          </cell>
          <cell r="ES106">
            <v>7100050</v>
          </cell>
          <cell r="ET106">
            <v>7100050</v>
          </cell>
        </row>
        <row r="107">
          <cell r="DO107">
            <v>28</v>
          </cell>
          <cell r="DP107" t="str">
            <v>Apri Mawan Kristiana, SE</v>
          </cell>
          <cell r="DQ107" t="str">
            <v>57.968.782.3-543.000</v>
          </cell>
          <cell r="DR107" t="str">
            <v>Pangkah, RT/RW 001/, Kecamatan Kretek, Tirtosari</v>
          </cell>
          <cell r="DS107" t="str">
            <v>3402030104780001</v>
          </cell>
          <cell r="DT107">
            <v>0</v>
          </cell>
          <cell r="DU107" t="str">
            <v>Kepala Kantor Kas Bambanglipuro</v>
          </cell>
          <cell r="DV107" t="str">
            <v>L</v>
          </cell>
          <cell r="DW107" t="str">
            <v>K/1</v>
          </cell>
          <cell r="DX107" t="str">
            <v>01</v>
          </cell>
          <cell r="DY107">
            <v>12</v>
          </cell>
          <cell r="DZ107" t="str">
            <v/>
          </cell>
          <cell r="EA107">
            <v>35280000</v>
          </cell>
          <cell r="EB107">
            <v>7730650</v>
          </cell>
          <cell r="EC107">
            <v>60754648</v>
          </cell>
          <cell r="ED107">
            <v>0</v>
          </cell>
          <cell r="EE107">
            <v>0</v>
          </cell>
          <cell r="EF107">
            <v>34466850.244709909</v>
          </cell>
          <cell r="EH107">
            <v>138232148.24470991</v>
          </cell>
          <cell r="EI107">
            <v>5361048</v>
          </cell>
          <cell r="EJ107">
            <v>6000000</v>
          </cell>
          <cell r="EL107">
            <v>126871100.24470991</v>
          </cell>
          <cell r="EM107">
            <v>0</v>
          </cell>
          <cell r="EN107">
            <v>126871100.24470991</v>
          </cell>
          <cell r="EO107">
            <v>42000000</v>
          </cell>
          <cell r="EP107">
            <v>84871100.244709909</v>
          </cell>
          <cell r="EQ107">
            <v>7730650</v>
          </cell>
          <cell r="ER107">
            <v>0</v>
          </cell>
          <cell r="ES107">
            <v>7730650</v>
          </cell>
          <cell r="ET107">
            <v>7730650</v>
          </cell>
        </row>
        <row r="108">
          <cell r="DO108">
            <v>29</v>
          </cell>
          <cell r="DP108" t="str">
            <v>Dana Wasana, SE</v>
          </cell>
          <cell r="DQ108" t="str">
            <v>24.186.998.1-541.000</v>
          </cell>
          <cell r="DR108" t="str">
            <v>Deresan Dk Deresan, RT/RW 007/, Kecamatan BAntul, Ringinharjo</v>
          </cell>
          <cell r="DS108" t="str">
            <v>3402082304740004</v>
          </cell>
          <cell r="DT108">
            <v>0</v>
          </cell>
          <cell r="DU108" t="str">
            <v>Kepala Kantor Kas Piyungan</v>
          </cell>
          <cell r="DV108" t="str">
            <v>L</v>
          </cell>
          <cell r="DW108" t="str">
            <v>K/2</v>
          </cell>
          <cell r="DX108" t="str">
            <v>01</v>
          </cell>
          <cell r="DY108">
            <v>12</v>
          </cell>
          <cell r="DZ108" t="str">
            <v/>
          </cell>
          <cell r="EA108">
            <v>35280000</v>
          </cell>
          <cell r="EB108">
            <v>7645000</v>
          </cell>
          <cell r="EC108">
            <v>62641672</v>
          </cell>
          <cell r="ED108">
            <v>0</v>
          </cell>
          <cell r="EE108">
            <v>0</v>
          </cell>
          <cell r="EF108">
            <v>35211468.021228373</v>
          </cell>
          <cell r="EH108">
            <v>140778140.02122837</v>
          </cell>
          <cell r="EI108">
            <v>5477472</v>
          </cell>
          <cell r="EJ108">
            <v>6000000</v>
          </cell>
          <cell r="EL108">
            <v>129300668.02122837</v>
          </cell>
          <cell r="EM108">
            <v>0</v>
          </cell>
          <cell r="EN108">
            <v>129300668.02122837</v>
          </cell>
          <cell r="EO108">
            <v>45000000</v>
          </cell>
          <cell r="EP108">
            <v>84300668.021228373</v>
          </cell>
          <cell r="EQ108">
            <v>7645000</v>
          </cell>
          <cell r="ER108">
            <v>0</v>
          </cell>
          <cell r="ES108">
            <v>7645000</v>
          </cell>
          <cell r="ET108">
            <v>7645000</v>
          </cell>
        </row>
        <row r="109">
          <cell r="DO109">
            <v>30</v>
          </cell>
          <cell r="DP109" t="str">
            <v>Gagat Respati Sasongko, Amd</v>
          </cell>
          <cell r="DQ109" t="str">
            <v>24.941.169.5-543.000</v>
          </cell>
          <cell r="DR109" t="str">
            <v>Pepe, RT/RW 002/, Kecamatan Bantul, Trirenggo</v>
          </cell>
          <cell r="DS109" t="str">
            <v>3402081110790001</v>
          </cell>
          <cell r="DT109">
            <v>0</v>
          </cell>
          <cell r="DU109" t="str">
            <v>AO Kredit Umum</v>
          </cell>
          <cell r="DV109" t="str">
            <v>L</v>
          </cell>
          <cell r="DW109" t="str">
            <v>TK/0</v>
          </cell>
          <cell r="DX109" t="str">
            <v>01</v>
          </cell>
          <cell r="DY109">
            <v>12</v>
          </cell>
          <cell r="DZ109" t="str">
            <v/>
          </cell>
          <cell r="EA109">
            <v>30206400</v>
          </cell>
          <cell r="EB109">
            <v>3410968</v>
          </cell>
          <cell r="EC109">
            <v>35031734</v>
          </cell>
          <cell r="ED109">
            <v>0</v>
          </cell>
          <cell r="EE109">
            <v>0</v>
          </cell>
          <cell r="EF109">
            <v>21221790.825788822</v>
          </cell>
          <cell r="EH109">
            <v>89870892.825788826</v>
          </cell>
          <cell r="EI109">
            <v>3323628</v>
          </cell>
          <cell r="EJ109">
            <v>4493544.6412894418</v>
          </cell>
          <cell r="EL109">
            <v>82053720.184499383</v>
          </cell>
          <cell r="EM109">
            <v>0</v>
          </cell>
          <cell r="EN109">
            <v>82053720.184499383</v>
          </cell>
          <cell r="EO109">
            <v>36000000</v>
          </cell>
          <cell r="EP109">
            <v>46053720.184499383</v>
          </cell>
          <cell r="EQ109">
            <v>2302650</v>
          </cell>
          <cell r="ER109">
            <v>0</v>
          </cell>
          <cell r="ES109">
            <v>2302650</v>
          </cell>
          <cell r="ET109">
            <v>2302650</v>
          </cell>
        </row>
        <row r="110">
          <cell r="DO110">
            <v>31</v>
          </cell>
          <cell r="DP110" t="str">
            <v>Dewi Susilowati, SE</v>
          </cell>
          <cell r="DQ110" t="str">
            <v>57.968.784.9-542.000</v>
          </cell>
          <cell r="DR110" t="str">
            <v>Perum Pamungkas E 21, RT/RW 002/032, Kecamatan Ngemplak, Umbulmartani</v>
          </cell>
          <cell r="DS110" t="str">
            <v>3404114704780003</v>
          </cell>
          <cell r="DT110">
            <v>0</v>
          </cell>
          <cell r="DU110" t="str">
            <v>Staf Kantor Kas Kasihan</v>
          </cell>
          <cell r="DV110" t="str">
            <v>P</v>
          </cell>
          <cell r="DW110" t="str">
            <v>TK/0</v>
          </cell>
          <cell r="DX110" t="str">
            <v>01</v>
          </cell>
          <cell r="DY110">
            <v>12</v>
          </cell>
          <cell r="DZ110" t="str">
            <v/>
          </cell>
          <cell r="EA110">
            <v>35280000</v>
          </cell>
          <cell r="EB110">
            <v>4381367</v>
          </cell>
          <cell r="EC110">
            <v>38709172</v>
          </cell>
          <cell r="ED110">
            <v>0</v>
          </cell>
          <cell r="EE110">
            <v>0</v>
          </cell>
          <cell r="EF110">
            <v>26101193.685730316</v>
          </cell>
          <cell r="EH110">
            <v>104471732.68573031</v>
          </cell>
          <cell r="EI110">
            <v>4091472</v>
          </cell>
          <cell r="EJ110">
            <v>5223586.6342865154</v>
          </cell>
          <cell r="EL110">
            <v>95156674.051443785</v>
          </cell>
          <cell r="EM110">
            <v>0</v>
          </cell>
          <cell r="EN110">
            <v>95156674.051443785</v>
          </cell>
          <cell r="EO110">
            <v>36000000</v>
          </cell>
          <cell r="EP110">
            <v>59156674.051443785</v>
          </cell>
          <cell r="EQ110">
            <v>3873400</v>
          </cell>
          <cell r="ER110">
            <v>0</v>
          </cell>
          <cell r="ES110">
            <v>3873400</v>
          </cell>
          <cell r="ET110">
            <v>3873400</v>
          </cell>
        </row>
        <row r="111">
          <cell r="DO111">
            <v>32</v>
          </cell>
          <cell r="DP111" t="str">
            <v>Bambang Suryo Wibowo, SE</v>
          </cell>
          <cell r="DQ111" t="str">
            <v>57.968.785.6-541.000</v>
          </cell>
          <cell r="DR111" t="str">
            <v>Jl Babaran No 49, RT/RW 30/007, Kecamatan Umbulharjo, Tahunan</v>
          </cell>
          <cell r="DS111" t="str">
            <v>1350130703780002</v>
          </cell>
          <cell r="DT111">
            <v>0</v>
          </cell>
          <cell r="DU111" t="str">
            <v>Kepala Sub Bagian SDM</v>
          </cell>
          <cell r="DV111" t="str">
            <v>L</v>
          </cell>
          <cell r="DW111" t="str">
            <v>K/2</v>
          </cell>
          <cell r="DX111" t="str">
            <v>01</v>
          </cell>
          <cell r="DY111">
            <v>12</v>
          </cell>
          <cell r="DZ111" t="str">
            <v/>
          </cell>
          <cell r="EA111">
            <v>35280000</v>
          </cell>
          <cell r="EB111">
            <v>7577009</v>
          </cell>
          <cell r="EC111">
            <v>59760664</v>
          </cell>
          <cell r="ED111">
            <v>0</v>
          </cell>
          <cell r="EE111">
            <v>0</v>
          </cell>
          <cell r="EF111">
            <v>34925715.115953028</v>
          </cell>
          <cell r="EH111">
            <v>137543388.11595303</v>
          </cell>
          <cell r="EI111">
            <v>5438664</v>
          </cell>
          <cell r="EJ111">
            <v>6000000</v>
          </cell>
          <cell r="EL111">
            <v>126104724.11595303</v>
          </cell>
          <cell r="EM111">
            <v>0</v>
          </cell>
          <cell r="EN111">
            <v>126104724.11595303</v>
          </cell>
          <cell r="EO111">
            <v>45000000</v>
          </cell>
          <cell r="EP111">
            <v>81104724.115953028</v>
          </cell>
          <cell r="EQ111">
            <v>7165600</v>
          </cell>
          <cell r="ER111">
            <v>0</v>
          </cell>
          <cell r="ES111">
            <v>7165600</v>
          </cell>
          <cell r="ET111">
            <v>7165600</v>
          </cell>
        </row>
        <row r="112">
          <cell r="DO112">
            <v>33</v>
          </cell>
          <cell r="DP112" t="str">
            <v>R Kenedi Prawata H, SET</v>
          </cell>
          <cell r="DQ112" t="str">
            <v>57.968.786.4-542.000</v>
          </cell>
          <cell r="DR112" t="str">
            <v>Gamplong, RT/RW 001/004, Kecamatan Moyudan, Sumberrahayu</v>
          </cell>
          <cell r="DS112" t="str">
            <v>3404031812740003</v>
          </cell>
          <cell r="DT112">
            <v>0</v>
          </cell>
          <cell r="DU112" t="str">
            <v>Staf Kantor Kas Kretek</v>
          </cell>
          <cell r="DV112" t="str">
            <v>L</v>
          </cell>
          <cell r="DW112" t="str">
            <v>TK/0</v>
          </cell>
          <cell r="DX112" t="str">
            <v>01</v>
          </cell>
          <cell r="DY112">
            <v>12</v>
          </cell>
          <cell r="DZ112" t="str">
            <v/>
          </cell>
          <cell r="EA112">
            <v>29893200</v>
          </cell>
          <cell r="EB112">
            <v>3364151</v>
          </cell>
          <cell r="EC112">
            <v>34860280</v>
          </cell>
          <cell r="ED112">
            <v>0</v>
          </cell>
          <cell r="EE112">
            <v>0</v>
          </cell>
          <cell r="EF112">
            <v>21057551.598261498</v>
          </cell>
          <cell r="EH112">
            <v>89175182.598261505</v>
          </cell>
          <cell r="EI112">
            <v>3297780</v>
          </cell>
          <cell r="EJ112">
            <v>4458759.1299130758</v>
          </cell>
          <cell r="EL112">
            <v>81418643.468348429</v>
          </cell>
          <cell r="EM112">
            <v>0</v>
          </cell>
          <cell r="EN112">
            <v>81418643.468348429</v>
          </cell>
          <cell r="EO112">
            <v>36000000</v>
          </cell>
          <cell r="EP112">
            <v>45418643.468348429</v>
          </cell>
          <cell r="EQ112">
            <v>2270900</v>
          </cell>
          <cell r="ER112">
            <v>0</v>
          </cell>
          <cell r="ES112">
            <v>2270900</v>
          </cell>
          <cell r="ET112">
            <v>2270900</v>
          </cell>
        </row>
        <row r="113">
          <cell r="DO113">
            <v>34</v>
          </cell>
          <cell r="DP113" t="str">
            <v>Wisnu Sadmoko, SE</v>
          </cell>
          <cell r="DQ113" t="str">
            <v>57.968.787.2-525.000</v>
          </cell>
          <cell r="DR113" t="str">
            <v>Padokan kidul, RT/RW 04/, Kecamatan Kasihan, Tirtonirmolo</v>
          </cell>
          <cell r="DS113" t="str">
            <v>3402161504770006</v>
          </cell>
          <cell r="DT113">
            <v>0</v>
          </cell>
          <cell r="DU113" t="str">
            <v>Kepala Sub Bagian Admin Kredit</v>
          </cell>
          <cell r="DV113" t="str">
            <v>L</v>
          </cell>
          <cell r="DW113" t="str">
            <v>K/1</v>
          </cell>
          <cell r="DX113" t="str">
            <v>01</v>
          </cell>
          <cell r="DY113">
            <v>12</v>
          </cell>
          <cell r="DZ113" t="str">
            <v/>
          </cell>
          <cell r="EA113">
            <v>35280000</v>
          </cell>
          <cell r="EB113">
            <v>7338498</v>
          </cell>
          <cell r="EC113">
            <v>57940188</v>
          </cell>
          <cell r="ED113">
            <v>0</v>
          </cell>
          <cell r="EE113">
            <v>0</v>
          </cell>
          <cell r="EF113">
            <v>34337715.115953028</v>
          </cell>
          <cell r="EH113">
            <v>134896401.11595303</v>
          </cell>
          <cell r="EI113">
            <v>5361048</v>
          </cell>
          <cell r="EJ113">
            <v>6000000</v>
          </cell>
          <cell r="EL113">
            <v>123535353.11595303</v>
          </cell>
          <cell r="EM113">
            <v>0</v>
          </cell>
          <cell r="EN113">
            <v>123535353.11595303</v>
          </cell>
          <cell r="EO113">
            <v>42000000</v>
          </cell>
          <cell r="EP113">
            <v>81535353.115953028</v>
          </cell>
          <cell r="EQ113">
            <v>7230250</v>
          </cell>
          <cell r="ER113">
            <v>0</v>
          </cell>
          <cell r="ES113">
            <v>7230250</v>
          </cell>
          <cell r="ET113">
            <v>7230250</v>
          </cell>
        </row>
        <row r="114">
          <cell r="DO114">
            <v>35</v>
          </cell>
          <cell r="DP114" t="str">
            <v>Bintoro Waluyo Jati, SE</v>
          </cell>
          <cell r="DQ114" t="str">
            <v>24.715.793.6-544.000</v>
          </cell>
          <cell r="DR114" t="str">
            <v>Driyan, RT/RW 060/028, Kecamatan Wates, Wates</v>
          </cell>
          <cell r="DS114" t="str">
            <v>3401022311790061</v>
          </cell>
          <cell r="DT114">
            <v>0</v>
          </cell>
          <cell r="DU114" t="str">
            <v>Kepala Kantor Kas Sedayu</v>
          </cell>
          <cell r="DV114" t="str">
            <v>L</v>
          </cell>
          <cell r="DW114" t="str">
            <v>K/3</v>
          </cell>
          <cell r="DX114" t="str">
            <v>01</v>
          </cell>
          <cell r="DY114">
            <v>12</v>
          </cell>
          <cell r="DZ114" t="str">
            <v/>
          </cell>
          <cell r="EA114">
            <v>33008400</v>
          </cell>
          <cell r="EB114">
            <v>6626315</v>
          </cell>
          <cell r="EC114">
            <v>61402768</v>
          </cell>
          <cell r="ED114">
            <v>0</v>
          </cell>
          <cell r="EE114">
            <v>0</v>
          </cell>
          <cell r="EF114">
            <v>33162624.212240007</v>
          </cell>
          <cell r="EH114">
            <v>134200107.21224001</v>
          </cell>
          <cell r="EI114">
            <v>5267568</v>
          </cell>
          <cell r="EJ114">
            <v>6000000</v>
          </cell>
          <cell r="EL114">
            <v>122932539.21224001</v>
          </cell>
          <cell r="EM114">
            <v>0</v>
          </cell>
          <cell r="EN114">
            <v>122932539.21224001</v>
          </cell>
          <cell r="EO114">
            <v>48000000</v>
          </cell>
          <cell r="EP114">
            <v>74932539.21224001</v>
          </cell>
          <cell r="EQ114">
            <v>6239800</v>
          </cell>
          <cell r="ER114">
            <v>0</v>
          </cell>
          <cell r="ES114">
            <v>6239800</v>
          </cell>
          <cell r="ET114">
            <v>6239800</v>
          </cell>
        </row>
        <row r="115">
          <cell r="DO115">
            <v>36</v>
          </cell>
          <cell r="DP115" t="str">
            <v>Muhammad Dahlan, SE</v>
          </cell>
          <cell r="DQ115" t="str">
            <v>57.968.789.8-543.000</v>
          </cell>
          <cell r="DR115" t="str">
            <v>Jogroho, RT/RW 04/, Kecamatan Bantul, Sabdodadi</v>
          </cell>
          <cell r="DS115" t="str">
            <v>3402082004770002</v>
          </cell>
          <cell r="DT115">
            <v>0</v>
          </cell>
          <cell r="DU115" t="str">
            <v>AO Kredit Pegawai</v>
          </cell>
          <cell r="DV115" t="str">
            <v>L</v>
          </cell>
          <cell r="DW115" t="str">
            <v>K/2</v>
          </cell>
          <cell r="DX115" t="str">
            <v>01</v>
          </cell>
          <cell r="DY115">
            <v>12</v>
          </cell>
          <cell r="DZ115" t="str">
            <v/>
          </cell>
          <cell r="EA115">
            <v>35280000</v>
          </cell>
          <cell r="EB115">
            <v>4311002</v>
          </cell>
          <cell r="EC115">
            <v>39812190</v>
          </cell>
          <cell r="ED115">
            <v>0</v>
          </cell>
          <cell r="EE115">
            <v>0</v>
          </cell>
          <cell r="EF115">
            <v>25361358.691758405</v>
          </cell>
          <cell r="EH115">
            <v>104764550.69175841</v>
          </cell>
          <cell r="EI115">
            <v>3975048</v>
          </cell>
          <cell r="EJ115">
            <v>5238227.5345879206</v>
          </cell>
          <cell r="EL115">
            <v>95551275.157170489</v>
          </cell>
          <cell r="EM115">
            <v>0</v>
          </cell>
          <cell r="EN115">
            <v>95551275.157170489</v>
          </cell>
          <cell r="EO115">
            <v>45000000</v>
          </cell>
          <cell r="EP115">
            <v>50551275.157170489</v>
          </cell>
          <cell r="EQ115">
            <v>2582650</v>
          </cell>
          <cell r="ER115">
            <v>0</v>
          </cell>
          <cell r="ES115">
            <v>2582650</v>
          </cell>
          <cell r="ET115">
            <v>2582650</v>
          </cell>
        </row>
        <row r="116">
          <cell r="DO116">
            <v>37</v>
          </cell>
          <cell r="DP116" t="str">
            <v>Topaz Antoni D.S., SE</v>
          </cell>
          <cell r="DQ116" t="str">
            <v>57.968.790.6-544.000</v>
          </cell>
          <cell r="DR116" t="str">
            <v>Ngramang, RT/RW 021/010, Kecamatan Pengasih, Kedungsari</v>
          </cell>
          <cell r="DS116" t="str">
            <v>3401070204780001</v>
          </cell>
          <cell r="DT116">
            <v>0</v>
          </cell>
          <cell r="DU116" t="str">
            <v>Kepala Bagian Kredit</v>
          </cell>
          <cell r="DV116" t="str">
            <v>L</v>
          </cell>
          <cell r="DW116" t="str">
            <v>K/1</v>
          </cell>
          <cell r="DX116" t="str">
            <v>01</v>
          </cell>
          <cell r="DY116">
            <v>12</v>
          </cell>
          <cell r="DZ116" t="str">
            <v/>
          </cell>
          <cell r="EA116">
            <v>35280000</v>
          </cell>
          <cell r="EB116">
            <v>15911050</v>
          </cell>
          <cell r="EC116">
            <v>94227648</v>
          </cell>
          <cell r="ED116">
            <v>0</v>
          </cell>
          <cell r="EE116">
            <v>0</v>
          </cell>
          <cell r="EF116">
            <v>49725754.700286672</v>
          </cell>
          <cell r="EH116">
            <v>195144452.70028669</v>
          </cell>
          <cell r="EI116">
            <v>7737048</v>
          </cell>
          <cell r="EJ116">
            <v>6000000</v>
          </cell>
          <cell r="EL116">
            <v>181407404.70028669</v>
          </cell>
          <cell r="EM116">
            <v>0</v>
          </cell>
          <cell r="EN116">
            <v>181407404.70028669</v>
          </cell>
          <cell r="EO116">
            <v>42000000</v>
          </cell>
          <cell r="EP116">
            <v>139407404.70028669</v>
          </cell>
          <cell r="EQ116">
            <v>15911050</v>
          </cell>
          <cell r="ER116">
            <v>0</v>
          </cell>
          <cell r="ES116">
            <v>15911050</v>
          </cell>
          <cell r="ET116">
            <v>15911050</v>
          </cell>
        </row>
        <row r="117">
          <cell r="DO117">
            <v>38</v>
          </cell>
          <cell r="DP117" t="str">
            <v>Riswanto, SET</v>
          </cell>
          <cell r="DQ117" t="str">
            <v>24.879.380.4-543.000</v>
          </cell>
          <cell r="DR117" t="str">
            <v>Ketonggo, RT/RW 001/, Kecamatan Pleret, Wonokromo</v>
          </cell>
          <cell r="DS117" t="str">
            <v>3402130104780004</v>
          </cell>
          <cell r="DT117">
            <v>0</v>
          </cell>
          <cell r="DU117" t="str">
            <v>Kepala Kantor Kas Niten</v>
          </cell>
          <cell r="DV117" t="str">
            <v>L</v>
          </cell>
          <cell r="DW117" t="str">
            <v>K/2</v>
          </cell>
          <cell r="DX117" t="str">
            <v>01</v>
          </cell>
          <cell r="DY117">
            <v>12</v>
          </cell>
          <cell r="DZ117" t="str">
            <v/>
          </cell>
          <cell r="EA117">
            <v>35280000</v>
          </cell>
          <cell r="EB117">
            <v>8134900</v>
          </cell>
          <cell r="EC117">
            <v>65551672</v>
          </cell>
          <cell r="ED117">
            <v>0</v>
          </cell>
          <cell r="EE117">
            <v>0</v>
          </cell>
          <cell r="EF117">
            <v>35077550.109924942</v>
          </cell>
          <cell r="EH117">
            <v>144044122.10992494</v>
          </cell>
          <cell r="EI117">
            <v>5477472</v>
          </cell>
          <cell r="EJ117">
            <v>6000000</v>
          </cell>
          <cell r="EL117">
            <v>132566650.10992494</v>
          </cell>
          <cell r="EM117">
            <v>0</v>
          </cell>
          <cell r="EN117">
            <v>132566650.10992494</v>
          </cell>
          <cell r="EO117">
            <v>45000000</v>
          </cell>
          <cell r="EP117">
            <v>87566650.109924942</v>
          </cell>
          <cell r="EQ117">
            <v>8134900</v>
          </cell>
          <cell r="ER117">
            <v>0</v>
          </cell>
          <cell r="ES117">
            <v>8134900</v>
          </cell>
          <cell r="ET117">
            <v>8134900</v>
          </cell>
        </row>
        <row r="118">
          <cell r="DO118">
            <v>39</v>
          </cell>
          <cell r="DP118" t="str">
            <v>Nury Safitri, SE</v>
          </cell>
          <cell r="DQ118" t="str">
            <v>57.968.792.2-543.000</v>
          </cell>
          <cell r="DR118" t="str">
            <v>Tegalrejo 065, RT/RW 65/, Kecamatan Sanden, Sri Gading</v>
          </cell>
          <cell r="DS118" t="str">
            <v>3402025409770002</v>
          </cell>
          <cell r="DT118">
            <v>0</v>
          </cell>
          <cell r="DU118" t="str">
            <v>Kepala Kantor Kas Pajangan</v>
          </cell>
          <cell r="DV118" t="str">
            <v>P</v>
          </cell>
          <cell r="DW118" t="str">
            <v>TK/0</v>
          </cell>
          <cell r="DX118" t="str">
            <v>01</v>
          </cell>
          <cell r="DY118">
            <v>12</v>
          </cell>
          <cell r="DZ118" t="str">
            <v/>
          </cell>
          <cell r="EA118">
            <v>33008400</v>
          </cell>
          <cell r="EB118">
            <v>7138450</v>
          </cell>
          <cell r="EC118">
            <v>56568784</v>
          </cell>
          <cell r="ED118">
            <v>0</v>
          </cell>
          <cell r="EE118">
            <v>0</v>
          </cell>
          <cell r="EF118">
            <v>31148289.862219084</v>
          </cell>
          <cell r="EH118">
            <v>127863923.86221908</v>
          </cell>
          <cell r="EI118">
            <v>4940784</v>
          </cell>
          <cell r="EJ118">
            <v>6000000</v>
          </cell>
          <cell r="EL118">
            <v>116923139.86221908</v>
          </cell>
          <cell r="EM118">
            <v>0</v>
          </cell>
          <cell r="EN118">
            <v>116923139.86221908</v>
          </cell>
          <cell r="EO118">
            <v>36000000</v>
          </cell>
          <cell r="EP118">
            <v>80923139.86221908</v>
          </cell>
          <cell r="EQ118">
            <v>7138450</v>
          </cell>
          <cell r="ER118">
            <v>0</v>
          </cell>
          <cell r="ES118">
            <v>7138450</v>
          </cell>
          <cell r="ET118">
            <v>7138450</v>
          </cell>
        </row>
        <row r="119">
          <cell r="DO119">
            <v>40</v>
          </cell>
          <cell r="DP119" t="str">
            <v>Rr Samesti Nusandari, SE</v>
          </cell>
          <cell r="DQ119" t="str">
            <v>57.968.793.0-543.000</v>
          </cell>
          <cell r="DR119" t="str">
            <v>Surokarsan MG II/411, RT/RW 025/007, Kecamatan Mergangsan, Wirogunan</v>
          </cell>
          <cell r="DS119" t="str">
            <v>3471042011780001</v>
          </cell>
          <cell r="DT119">
            <v>0</v>
          </cell>
          <cell r="DU119" t="str">
            <v>Staf Sub Bagian Administrasi Kredit</v>
          </cell>
          <cell r="DV119" t="str">
            <v>P</v>
          </cell>
          <cell r="DW119" t="str">
            <v>TK/0</v>
          </cell>
          <cell r="DX119" t="str">
            <v>01</v>
          </cell>
          <cell r="DY119">
            <v>12</v>
          </cell>
          <cell r="DZ119" t="str">
            <v/>
          </cell>
          <cell r="EA119">
            <v>35280000</v>
          </cell>
          <cell r="EB119">
            <v>4381367</v>
          </cell>
          <cell r="EC119">
            <v>40626547</v>
          </cell>
          <cell r="ED119">
            <v>0</v>
          </cell>
          <cell r="EE119">
            <v>0</v>
          </cell>
          <cell r="EF119">
            <v>26101193.685730316</v>
          </cell>
          <cell r="EH119">
            <v>106389107.68573031</v>
          </cell>
          <cell r="EI119">
            <v>4091472</v>
          </cell>
          <cell r="EJ119">
            <v>5319455.3842865154</v>
          </cell>
          <cell r="EL119">
            <v>96978180.301443785</v>
          </cell>
          <cell r="EM119">
            <v>0</v>
          </cell>
          <cell r="EN119">
            <v>96978180.301443785</v>
          </cell>
          <cell r="EO119">
            <v>36000000</v>
          </cell>
          <cell r="EP119">
            <v>60978180.301443785</v>
          </cell>
          <cell r="EQ119">
            <v>4146700</v>
          </cell>
          <cell r="ER119">
            <v>0</v>
          </cell>
          <cell r="ES119">
            <v>4146700</v>
          </cell>
          <cell r="ET119">
            <v>4146700</v>
          </cell>
        </row>
        <row r="120">
          <cell r="DO120">
            <v>41</v>
          </cell>
          <cell r="DP120" t="str">
            <v>Noviar Handi Al Faani, SE</v>
          </cell>
          <cell r="DQ120" t="str">
            <v>57.968.794.8-541.000</v>
          </cell>
          <cell r="DR120" t="str">
            <v>Ledok Tukangan DN 2/205, RT/RW 003/001, Kecamatan Danurejan, Tegalpanggung</v>
          </cell>
          <cell r="DS120" t="str">
            <v>3471042011780001</v>
          </cell>
          <cell r="DT120">
            <v>0</v>
          </cell>
          <cell r="DU120" t="str">
            <v>Kepala Sub Bagian Kredit Pegawai</v>
          </cell>
          <cell r="DV120" t="str">
            <v>L</v>
          </cell>
          <cell r="DW120" t="str">
            <v>K/0</v>
          </cell>
          <cell r="DX120" t="str">
            <v>01</v>
          </cell>
          <cell r="DY120">
            <v>12</v>
          </cell>
          <cell r="DZ120" t="str">
            <v/>
          </cell>
          <cell r="EA120">
            <v>35280000</v>
          </cell>
          <cell r="EB120">
            <v>4606380</v>
          </cell>
          <cell r="EC120">
            <v>44848124</v>
          </cell>
          <cell r="ED120">
            <v>0</v>
          </cell>
          <cell r="EE120">
            <v>0</v>
          </cell>
          <cell r="EF120">
            <v>24621523.697786495</v>
          </cell>
          <cell r="EH120">
            <v>109356027.6977865</v>
          </cell>
          <cell r="EI120">
            <v>4436124</v>
          </cell>
          <cell r="EJ120">
            <v>5467801.3848893251</v>
          </cell>
          <cell r="EL120">
            <v>99452102.312897176</v>
          </cell>
          <cell r="EM120">
            <v>0</v>
          </cell>
          <cell r="EN120">
            <v>99452102.312897176</v>
          </cell>
          <cell r="EO120">
            <v>39000000</v>
          </cell>
          <cell r="EP120">
            <v>60452102.312897176</v>
          </cell>
          <cell r="EQ120">
            <v>4067800</v>
          </cell>
          <cell r="ER120">
            <v>0</v>
          </cell>
          <cell r="ES120">
            <v>4067800</v>
          </cell>
          <cell r="ET120">
            <v>4067800</v>
          </cell>
        </row>
        <row r="121">
          <cell r="DO121">
            <v>42</v>
          </cell>
          <cell r="DP121" t="str">
            <v>Lesmono Bayu Atmaji, SE</v>
          </cell>
          <cell r="DQ121" t="str">
            <v>57.965.795.5-541.000</v>
          </cell>
          <cell r="DR121" t="str">
            <v>Perum Roto Kenongo, RT/RW 81/, Kecamatan Sewon, Pendowoharjo</v>
          </cell>
          <cell r="DS121" t="str">
            <v>3402152312750003</v>
          </cell>
          <cell r="DT121">
            <v>0</v>
          </cell>
          <cell r="DU121" t="str">
            <v>Kepala Kantor Kas Bantul</v>
          </cell>
          <cell r="DV121" t="str">
            <v>L</v>
          </cell>
          <cell r="DW121" t="str">
            <v>K/3</v>
          </cell>
          <cell r="DX121" t="str">
            <v>01</v>
          </cell>
          <cell r="DY121">
            <v>12</v>
          </cell>
          <cell r="DZ121" t="str">
            <v/>
          </cell>
          <cell r="EA121">
            <v>35280000</v>
          </cell>
          <cell r="EB121">
            <v>7205044</v>
          </cell>
          <cell r="EC121">
            <v>60474672</v>
          </cell>
          <cell r="ED121">
            <v>0</v>
          </cell>
          <cell r="EE121">
            <v>0</v>
          </cell>
          <cell r="EF121">
            <v>35077550.109924942</v>
          </cell>
          <cell r="EH121">
            <v>138037266.10992494</v>
          </cell>
          <cell r="EI121">
            <v>5477472</v>
          </cell>
          <cell r="EJ121">
            <v>6000000</v>
          </cell>
          <cell r="EL121">
            <v>126559794.10992494</v>
          </cell>
          <cell r="EM121">
            <v>0</v>
          </cell>
          <cell r="EN121">
            <v>126559794.10992494</v>
          </cell>
          <cell r="EO121">
            <v>48000000</v>
          </cell>
          <cell r="EP121">
            <v>78559794.109924942</v>
          </cell>
          <cell r="EQ121">
            <v>6783850</v>
          </cell>
          <cell r="ER121">
            <v>0</v>
          </cell>
          <cell r="ES121">
            <v>6783850</v>
          </cell>
          <cell r="ET121">
            <v>6783850</v>
          </cell>
        </row>
        <row r="122">
          <cell r="DO122">
            <v>43</v>
          </cell>
          <cell r="DP122" t="str">
            <v>Puji Limaningsih, S.Sos</v>
          </cell>
          <cell r="DQ122" t="str">
            <v>57.968.797.1-541.000</v>
          </cell>
          <cell r="DR122" t="str">
            <v>Perum Sorosutan Indah SAW 2 A, RT/RW 63/6, Kecamatan Umbulharjo, Sorosutan</v>
          </cell>
          <cell r="DS122" t="str">
            <v>3471134304780004</v>
          </cell>
          <cell r="DT122">
            <v>0</v>
          </cell>
          <cell r="DU122" t="str">
            <v>AO Kredit Pegawai</v>
          </cell>
          <cell r="DV122" t="str">
            <v>P</v>
          </cell>
          <cell r="DW122" t="str">
            <v>TK/0</v>
          </cell>
          <cell r="DX122" t="str">
            <v>01</v>
          </cell>
          <cell r="DY122">
            <v>12</v>
          </cell>
          <cell r="DZ122" t="str">
            <v/>
          </cell>
          <cell r="EA122">
            <v>35280000</v>
          </cell>
          <cell r="EB122">
            <v>4381367</v>
          </cell>
          <cell r="EC122">
            <v>41226172</v>
          </cell>
          <cell r="ED122">
            <v>0</v>
          </cell>
          <cell r="EE122">
            <v>0</v>
          </cell>
          <cell r="EF122">
            <v>26101193.685730316</v>
          </cell>
          <cell r="EH122">
            <v>106988732.68573031</v>
          </cell>
          <cell r="EI122">
            <v>4091472</v>
          </cell>
          <cell r="EJ122">
            <v>5349436.6342865154</v>
          </cell>
          <cell r="EL122">
            <v>97547824.051443785</v>
          </cell>
          <cell r="EM122">
            <v>0</v>
          </cell>
          <cell r="EN122">
            <v>97547824.051443785</v>
          </cell>
          <cell r="EO122">
            <v>36000000</v>
          </cell>
          <cell r="EP122">
            <v>61547824.051443785</v>
          </cell>
          <cell r="EQ122">
            <v>4232050</v>
          </cell>
          <cell r="ER122">
            <v>0</v>
          </cell>
          <cell r="ES122">
            <v>4232050</v>
          </cell>
          <cell r="ET122">
            <v>4232050</v>
          </cell>
        </row>
        <row r="123">
          <cell r="DO123">
            <v>44</v>
          </cell>
          <cell r="DP123" t="str">
            <v>Heri Sutanto, SPt</v>
          </cell>
          <cell r="DQ123" t="str">
            <v>57.968.798.9-543.000</v>
          </cell>
          <cell r="DR123" t="str">
            <v>Kuden, RT/RW 001/021, Kecamatan Piyungan, Sitimulyo</v>
          </cell>
          <cell r="DS123" t="str">
            <v>3402141301770005</v>
          </cell>
          <cell r="DT123">
            <v>0</v>
          </cell>
          <cell r="DU123" t="str">
            <v>Direktur</v>
          </cell>
          <cell r="DV123" t="str">
            <v>L</v>
          </cell>
          <cell r="DW123" t="str">
            <v>K/3</v>
          </cell>
          <cell r="DX123" t="str">
            <v>01</v>
          </cell>
          <cell r="DY123">
            <v>12</v>
          </cell>
          <cell r="DZ123" t="str">
            <v/>
          </cell>
          <cell r="EA123">
            <v>47369600</v>
          </cell>
          <cell r="EB123">
            <v>20698750</v>
          </cell>
          <cell r="EC123">
            <v>116804550</v>
          </cell>
          <cell r="ED123">
            <v>0</v>
          </cell>
          <cell r="EE123">
            <v>0</v>
          </cell>
          <cell r="EF123">
            <v>50465589.694258586</v>
          </cell>
          <cell r="EH123">
            <v>235338489.69425857</v>
          </cell>
          <cell r="EI123">
            <v>10013350</v>
          </cell>
          <cell r="EJ123">
            <v>6000000</v>
          </cell>
          <cell r="EL123">
            <v>219325139.69425857</v>
          </cell>
          <cell r="EM123">
            <v>0</v>
          </cell>
          <cell r="EN123">
            <v>219325139.69425857</v>
          </cell>
          <cell r="EO123">
            <v>48000000</v>
          </cell>
          <cell r="EP123">
            <v>171325139.69425857</v>
          </cell>
          <cell r="EQ123">
            <v>20698750</v>
          </cell>
          <cell r="ER123">
            <v>0</v>
          </cell>
          <cell r="ES123">
            <v>20698750</v>
          </cell>
          <cell r="ET123">
            <v>20698750</v>
          </cell>
        </row>
        <row r="124">
          <cell r="DO124">
            <v>45</v>
          </cell>
          <cell r="DP124" t="str">
            <v>Muhammad Abu Kholid</v>
          </cell>
          <cell r="DQ124" t="str">
            <v>57.968.799.7-543.000</v>
          </cell>
          <cell r="DR124" t="str">
            <v>Tajeman, RT/RW 03/, Kecamatan bantul, Palbapang</v>
          </cell>
          <cell r="DS124" t="str">
            <v>3402082305710002</v>
          </cell>
          <cell r="DT124">
            <v>0</v>
          </cell>
          <cell r="DU124" t="str">
            <v>Staf Kantor Kas Sedayu</v>
          </cell>
          <cell r="DV124" t="str">
            <v>L</v>
          </cell>
          <cell r="DW124" t="str">
            <v>K/2</v>
          </cell>
          <cell r="DX124" t="str">
            <v>01</v>
          </cell>
          <cell r="DY124">
            <v>12</v>
          </cell>
          <cell r="DZ124" t="str">
            <v/>
          </cell>
          <cell r="EA124">
            <v>27237600</v>
          </cell>
          <cell r="EB124">
            <v>3167284</v>
          </cell>
          <cell r="EC124">
            <v>42321148</v>
          </cell>
          <cell r="ED124">
            <v>0</v>
          </cell>
          <cell r="EE124">
            <v>0</v>
          </cell>
          <cell r="EF124">
            <v>21245741.126571525</v>
          </cell>
          <cell r="EH124">
            <v>93971773.126571521</v>
          </cell>
          <cell r="EI124">
            <v>3348348</v>
          </cell>
          <cell r="EJ124">
            <v>4698588.6563285766</v>
          </cell>
          <cell r="EL124">
            <v>85924836.470242947</v>
          </cell>
          <cell r="EM124">
            <v>0</v>
          </cell>
          <cell r="EN124">
            <v>85924836.470242947</v>
          </cell>
          <cell r="EO124">
            <v>45000000</v>
          </cell>
          <cell r="EP124">
            <v>40924836.470242947</v>
          </cell>
          <cell r="EQ124">
            <v>2046200</v>
          </cell>
          <cell r="ER124">
            <v>0</v>
          </cell>
          <cell r="ES124">
            <v>2046200</v>
          </cell>
          <cell r="ET124">
            <v>2046200</v>
          </cell>
        </row>
        <row r="125">
          <cell r="DO125">
            <v>46</v>
          </cell>
          <cell r="DP125" t="str">
            <v>Irfan Tritamtomo, Amd</v>
          </cell>
          <cell r="DQ125" t="str">
            <v>57.968.801.1-524.000</v>
          </cell>
          <cell r="DR125" t="str">
            <v>Jl Garuda Gang I/10 Ngentak, RT/RW 003/004, Kecamatan Godean, Sidoarum</v>
          </cell>
          <cell r="DS125" t="str">
            <v>3308092703800001</v>
          </cell>
          <cell r="DT125">
            <v>0</v>
          </cell>
          <cell r="DU125" t="str">
            <v>AO Kredit Umum</v>
          </cell>
          <cell r="DV125" t="str">
            <v>L</v>
          </cell>
          <cell r="DW125" t="str">
            <v>K/1</v>
          </cell>
          <cell r="DX125" t="str">
            <v>01</v>
          </cell>
          <cell r="DY125">
            <v>12</v>
          </cell>
          <cell r="DZ125" t="str">
            <v/>
          </cell>
          <cell r="EA125">
            <v>29283600</v>
          </cell>
          <cell r="EB125">
            <v>3352716</v>
          </cell>
          <cell r="EC125">
            <v>34517280</v>
          </cell>
          <cell r="ED125">
            <v>0</v>
          </cell>
          <cell r="EE125">
            <v>0</v>
          </cell>
          <cell r="EF125">
            <v>22073408.983490586</v>
          </cell>
          <cell r="EH125">
            <v>89227004.983490586</v>
          </cell>
          <cell r="EI125">
            <v>3440760</v>
          </cell>
          <cell r="EJ125">
            <v>4461350.2491745297</v>
          </cell>
          <cell r="EL125">
            <v>81324894.734316051</v>
          </cell>
          <cell r="EM125">
            <v>0</v>
          </cell>
          <cell r="EN125">
            <v>81324894.734316051</v>
          </cell>
          <cell r="EO125">
            <v>42000000</v>
          </cell>
          <cell r="EP125">
            <v>39324894.734316051</v>
          </cell>
          <cell r="EQ125">
            <v>1966200</v>
          </cell>
          <cell r="ER125">
            <v>0</v>
          </cell>
          <cell r="ES125">
            <v>1966200</v>
          </cell>
          <cell r="ET125">
            <v>1966200</v>
          </cell>
        </row>
        <row r="126">
          <cell r="DO126">
            <v>47</v>
          </cell>
          <cell r="DP126" t="str">
            <v xml:space="preserve">Yustinus Supriyantoro, SE, MM </v>
          </cell>
          <cell r="DQ126" t="str">
            <v>24.274.158.5-541.000</v>
          </cell>
          <cell r="DR126" t="str">
            <v>Jl Glagahsari 20, RT/RW 002/001, Kecamatan Umbulharjo, Warungboto</v>
          </cell>
          <cell r="DS126" t="str">
            <v>3471132306690001</v>
          </cell>
          <cell r="DT126">
            <v>0</v>
          </cell>
          <cell r="DU126" t="str">
            <v>AO Kredit Pegawai</v>
          </cell>
          <cell r="DV126" t="str">
            <v>L</v>
          </cell>
          <cell r="DW126" t="str">
            <v>K/2</v>
          </cell>
          <cell r="DX126" t="str">
            <v>01</v>
          </cell>
          <cell r="DY126">
            <v>12</v>
          </cell>
          <cell r="DZ126" t="str">
            <v/>
          </cell>
          <cell r="EA126">
            <v>34203600</v>
          </cell>
          <cell r="EB126">
            <v>4218703</v>
          </cell>
          <cell r="EC126">
            <v>38223166</v>
          </cell>
          <cell r="ED126">
            <v>0</v>
          </cell>
          <cell r="EE126">
            <v>0</v>
          </cell>
          <cell r="EF126">
            <v>25598873.685730316</v>
          </cell>
          <cell r="EH126">
            <v>102244342.68573031</v>
          </cell>
          <cell r="EI126">
            <v>3992004</v>
          </cell>
          <cell r="EJ126">
            <v>5112217.1342865154</v>
          </cell>
          <cell r="EL126">
            <v>93140121.551443785</v>
          </cell>
          <cell r="EM126">
            <v>0</v>
          </cell>
          <cell r="EN126">
            <v>93140121.551443785</v>
          </cell>
          <cell r="EO126">
            <v>45000000</v>
          </cell>
          <cell r="EP126">
            <v>48140121.551443785</v>
          </cell>
          <cell r="EQ126">
            <v>2407000</v>
          </cell>
          <cell r="ER126">
            <v>0</v>
          </cell>
          <cell r="ES126">
            <v>2407000</v>
          </cell>
          <cell r="ET126">
            <v>2407000</v>
          </cell>
        </row>
        <row r="127">
          <cell r="DO127">
            <v>48</v>
          </cell>
          <cell r="DP127" t="str">
            <v>Tari Sapta Dewi, SH</v>
          </cell>
          <cell r="DQ127" t="str">
            <v>57.968.803.7-542.000</v>
          </cell>
          <cell r="DR127" t="str">
            <v>Suruh Bronggang, RT/RW 01/27, Kecamatan Cangkringan, Argomulyo</v>
          </cell>
          <cell r="DS127" t="str">
            <v>3404175303800002</v>
          </cell>
          <cell r="DT127">
            <v>0</v>
          </cell>
          <cell r="DU127" t="str">
            <v>Staf Bagian Umum</v>
          </cell>
          <cell r="DV127" t="str">
            <v>P</v>
          </cell>
          <cell r="DW127" t="str">
            <v>TK/0</v>
          </cell>
          <cell r="DX127" t="str">
            <v>01</v>
          </cell>
          <cell r="DY127">
            <v>12</v>
          </cell>
          <cell r="DZ127" t="str">
            <v/>
          </cell>
          <cell r="EA127">
            <v>33008400</v>
          </cell>
          <cell r="EB127">
            <v>3917210</v>
          </cell>
          <cell r="EC127">
            <v>38876688</v>
          </cell>
          <cell r="ED127">
            <v>0</v>
          </cell>
          <cell r="EE127">
            <v>0</v>
          </cell>
          <cell r="EF127">
            <v>24186267.788045384</v>
          </cell>
          <cell r="EH127">
            <v>99988565.788045377</v>
          </cell>
          <cell r="EI127">
            <v>3881568</v>
          </cell>
          <cell r="EJ127">
            <v>4999428.2894022688</v>
          </cell>
          <cell r="EL127">
            <v>91107569.4986431</v>
          </cell>
          <cell r="EM127">
            <v>0</v>
          </cell>
          <cell r="EN127">
            <v>91107569.4986431</v>
          </cell>
          <cell r="EO127">
            <v>36000000</v>
          </cell>
          <cell r="EP127">
            <v>55107569.4986431</v>
          </cell>
          <cell r="EQ127">
            <v>3266050</v>
          </cell>
          <cell r="ER127">
            <v>0</v>
          </cell>
          <cell r="ES127">
            <v>3266050</v>
          </cell>
          <cell r="ET127">
            <v>3266050</v>
          </cell>
        </row>
        <row r="128">
          <cell r="DO128">
            <v>49</v>
          </cell>
          <cell r="DP128" t="str">
            <v>Paula Sinta Aryani W, SE</v>
          </cell>
          <cell r="DQ128" t="str">
            <v>68.204.441.7-541.000</v>
          </cell>
          <cell r="DR128" t="str">
            <v>Gunungketur PA II/136, RT/RW 024/006, Kecamatan Pakualaman, Gunung Ketur</v>
          </cell>
          <cell r="DS128" t="str">
            <v>3471116801800002</v>
          </cell>
          <cell r="DT128">
            <v>0</v>
          </cell>
          <cell r="DU128" t="str">
            <v>Kepala Sub Bagian Deposito</v>
          </cell>
          <cell r="DV128" t="str">
            <v>P</v>
          </cell>
          <cell r="DW128" t="str">
            <v>TK/0</v>
          </cell>
          <cell r="DX128" t="str">
            <v>01</v>
          </cell>
          <cell r="DY128">
            <v>12</v>
          </cell>
          <cell r="DZ128" t="str">
            <v/>
          </cell>
          <cell r="EA128">
            <v>34203600</v>
          </cell>
          <cell r="EB128">
            <v>7976050</v>
          </cell>
          <cell r="EC128">
            <v>57739242</v>
          </cell>
          <cell r="ED128">
            <v>0</v>
          </cell>
          <cell r="EE128">
            <v>0</v>
          </cell>
          <cell r="EF128">
            <v>33853335.115953028</v>
          </cell>
          <cell r="EH128">
            <v>133772227.11595303</v>
          </cell>
          <cell r="EI128">
            <v>5265132</v>
          </cell>
          <cell r="EJ128">
            <v>6000000</v>
          </cell>
          <cell r="EL128">
            <v>122507095.11595303</v>
          </cell>
          <cell r="EM128">
            <v>0</v>
          </cell>
          <cell r="EN128">
            <v>122507095.11595303</v>
          </cell>
          <cell r="EO128">
            <v>36000000</v>
          </cell>
          <cell r="EP128">
            <v>86507095.115953028</v>
          </cell>
          <cell r="EQ128">
            <v>7976050</v>
          </cell>
          <cell r="ER128">
            <v>0</v>
          </cell>
          <cell r="ES128">
            <v>7976050</v>
          </cell>
          <cell r="ET128">
            <v>7976050</v>
          </cell>
        </row>
        <row r="129">
          <cell r="DO129">
            <v>50</v>
          </cell>
          <cell r="DP129" t="str">
            <v>Tabah Herwanto, SE</v>
          </cell>
          <cell r="DQ129" t="str">
            <v>57.968.804.5-541.000</v>
          </cell>
          <cell r="DR129" t="str">
            <v>Melikan Kidul, RT/RW 007/, Kecamatan Bantul, Bantul</v>
          </cell>
          <cell r="DS129" t="str">
            <v>3471131803710003</v>
          </cell>
          <cell r="DT129">
            <v>0</v>
          </cell>
          <cell r="DU129" t="str">
            <v>Staf Kantor Kas Pemb.RSUD</v>
          </cell>
          <cell r="DV129" t="str">
            <v>L</v>
          </cell>
          <cell r="DW129" t="str">
            <v>K/0</v>
          </cell>
          <cell r="DX129" t="str">
            <v>01</v>
          </cell>
          <cell r="DY129">
            <v>12</v>
          </cell>
          <cell r="DZ129" t="str">
            <v/>
          </cell>
          <cell r="EA129">
            <v>31327800</v>
          </cell>
          <cell r="EB129">
            <v>3558696</v>
          </cell>
          <cell r="EC129">
            <v>35553190</v>
          </cell>
          <cell r="ED129">
            <v>0</v>
          </cell>
          <cell r="EE129">
            <v>0</v>
          </cell>
          <cell r="EF129">
            <v>21659722.012905851</v>
          </cell>
          <cell r="EH129">
            <v>92099408.012905851</v>
          </cell>
          <cell r="EI129">
            <v>3416136</v>
          </cell>
          <cell r="EJ129">
            <v>4604970.4006452924</v>
          </cell>
          <cell r="EL129">
            <v>84078301.612260565</v>
          </cell>
          <cell r="EM129">
            <v>0</v>
          </cell>
          <cell r="EN129">
            <v>84078301.612260565</v>
          </cell>
          <cell r="EO129">
            <v>39000000</v>
          </cell>
          <cell r="EP129">
            <v>45078301.612260565</v>
          </cell>
          <cell r="EQ129">
            <v>2253900</v>
          </cell>
          <cell r="ER129">
            <v>0</v>
          </cell>
          <cell r="ES129">
            <v>2253900</v>
          </cell>
          <cell r="ET129">
            <v>2253900</v>
          </cell>
        </row>
        <row r="130">
          <cell r="DO130">
            <v>51</v>
          </cell>
          <cell r="DP130" t="str">
            <v>Erika Happy Ritasari, SE</v>
          </cell>
          <cell r="DQ130" t="str">
            <v>57.968.805.2-541.000</v>
          </cell>
          <cell r="DR130" t="str">
            <v>Sanggrahan Kowen II, RT/RW 02/, Kecamatan Sewon, Timbulharjo</v>
          </cell>
          <cell r="DS130" t="str">
            <v>3402154201780005</v>
          </cell>
          <cell r="DT130">
            <v>0</v>
          </cell>
          <cell r="DU130" t="str">
            <v>Staf  Kantor Kas Jetis</v>
          </cell>
          <cell r="DV130" t="str">
            <v>P</v>
          </cell>
          <cell r="DW130" t="str">
            <v>TK/0</v>
          </cell>
          <cell r="DX130" t="str">
            <v>01</v>
          </cell>
          <cell r="DY130">
            <v>12</v>
          </cell>
          <cell r="DZ130" t="str">
            <v/>
          </cell>
          <cell r="EA130">
            <v>34203600</v>
          </cell>
          <cell r="EB130">
            <v>4154155</v>
          </cell>
          <cell r="EC130">
            <v>34497188</v>
          </cell>
          <cell r="ED130">
            <v>0</v>
          </cell>
          <cell r="EE130">
            <v>0</v>
          </cell>
          <cell r="EF130">
            <v>24876978.691758405</v>
          </cell>
          <cell r="EH130">
            <v>97731921.691758409</v>
          </cell>
          <cell r="EI130">
            <v>3879132</v>
          </cell>
          <cell r="EJ130">
            <v>4886596.0845879205</v>
          </cell>
          <cell r="EL130">
            <v>88966193.607170492</v>
          </cell>
          <cell r="EM130">
            <v>0</v>
          </cell>
          <cell r="EN130">
            <v>88966193.607170492</v>
          </cell>
          <cell r="EO130">
            <v>36000000</v>
          </cell>
          <cell r="EP130">
            <v>52966193.607170492</v>
          </cell>
          <cell r="EQ130">
            <v>2944900</v>
          </cell>
          <cell r="ER130">
            <v>0</v>
          </cell>
          <cell r="ES130">
            <v>2944900</v>
          </cell>
          <cell r="ET130">
            <v>2944900</v>
          </cell>
        </row>
        <row r="131">
          <cell r="DO131">
            <v>52</v>
          </cell>
          <cell r="DP131" t="str">
            <v>Santoso, SH</v>
          </cell>
          <cell r="DQ131" t="str">
            <v>57.968.806.0-543.000</v>
          </cell>
          <cell r="DR131" t="str">
            <v>Ngujung DK 4, RT/RW 002/, Kecamatan Sanden, Gadingharjo</v>
          </cell>
          <cell r="DS131" t="str">
            <v>3402020511750001</v>
          </cell>
          <cell r="DT131">
            <v>0</v>
          </cell>
          <cell r="DU131" t="str">
            <v>Staf Sub Bagian P2K</v>
          </cell>
          <cell r="DV131" t="str">
            <v>L</v>
          </cell>
          <cell r="DW131" t="str">
            <v>K/2</v>
          </cell>
          <cell r="DX131" t="str">
            <v>01</v>
          </cell>
          <cell r="DY131">
            <v>12</v>
          </cell>
          <cell r="DZ131" t="str">
            <v/>
          </cell>
          <cell r="EA131">
            <v>34203600</v>
          </cell>
          <cell r="EB131">
            <v>4218703</v>
          </cell>
          <cell r="EC131">
            <v>38799909</v>
          </cell>
          <cell r="ED131">
            <v>0</v>
          </cell>
          <cell r="EE131">
            <v>0</v>
          </cell>
          <cell r="EF131">
            <v>25598873.685730316</v>
          </cell>
          <cell r="EH131">
            <v>102821085.68573031</v>
          </cell>
          <cell r="EI131">
            <v>3992004</v>
          </cell>
          <cell r="EJ131">
            <v>5141054.2842865158</v>
          </cell>
          <cell r="EL131">
            <v>93688027.401443794</v>
          </cell>
          <cell r="EM131">
            <v>0</v>
          </cell>
          <cell r="EN131">
            <v>93688027.401443794</v>
          </cell>
          <cell r="EO131">
            <v>45000000</v>
          </cell>
          <cell r="EP131">
            <v>48688027.401443794</v>
          </cell>
          <cell r="EQ131">
            <v>2434400</v>
          </cell>
          <cell r="ER131">
            <v>0</v>
          </cell>
          <cell r="ES131">
            <v>2434400</v>
          </cell>
          <cell r="ET131">
            <v>2434400</v>
          </cell>
        </row>
        <row r="132">
          <cell r="DO132">
            <v>53</v>
          </cell>
          <cell r="DP132" t="str">
            <v>Bambang Sukoco, SE</v>
          </cell>
          <cell r="DQ132" t="str">
            <v>57.968.807.8-542.000</v>
          </cell>
          <cell r="DR132" t="str">
            <v>Perum Polri Gowok, RT/RW 011/005, Kecamatan Depok, Caturtunggal</v>
          </cell>
          <cell r="DS132" t="str">
            <v>3404072912770017</v>
          </cell>
          <cell r="DT132">
            <v>0</v>
          </cell>
          <cell r="DU132" t="str">
            <v>AO Kredit Umum</v>
          </cell>
          <cell r="DV132" t="str">
            <v>L</v>
          </cell>
          <cell r="DW132" t="str">
            <v>K/2</v>
          </cell>
          <cell r="DX132" t="str">
            <v>01</v>
          </cell>
          <cell r="DY132">
            <v>12</v>
          </cell>
          <cell r="DZ132" t="str">
            <v/>
          </cell>
          <cell r="EA132">
            <v>30842400</v>
          </cell>
          <cell r="EB132">
            <v>3648093</v>
          </cell>
          <cell r="EC132">
            <v>37567452</v>
          </cell>
          <cell r="ED132">
            <v>0</v>
          </cell>
          <cell r="EE132">
            <v>0</v>
          </cell>
          <cell r="EF132">
            <v>23612590.991912544</v>
          </cell>
          <cell r="EH132">
            <v>95670535.991912544</v>
          </cell>
          <cell r="EI132">
            <v>3681432</v>
          </cell>
          <cell r="EJ132">
            <v>4783526.799595627</v>
          </cell>
          <cell r="EL132">
            <v>87205577.19231692</v>
          </cell>
          <cell r="EM132">
            <v>0</v>
          </cell>
          <cell r="EN132">
            <v>87205577.19231692</v>
          </cell>
          <cell r="EO132">
            <v>45000000</v>
          </cell>
          <cell r="EP132">
            <v>42205577.19231692</v>
          </cell>
          <cell r="EQ132">
            <v>2110250</v>
          </cell>
          <cell r="ER132">
            <v>0</v>
          </cell>
          <cell r="ES132">
            <v>2110250</v>
          </cell>
          <cell r="ET132">
            <v>2110250</v>
          </cell>
        </row>
        <row r="133">
          <cell r="DO133">
            <v>54</v>
          </cell>
          <cell r="DP133" t="str">
            <v>Heru Indra Budi,SE</v>
          </cell>
          <cell r="DQ133" t="str">
            <v>57.968.808.6-541.000</v>
          </cell>
          <cell r="DR133" t="str">
            <v>Jl. Hayam Wuruk 14, RT/RW 042/011, Kecamatan Danurejan, Bausasran</v>
          </cell>
          <cell r="DS133" t="str">
            <v>3471041108780002</v>
          </cell>
          <cell r="DT133">
            <v>0</v>
          </cell>
          <cell r="DU133" t="str">
            <v>Staf  Kantor Kas Pajangan</v>
          </cell>
          <cell r="DV133" t="str">
            <v>L</v>
          </cell>
          <cell r="DW133" t="str">
            <v>TK/0</v>
          </cell>
          <cell r="DX133" t="str">
            <v>01</v>
          </cell>
          <cell r="DY133">
            <v>12</v>
          </cell>
          <cell r="DZ133" t="str">
            <v/>
          </cell>
          <cell r="EA133">
            <v>26821800</v>
          </cell>
          <cell r="EB133">
            <v>2901467</v>
          </cell>
          <cell r="EC133">
            <v>31551374</v>
          </cell>
          <cell r="ED133">
            <v>0</v>
          </cell>
          <cell r="EE133">
            <v>0</v>
          </cell>
          <cell r="EF133">
            <v>19411151.005322456</v>
          </cell>
          <cell r="EH133">
            <v>80685792.005322456</v>
          </cell>
          <cell r="EI133">
            <v>3044394</v>
          </cell>
          <cell r="EJ133">
            <v>4034289.6002661232</v>
          </cell>
          <cell r="EL133">
            <v>73607108.405056328</v>
          </cell>
          <cell r="EM133">
            <v>0</v>
          </cell>
          <cell r="EN133">
            <v>73607108.405056328</v>
          </cell>
          <cell r="EO133">
            <v>36000000</v>
          </cell>
          <cell r="EP133">
            <v>37607108.405056328</v>
          </cell>
          <cell r="EQ133">
            <v>1880350</v>
          </cell>
          <cell r="ER133">
            <v>0</v>
          </cell>
          <cell r="ES133">
            <v>1880350</v>
          </cell>
          <cell r="ET133">
            <v>1880350</v>
          </cell>
        </row>
        <row r="134">
          <cell r="DO134">
            <v>55</v>
          </cell>
          <cell r="DP134" t="str">
            <v>Gunawan Setiadi, SE</v>
          </cell>
          <cell r="DQ134" t="str">
            <v>57.968.808.6-541.000</v>
          </cell>
          <cell r="DR134" t="str">
            <v>dalem KG III/878, RT/RW 42/, Kecamatan Kota gede, Purbayan</v>
          </cell>
          <cell r="DS134" t="str">
            <v>3402101511750002</v>
          </cell>
          <cell r="DT134">
            <v>0</v>
          </cell>
          <cell r="DU134" t="str">
            <v>AO Kredit Umum</v>
          </cell>
          <cell r="DV134" t="str">
            <v>L</v>
          </cell>
          <cell r="DW134" t="str">
            <v>K/2</v>
          </cell>
          <cell r="DX134" t="str">
            <v>01</v>
          </cell>
          <cell r="DY134">
            <v>12</v>
          </cell>
          <cell r="DZ134" t="str">
            <v/>
          </cell>
          <cell r="EA134">
            <v>34203600</v>
          </cell>
          <cell r="EB134">
            <v>4218703</v>
          </cell>
          <cell r="EC134">
            <v>37942629</v>
          </cell>
          <cell r="ED134">
            <v>0</v>
          </cell>
          <cell r="EE134">
            <v>0</v>
          </cell>
          <cell r="EF134">
            <v>25598873.685730316</v>
          </cell>
          <cell r="EH134">
            <v>101963805.68573031</v>
          </cell>
          <cell r="EI134">
            <v>3992004</v>
          </cell>
          <cell r="EJ134">
            <v>5098190.2842865158</v>
          </cell>
          <cell r="EL134">
            <v>92873611.401443794</v>
          </cell>
          <cell r="EM134">
            <v>0</v>
          </cell>
          <cell r="EN134">
            <v>92873611.401443794</v>
          </cell>
          <cell r="EO134">
            <v>45000000</v>
          </cell>
          <cell r="EP134">
            <v>47873611.401443794</v>
          </cell>
          <cell r="EQ134">
            <v>2393650</v>
          </cell>
          <cell r="ER134">
            <v>0</v>
          </cell>
          <cell r="ES134">
            <v>2393650</v>
          </cell>
          <cell r="ET134">
            <v>2393650</v>
          </cell>
        </row>
        <row r="135">
          <cell r="DO135">
            <v>56</v>
          </cell>
          <cell r="DP135" t="str">
            <v>Joko Sulistyawan, SE</v>
          </cell>
          <cell r="DQ135" t="str">
            <v>57.968.810.2-541.000</v>
          </cell>
          <cell r="DR135" t="str">
            <v>Glagahsari UH 4/564, RT/RW 22/005, Kecamatan Umbulharjo, Warungboto</v>
          </cell>
          <cell r="DS135" t="str">
            <v>3417731210780002</v>
          </cell>
          <cell r="DT135">
            <v>0</v>
          </cell>
          <cell r="DU135" t="str">
            <v>AO Kredit Umum</v>
          </cell>
          <cell r="DV135" t="str">
            <v>L</v>
          </cell>
          <cell r="DW135" t="str">
            <v>K/2</v>
          </cell>
          <cell r="DX135" t="str">
            <v>01</v>
          </cell>
          <cell r="DY135">
            <v>12</v>
          </cell>
          <cell r="DZ135" t="str">
            <v/>
          </cell>
          <cell r="EA135">
            <v>31813200</v>
          </cell>
          <cell r="EB135">
            <v>3762840</v>
          </cell>
          <cell r="EC135">
            <v>36197913</v>
          </cell>
          <cell r="ED135">
            <v>0</v>
          </cell>
          <cell r="EE135">
            <v>0</v>
          </cell>
          <cell r="EF135">
            <v>23514823.004705075</v>
          </cell>
          <cell r="EH135">
            <v>95288776.004705071</v>
          </cell>
          <cell r="EI135">
            <v>3666144</v>
          </cell>
          <cell r="EJ135">
            <v>4764438.8002352538</v>
          </cell>
          <cell r="EL135">
            <v>86858193.204469815</v>
          </cell>
          <cell r="EM135">
            <v>0</v>
          </cell>
          <cell r="EN135">
            <v>86858193.204469815</v>
          </cell>
          <cell r="EO135">
            <v>45000000</v>
          </cell>
          <cell r="EP135">
            <v>41858193.204469815</v>
          </cell>
          <cell r="EQ135">
            <v>2092900</v>
          </cell>
          <cell r="ER135">
            <v>0</v>
          </cell>
          <cell r="ES135">
            <v>2092900</v>
          </cell>
          <cell r="ET135">
            <v>2092900</v>
          </cell>
        </row>
        <row r="136">
          <cell r="DO136">
            <v>57</v>
          </cell>
          <cell r="DP136" t="str">
            <v>Bono Dwi Saputro, SE</v>
          </cell>
          <cell r="DQ136" t="str">
            <v>24.872.047.6-542.000</v>
          </cell>
          <cell r="DR136" t="str">
            <v>Carikan, RT/RW 001/001, Kecamatan Kalasan, Tamanmartani</v>
          </cell>
          <cell r="DS136" t="str">
            <v>3404102304810001</v>
          </cell>
          <cell r="DT136">
            <v>0</v>
          </cell>
          <cell r="DU136" t="str">
            <v>AO Kredit Pegawai</v>
          </cell>
          <cell r="DV136" t="str">
            <v>L</v>
          </cell>
          <cell r="DW136" t="str">
            <v>K/3</v>
          </cell>
          <cell r="DX136" t="str">
            <v>01</v>
          </cell>
          <cell r="DY136">
            <v>12</v>
          </cell>
          <cell r="DZ136" t="str">
            <v/>
          </cell>
          <cell r="EA136">
            <v>34203600</v>
          </cell>
          <cell r="EB136">
            <v>4075892</v>
          </cell>
          <cell r="EC136">
            <v>39078489</v>
          </cell>
          <cell r="ED136">
            <v>0</v>
          </cell>
          <cell r="EE136">
            <v>0</v>
          </cell>
          <cell r="EF136">
            <v>25598873.685730316</v>
          </cell>
          <cell r="EH136">
            <v>102956854.68573031</v>
          </cell>
          <cell r="EI136">
            <v>3992004</v>
          </cell>
          <cell r="EJ136">
            <v>5147842.734286516</v>
          </cell>
          <cell r="EL136">
            <v>93817007.951443791</v>
          </cell>
          <cell r="EM136">
            <v>0</v>
          </cell>
          <cell r="EN136">
            <v>93817007.951443791</v>
          </cell>
          <cell r="EO136">
            <v>48000000</v>
          </cell>
          <cell r="EP136">
            <v>45817007.951443791</v>
          </cell>
          <cell r="EQ136">
            <v>2290850</v>
          </cell>
          <cell r="ER136">
            <v>0</v>
          </cell>
          <cell r="ES136">
            <v>2290850</v>
          </cell>
          <cell r="ET136">
            <v>2290850</v>
          </cell>
        </row>
        <row r="137">
          <cell r="DO137">
            <v>58</v>
          </cell>
          <cell r="DP137" t="str">
            <v>Ahmad Nur Shoim,SE</v>
          </cell>
          <cell r="DQ137" t="str">
            <v>57.968.812.8-542.000</v>
          </cell>
          <cell r="DR137" t="str">
            <v>Sawit, RT/RW 03/, Kecamatan Sewon, Panggungharjo</v>
          </cell>
          <cell r="DS137" t="str">
            <v>3402151208790002</v>
          </cell>
          <cell r="DT137">
            <v>0</v>
          </cell>
          <cell r="DU137" t="str">
            <v>Staf Kantor Kas Piyungan</v>
          </cell>
          <cell r="DV137" t="str">
            <v>L</v>
          </cell>
          <cell r="DW137" t="str">
            <v>K/2</v>
          </cell>
          <cell r="DX137" t="str">
            <v>01</v>
          </cell>
          <cell r="DY137">
            <v>12</v>
          </cell>
          <cell r="DZ137" t="str">
            <v/>
          </cell>
          <cell r="EA137">
            <v>30842400</v>
          </cell>
          <cell r="EB137">
            <v>3648093</v>
          </cell>
          <cell r="EC137">
            <v>37417452</v>
          </cell>
          <cell r="ED137">
            <v>0</v>
          </cell>
          <cell r="EE137">
            <v>0</v>
          </cell>
          <cell r="EF137">
            <v>23612590.991912544</v>
          </cell>
          <cell r="EH137">
            <v>95520535.991912544</v>
          </cell>
          <cell r="EI137">
            <v>3681432</v>
          </cell>
          <cell r="EJ137">
            <v>4776026.799595627</v>
          </cell>
          <cell r="EL137">
            <v>87063077.19231692</v>
          </cell>
          <cell r="EM137">
            <v>0</v>
          </cell>
          <cell r="EN137">
            <v>87063077.19231692</v>
          </cell>
          <cell r="EO137">
            <v>45000000</v>
          </cell>
          <cell r="EP137">
            <v>42063077.19231692</v>
          </cell>
          <cell r="EQ137">
            <v>2103150</v>
          </cell>
          <cell r="ER137">
            <v>0</v>
          </cell>
          <cell r="ES137">
            <v>2103150</v>
          </cell>
          <cell r="ET137">
            <v>2103150</v>
          </cell>
        </row>
        <row r="138">
          <cell r="DO138">
            <v>59</v>
          </cell>
          <cell r="DP138" t="str">
            <v>Bintarno, SE</v>
          </cell>
          <cell r="DQ138" t="str">
            <v>57.968.813.6-544.000</v>
          </cell>
          <cell r="DR138" t="str">
            <v>Sumuran Dk sumuran, RT/RW 004/, Kecamatan Bantul, Palbapang</v>
          </cell>
          <cell r="DS138" t="str">
            <v>3402082204770001</v>
          </cell>
          <cell r="DT138">
            <v>0</v>
          </cell>
          <cell r="DU138" t="str">
            <v>AO Kredit Umum</v>
          </cell>
          <cell r="DV138" t="str">
            <v>L</v>
          </cell>
          <cell r="DW138" t="str">
            <v>K/2</v>
          </cell>
          <cell r="DX138" t="str">
            <v>01</v>
          </cell>
          <cell r="DY138">
            <v>12</v>
          </cell>
          <cell r="DZ138" t="str">
            <v/>
          </cell>
          <cell r="EA138">
            <v>34203600</v>
          </cell>
          <cell r="EB138">
            <v>4218703</v>
          </cell>
          <cell r="EC138">
            <v>38760284</v>
          </cell>
          <cell r="ED138">
            <v>0</v>
          </cell>
          <cell r="EE138">
            <v>0</v>
          </cell>
          <cell r="EF138">
            <v>25598873.685730316</v>
          </cell>
          <cell r="EH138">
            <v>102781460.68573031</v>
          </cell>
          <cell r="EI138">
            <v>3992004</v>
          </cell>
          <cell r="EJ138">
            <v>5139073.0342865158</v>
          </cell>
          <cell r="EL138">
            <v>93650383.651443794</v>
          </cell>
          <cell r="EM138">
            <v>0</v>
          </cell>
          <cell r="EN138">
            <v>93650383.651443794</v>
          </cell>
          <cell r="EO138">
            <v>45000000</v>
          </cell>
          <cell r="EP138">
            <v>48650383.651443794</v>
          </cell>
          <cell r="EQ138">
            <v>2432500</v>
          </cell>
          <cell r="ER138">
            <v>0</v>
          </cell>
          <cell r="ES138">
            <v>2432500</v>
          </cell>
          <cell r="ET138">
            <v>2432500</v>
          </cell>
        </row>
        <row r="139">
          <cell r="DO139">
            <v>60</v>
          </cell>
          <cell r="DP139" t="str">
            <v>Rangga M Kurniawan, SE</v>
          </cell>
          <cell r="DQ139" t="str">
            <v>57.968.814.4-541.000</v>
          </cell>
          <cell r="DR139" t="str">
            <v>Perum Puri Potorono Asri, RT/RW 06/, Kecamatan Banguntapan, Potorono</v>
          </cell>
          <cell r="DS139" t="str">
            <v>3402122301770002</v>
          </cell>
          <cell r="DT139">
            <v>0</v>
          </cell>
          <cell r="DU139" t="str">
            <v>Kepala Sub Bagian Tabungan</v>
          </cell>
          <cell r="DV139" t="str">
            <v>L</v>
          </cell>
          <cell r="DW139" t="str">
            <v>K/3</v>
          </cell>
          <cell r="DX139" t="str">
            <v>01</v>
          </cell>
          <cell r="DY139">
            <v>12</v>
          </cell>
          <cell r="DZ139" t="str">
            <v/>
          </cell>
          <cell r="EA139">
            <v>34203600</v>
          </cell>
          <cell r="EB139">
            <v>6921504</v>
          </cell>
          <cell r="EC139">
            <v>59852424</v>
          </cell>
          <cell r="ED139">
            <v>0</v>
          </cell>
          <cell r="EE139">
            <v>0</v>
          </cell>
          <cell r="EF139">
            <v>34575230.109924942</v>
          </cell>
          <cell r="EH139">
            <v>135552758.10992494</v>
          </cell>
          <cell r="EI139">
            <v>5378004</v>
          </cell>
          <cell r="EJ139">
            <v>6000000</v>
          </cell>
          <cell r="EL139">
            <v>124174754.10992494</v>
          </cell>
          <cell r="EM139">
            <v>0</v>
          </cell>
          <cell r="EN139">
            <v>124174754.10992494</v>
          </cell>
          <cell r="EO139">
            <v>48000000</v>
          </cell>
          <cell r="EP139">
            <v>76174754.109924942</v>
          </cell>
          <cell r="EQ139">
            <v>6426100</v>
          </cell>
          <cell r="ER139">
            <v>0</v>
          </cell>
          <cell r="ES139">
            <v>6426100</v>
          </cell>
          <cell r="ET139">
            <v>6426100</v>
          </cell>
        </row>
        <row r="140">
          <cell r="DO140">
            <v>61</v>
          </cell>
          <cell r="DP140" t="str">
            <v>Bambang Herowono, Amd</v>
          </cell>
          <cell r="DQ140" t="str">
            <v>57.968.815.1-542.000</v>
          </cell>
          <cell r="DR140" t="str">
            <v>Jl. Paranggaruda, RT/RW 007/026, Kecamatan Depok, Condong catur</v>
          </cell>
          <cell r="DS140" t="str">
            <v>3404072607790008</v>
          </cell>
          <cell r="DT140">
            <v>0</v>
          </cell>
          <cell r="DU140" t="str">
            <v>Staf Sub Bagian IT</v>
          </cell>
          <cell r="DV140" t="str">
            <v>L</v>
          </cell>
          <cell r="DW140" t="str">
            <v>K/2</v>
          </cell>
          <cell r="DX140" t="str">
            <v>01</v>
          </cell>
          <cell r="DY140">
            <v>12</v>
          </cell>
          <cell r="DZ140" t="str">
            <v/>
          </cell>
          <cell r="EA140">
            <v>22368000</v>
          </cell>
          <cell r="EB140">
            <v>2537931</v>
          </cell>
          <cell r="EC140">
            <v>39632261</v>
          </cell>
          <cell r="ED140">
            <v>0</v>
          </cell>
          <cell r="EE140">
            <v>0</v>
          </cell>
          <cell r="EF140">
            <v>18505254.278589595</v>
          </cell>
          <cell r="EH140">
            <v>83043446.278589591</v>
          </cell>
          <cell r="EI140">
            <v>2867641</v>
          </cell>
          <cell r="EJ140">
            <v>4152172.3139294796</v>
          </cell>
          <cell r="EL140">
            <v>76023632.964660108</v>
          </cell>
          <cell r="EM140">
            <v>0</v>
          </cell>
          <cell r="EN140">
            <v>76023632.964660108</v>
          </cell>
          <cell r="EO140">
            <v>45000000</v>
          </cell>
          <cell r="EP140">
            <v>31023632.964660108</v>
          </cell>
          <cell r="EQ140">
            <v>1551150</v>
          </cell>
          <cell r="ER140">
            <v>0</v>
          </cell>
          <cell r="ES140">
            <v>1551150</v>
          </cell>
          <cell r="ET140">
            <v>1551150</v>
          </cell>
        </row>
        <row r="141">
          <cell r="DO141">
            <v>62</v>
          </cell>
          <cell r="DP141" t="str">
            <v>Ahmad Imam S, SE</v>
          </cell>
          <cell r="DQ141" t="str">
            <v>57.968.816.9-543.000</v>
          </cell>
          <cell r="DR141" t="str">
            <v>Krobokan, RT/RW 005/, Kecamatan Banguntapan, Tamanan</v>
          </cell>
          <cell r="DS141" t="str">
            <v>3402122009780002</v>
          </cell>
          <cell r="DT141">
            <v>0</v>
          </cell>
          <cell r="DU141" t="str">
            <v>Staf Kantor Kas Dlingo</v>
          </cell>
          <cell r="DV141" t="str">
            <v>L</v>
          </cell>
          <cell r="DW141" t="str">
            <v>K/2</v>
          </cell>
          <cell r="DX141" t="str">
            <v>01</v>
          </cell>
          <cell r="DY141">
            <v>12</v>
          </cell>
          <cell r="DZ141" t="str">
            <v/>
          </cell>
          <cell r="EA141">
            <v>34203600</v>
          </cell>
          <cell r="EB141">
            <v>4218703</v>
          </cell>
          <cell r="EC141">
            <v>39466682</v>
          </cell>
          <cell r="ED141">
            <v>0</v>
          </cell>
          <cell r="EE141">
            <v>0</v>
          </cell>
          <cell r="EF141">
            <v>25598873.685730316</v>
          </cell>
          <cell r="EH141">
            <v>103487858.68573031</v>
          </cell>
          <cell r="EI141">
            <v>3992004</v>
          </cell>
          <cell r="EJ141">
            <v>5174392.9342865162</v>
          </cell>
          <cell r="EL141">
            <v>94321461.751443788</v>
          </cell>
          <cell r="EM141">
            <v>0</v>
          </cell>
          <cell r="EN141">
            <v>94321461.751443788</v>
          </cell>
          <cell r="EO141">
            <v>45000000</v>
          </cell>
          <cell r="EP141">
            <v>49321461.751443788</v>
          </cell>
          <cell r="EQ141">
            <v>2466050</v>
          </cell>
          <cell r="ER141">
            <v>0</v>
          </cell>
          <cell r="ES141">
            <v>2466050</v>
          </cell>
          <cell r="ET141">
            <v>2466050</v>
          </cell>
        </row>
        <row r="142">
          <cell r="DO142">
            <v>63</v>
          </cell>
          <cell r="DP142" t="str">
            <v>Irvan Fauzi, SE</v>
          </cell>
          <cell r="DQ142" t="str">
            <v>57.968.817.7-542.000</v>
          </cell>
          <cell r="DR142" t="str">
            <v>Karang Kemasan, RT/RW 003/020, Kecamatan Moyudan, Sumberrahayu</v>
          </cell>
          <cell r="DS142" t="str">
            <v>3404030212770001</v>
          </cell>
          <cell r="DT142">
            <v>0</v>
          </cell>
          <cell r="DU142" t="str">
            <v>Kepala Kantor Kas Sanden</v>
          </cell>
          <cell r="DV142" t="str">
            <v>L</v>
          </cell>
          <cell r="DW142" t="str">
            <v>K/2</v>
          </cell>
          <cell r="DX142" t="str">
            <v>01</v>
          </cell>
          <cell r="DY142">
            <v>12</v>
          </cell>
          <cell r="DZ142" t="str">
            <v/>
          </cell>
          <cell r="EA142">
            <v>34203600</v>
          </cell>
          <cell r="EB142">
            <v>7245850</v>
          </cell>
          <cell r="EC142">
            <v>61992424</v>
          </cell>
          <cell r="ED142">
            <v>0</v>
          </cell>
          <cell r="EE142">
            <v>0</v>
          </cell>
          <cell r="EF142">
            <v>34575230.109924942</v>
          </cell>
          <cell r="EH142">
            <v>138017104.10992494</v>
          </cell>
          <cell r="EI142">
            <v>5378004</v>
          </cell>
          <cell r="EJ142">
            <v>6000000</v>
          </cell>
          <cell r="EL142">
            <v>126639100.10992494</v>
          </cell>
          <cell r="EM142">
            <v>0</v>
          </cell>
          <cell r="EN142">
            <v>126639100.10992494</v>
          </cell>
          <cell r="EO142">
            <v>45000000</v>
          </cell>
          <cell r="EP142">
            <v>81639100.109924942</v>
          </cell>
          <cell r="EQ142">
            <v>7245850</v>
          </cell>
          <cell r="ER142">
            <v>0</v>
          </cell>
          <cell r="ES142">
            <v>7245850</v>
          </cell>
          <cell r="ET142">
            <v>7245850</v>
          </cell>
        </row>
        <row r="143">
          <cell r="DO143">
            <v>64</v>
          </cell>
          <cell r="DP143" t="str">
            <v>Latif Rahmawati, SE</v>
          </cell>
          <cell r="DQ143" t="str">
            <v>57.968.819.3-543.000</v>
          </cell>
          <cell r="DR143" t="str">
            <v>Deresan Dk Deresan, RT/RW 004/, Kecamatan Bantul, Ringinharjo</v>
          </cell>
          <cell r="DS143" t="str">
            <v>3402085901790002</v>
          </cell>
          <cell r="DT143">
            <v>0</v>
          </cell>
          <cell r="DU143" t="str">
            <v>Staf Sub bagian tabungan</v>
          </cell>
          <cell r="DV143" t="str">
            <v>P</v>
          </cell>
          <cell r="DW143" t="str">
            <v>TK/0</v>
          </cell>
          <cell r="DX143" t="str">
            <v>01</v>
          </cell>
          <cell r="DY143">
            <v>12</v>
          </cell>
          <cell r="DZ143" t="str">
            <v/>
          </cell>
          <cell r="EA143">
            <v>34203600</v>
          </cell>
          <cell r="EB143">
            <v>4218703</v>
          </cell>
          <cell r="EC143">
            <v>39182424</v>
          </cell>
          <cell r="ED143">
            <v>0</v>
          </cell>
          <cell r="EE143">
            <v>0</v>
          </cell>
          <cell r="EF143">
            <v>25598873.685730316</v>
          </cell>
          <cell r="EH143">
            <v>103203600.68573031</v>
          </cell>
          <cell r="EI143">
            <v>3992004</v>
          </cell>
          <cell r="EJ143">
            <v>5160180.0342865158</v>
          </cell>
          <cell r="EL143">
            <v>94051416.651443794</v>
          </cell>
          <cell r="EM143">
            <v>0</v>
          </cell>
          <cell r="EN143">
            <v>94051416.651443794</v>
          </cell>
          <cell r="EO143">
            <v>36000000</v>
          </cell>
          <cell r="EP143">
            <v>58051416.651443794</v>
          </cell>
          <cell r="EQ143">
            <v>3707650</v>
          </cell>
          <cell r="ER143">
            <v>0</v>
          </cell>
          <cell r="ES143">
            <v>3707650</v>
          </cell>
          <cell r="ET143">
            <v>3707650</v>
          </cell>
        </row>
        <row r="144">
          <cell r="DO144">
            <v>65</v>
          </cell>
          <cell r="DP144" t="str">
            <v>Tri Suryana, SE</v>
          </cell>
          <cell r="DQ144" t="str">
            <v>24.267.478.6-541.001</v>
          </cell>
          <cell r="DR144" t="str">
            <v>Kadilobo Dk. Suren Kulon Canden Jetis, RT/RW 03/, Kecamatan Jetis, Canden</v>
          </cell>
          <cell r="DS144" t="str">
            <v>3402091904770001</v>
          </cell>
          <cell r="DT144">
            <v>0</v>
          </cell>
          <cell r="DU144" t="str">
            <v>AO Kredit Umum</v>
          </cell>
          <cell r="DV144" t="str">
            <v>L</v>
          </cell>
          <cell r="DW144" t="str">
            <v>K/0</v>
          </cell>
          <cell r="DX144" t="str">
            <v>01</v>
          </cell>
          <cell r="DY144">
            <v>12</v>
          </cell>
          <cell r="DZ144" t="str">
            <v/>
          </cell>
          <cell r="EA144">
            <v>30842400</v>
          </cell>
          <cell r="EB144">
            <v>3527607</v>
          </cell>
          <cell r="EC144">
            <v>32691013</v>
          </cell>
          <cell r="ED144">
            <v>0</v>
          </cell>
          <cell r="EE144">
            <v>0</v>
          </cell>
          <cell r="EF144">
            <v>21659722.012905851</v>
          </cell>
          <cell r="EH144">
            <v>88720742.012905851</v>
          </cell>
          <cell r="EI144">
            <v>3401538</v>
          </cell>
          <cell r="EJ144">
            <v>4436037.1006452926</v>
          </cell>
          <cell r="EL144">
            <v>80883166.912260562</v>
          </cell>
          <cell r="EM144">
            <v>0</v>
          </cell>
          <cell r="EN144">
            <v>80883166.912260562</v>
          </cell>
          <cell r="EO144">
            <v>39000000</v>
          </cell>
          <cell r="EP144">
            <v>41883166.912260562</v>
          </cell>
          <cell r="EQ144">
            <v>2094150</v>
          </cell>
          <cell r="ER144">
            <v>0</v>
          </cell>
          <cell r="ES144">
            <v>2094150</v>
          </cell>
          <cell r="ET144">
            <v>2094150</v>
          </cell>
        </row>
        <row r="145">
          <cell r="DO145">
            <v>66</v>
          </cell>
          <cell r="DP145" t="str">
            <v>R Danardono, SE</v>
          </cell>
          <cell r="DQ145" t="str">
            <v>57.968.820.1-541.000</v>
          </cell>
          <cell r="DR145" t="str">
            <v>Jl. Am. Sangaji 71, RT/RW 033/009, Kecamatan Tegalrejo, Karangwaru</v>
          </cell>
          <cell r="DS145" t="str">
            <v>3471012512750002</v>
          </cell>
          <cell r="DT145">
            <v>0</v>
          </cell>
          <cell r="DU145" t="str">
            <v>Staf Kantor Kas Imogiri</v>
          </cell>
          <cell r="DV145" t="str">
            <v>L</v>
          </cell>
          <cell r="DW145" t="str">
            <v>TK/0</v>
          </cell>
          <cell r="DX145" t="str">
            <v>01</v>
          </cell>
          <cell r="DY145">
            <v>12</v>
          </cell>
          <cell r="DZ145" t="str">
            <v/>
          </cell>
          <cell r="EA145">
            <v>34203600</v>
          </cell>
          <cell r="EB145">
            <v>4025058</v>
          </cell>
          <cell r="EC145">
            <v>33744663</v>
          </cell>
          <cell r="ED145">
            <v>0</v>
          </cell>
          <cell r="EE145">
            <v>0</v>
          </cell>
          <cell r="EF145">
            <v>23433188.703814581</v>
          </cell>
          <cell r="EH145">
            <v>95406509.703814581</v>
          </cell>
          <cell r="EI145">
            <v>3653388</v>
          </cell>
          <cell r="EJ145">
            <v>4770325.4851907296</v>
          </cell>
          <cell r="EL145">
            <v>86982796.218623847</v>
          </cell>
          <cell r="EM145">
            <v>0</v>
          </cell>
          <cell r="EN145">
            <v>86982796.218623847</v>
          </cell>
          <cell r="EO145">
            <v>36000000</v>
          </cell>
          <cell r="EP145">
            <v>50982796.218623847</v>
          </cell>
          <cell r="EQ145">
            <v>2647300</v>
          </cell>
          <cell r="ER145">
            <v>0</v>
          </cell>
          <cell r="ES145">
            <v>2647300</v>
          </cell>
          <cell r="ET145">
            <v>2647300</v>
          </cell>
        </row>
        <row r="146">
          <cell r="DO146">
            <v>67</v>
          </cell>
          <cell r="DP146" t="str">
            <v>Joko Budi Pramono, SE</v>
          </cell>
          <cell r="DQ146" t="str">
            <v>08.965.090.7-541.000</v>
          </cell>
          <cell r="DR146" t="str">
            <v>Jl Letjen Suprapto II, RT/RW 10/002, Kecamatan Ngampilan, Yogyakarta</v>
          </cell>
          <cell r="DS146" t="str">
            <v>3471081112780002</v>
          </cell>
          <cell r="DT146">
            <v>0</v>
          </cell>
          <cell r="DU146" t="str">
            <v>AO Kredit Pegawai</v>
          </cell>
          <cell r="DV146" t="str">
            <v>L</v>
          </cell>
          <cell r="DW146" t="str">
            <v>K/3</v>
          </cell>
          <cell r="DX146" t="str">
            <v>01</v>
          </cell>
          <cell r="DY146">
            <v>12</v>
          </cell>
          <cell r="DZ146" t="str">
            <v/>
          </cell>
          <cell r="EA146">
            <v>34203600</v>
          </cell>
          <cell r="EB146">
            <v>4075892</v>
          </cell>
          <cell r="EC146">
            <v>39272424</v>
          </cell>
          <cell r="ED146">
            <v>0</v>
          </cell>
          <cell r="EE146">
            <v>0</v>
          </cell>
          <cell r="EF146">
            <v>25598873.685730316</v>
          </cell>
          <cell r="EH146">
            <v>103150789.68573031</v>
          </cell>
          <cell r="EI146">
            <v>3992004</v>
          </cell>
          <cell r="EJ146">
            <v>5157539.484286516</v>
          </cell>
          <cell r="EL146">
            <v>94001246.201443791</v>
          </cell>
          <cell r="EM146">
            <v>0</v>
          </cell>
          <cell r="EN146">
            <v>94001246.201443791</v>
          </cell>
          <cell r="EO146">
            <v>48000000</v>
          </cell>
          <cell r="EP146">
            <v>46001246.201443791</v>
          </cell>
          <cell r="EQ146">
            <v>2300050</v>
          </cell>
          <cell r="ER146">
            <v>0</v>
          </cell>
          <cell r="ES146">
            <v>2300050</v>
          </cell>
          <cell r="ET146">
            <v>2300050</v>
          </cell>
        </row>
        <row r="147">
          <cell r="DO147">
            <v>68</v>
          </cell>
          <cell r="DP147" t="str">
            <v>Latif Hidayati, SE</v>
          </cell>
          <cell r="DQ147" t="str">
            <v>57.968.822.7-543.000</v>
          </cell>
          <cell r="DR147" t="str">
            <v>Jambon, RT/RW 001/, Kecamatan Pleret, Bawuran</v>
          </cell>
          <cell r="DS147" t="str">
            <v>3402126611810001</v>
          </cell>
          <cell r="DT147">
            <v>0</v>
          </cell>
          <cell r="DU147" t="str">
            <v>Koord.Kantor Kas Pemb RSUD</v>
          </cell>
          <cell r="DV147" t="str">
            <v>P</v>
          </cell>
          <cell r="DW147" t="str">
            <v>TK/0</v>
          </cell>
          <cell r="DX147" t="str">
            <v>01</v>
          </cell>
          <cell r="DY147">
            <v>12</v>
          </cell>
          <cell r="DZ147" t="str">
            <v/>
          </cell>
          <cell r="EA147">
            <v>31813200</v>
          </cell>
          <cell r="EB147">
            <v>3742757</v>
          </cell>
          <cell r="EC147">
            <v>37163298</v>
          </cell>
          <cell r="ED147">
            <v>0</v>
          </cell>
          <cell r="EE147">
            <v>0</v>
          </cell>
          <cell r="EF147">
            <v>22843378.221364766</v>
          </cell>
          <cell r="EH147">
            <v>95562633.221364766</v>
          </cell>
          <cell r="EI147">
            <v>3561168</v>
          </cell>
          <cell r="EJ147">
            <v>4778131.6610682383</v>
          </cell>
          <cell r="EL147">
            <v>87223333.560296535</v>
          </cell>
          <cell r="EM147">
            <v>0</v>
          </cell>
          <cell r="EN147">
            <v>87223333.560296535</v>
          </cell>
          <cell r="EO147">
            <v>36000000</v>
          </cell>
          <cell r="EP147">
            <v>51223333.560296535</v>
          </cell>
          <cell r="EQ147">
            <v>2683450</v>
          </cell>
          <cell r="ER147">
            <v>0</v>
          </cell>
          <cell r="ES147">
            <v>2683450</v>
          </cell>
          <cell r="ET147">
            <v>2683450</v>
          </cell>
        </row>
        <row r="148">
          <cell r="DO148">
            <v>69</v>
          </cell>
          <cell r="DP148" t="str">
            <v>Enang Prasetyawan, SET</v>
          </cell>
          <cell r="DQ148" t="str">
            <v>57.968.823.5-543.000</v>
          </cell>
          <cell r="DR148" t="str">
            <v>Prenggan, RT/RW 042/, Kecamatan Bantul, Bantul</v>
          </cell>
          <cell r="DS148" t="str">
            <v>3402100909780001</v>
          </cell>
          <cell r="DT148">
            <v>0</v>
          </cell>
          <cell r="DU148" t="str">
            <v>AO Kredit Umum</v>
          </cell>
          <cell r="DV148" t="str">
            <v>L</v>
          </cell>
          <cell r="DW148" t="str">
            <v>K/1</v>
          </cell>
          <cell r="DX148" t="str">
            <v>01</v>
          </cell>
          <cell r="DY148">
            <v>12</v>
          </cell>
          <cell r="DZ148" t="str">
            <v/>
          </cell>
          <cell r="EA148">
            <v>34203600</v>
          </cell>
          <cell r="EB148">
            <v>4154155</v>
          </cell>
          <cell r="EC148">
            <v>37464837</v>
          </cell>
          <cell r="ED148">
            <v>0</v>
          </cell>
          <cell r="EE148">
            <v>0</v>
          </cell>
          <cell r="EF148">
            <v>24876978.691758405</v>
          </cell>
          <cell r="EH148">
            <v>100699570.69175841</v>
          </cell>
          <cell r="EI148">
            <v>3879132</v>
          </cell>
          <cell r="EJ148">
            <v>5034978.5345879206</v>
          </cell>
          <cell r="EL148">
            <v>91785460.157170489</v>
          </cell>
          <cell r="EM148">
            <v>0</v>
          </cell>
          <cell r="EN148">
            <v>91785460.157170489</v>
          </cell>
          <cell r="EO148">
            <v>42000000</v>
          </cell>
          <cell r="EP148">
            <v>49785460.157170489</v>
          </cell>
          <cell r="EQ148">
            <v>2489250</v>
          </cell>
          <cell r="ER148">
            <v>0</v>
          </cell>
          <cell r="ES148">
            <v>2489250</v>
          </cell>
          <cell r="ET148">
            <v>2489250</v>
          </cell>
        </row>
        <row r="149">
          <cell r="DO149">
            <v>70</v>
          </cell>
          <cell r="DP149" t="str">
            <v>Hj Nurani Pratiwi, SE</v>
          </cell>
          <cell r="DQ149" t="str">
            <v>57.968.824.3-543.000</v>
          </cell>
          <cell r="DR149" t="str">
            <v>Niten , RT/RW 06/, Kecamatan Kasihan, Tirtonirmolo</v>
          </cell>
          <cell r="DS149" t="str">
            <v>3402164202770003</v>
          </cell>
          <cell r="DT149">
            <v>0</v>
          </cell>
          <cell r="DU149" t="str">
            <v>Staf Sub Bagian SDM</v>
          </cell>
          <cell r="DV149" t="str">
            <v>P</v>
          </cell>
          <cell r="DW149" t="str">
            <v>TK/0</v>
          </cell>
          <cell r="DX149" t="str">
            <v>01</v>
          </cell>
          <cell r="DY149">
            <v>12</v>
          </cell>
          <cell r="DZ149" t="str">
            <v/>
          </cell>
          <cell r="EA149">
            <v>34203600</v>
          </cell>
          <cell r="EB149">
            <v>4218703</v>
          </cell>
          <cell r="EC149">
            <v>39519924</v>
          </cell>
          <cell r="ED149">
            <v>0</v>
          </cell>
          <cell r="EE149">
            <v>0</v>
          </cell>
          <cell r="EF149">
            <v>25598873.685730316</v>
          </cell>
          <cell r="EH149">
            <v>103541100.68573031</v>
          </cell>
          <cell r="EI149">
            <v>3992004</v>
          </cell>
          <cell r="EJ149">
            <v>5177055.0342865158</v>
          </cell>
          <cell r="EL149">
            <v>94372041.651443794</v>
          </cell>
          <cell r="EM149">
            <v>0</v>
          </cell>
          <cell r="EN149">
            <v>94372041.651443794</v>
          </cell>
          <cell r="EO149">
            <v>36000000</v>
          </cell>
          <cell r="EP149">
            <v>58372041.651443794</v>
          </cell>
          <cell r="EQ149">
            <v>3755800</v>
          </cell>
          <cell r="ER149">
            <v>0</v>
          </cell>
          <cell r="ES149">
            <v>3755800</v>
          </cell>
          <cell r="ET149">
            <v>3755800</v>
          </cell>
        </row>
        <row r="150">
          <cell r="DO150">
            <v>71</v>
          </cell>
          <cell r="DP150" t="str">
            <v>Mukhamad Tamrin, SE</v>
          </cell>
          <cell r="DQ150" t="str">
            <v>57.968.825.0-543.000</v>
          </cell>
          <cell r="DR150" t="str">
            <v>Jejeran II, RT/RW 007/, Kecamatan Pleret, Wonokromo</v>
          </cell>
          <cell r="DS150" t="str">
            <v>3402130706770001</v>
          </cell>
          <cell r="DT150">
            <v>0</v>
          </cell>
          <cell r="DU150" t="str">
            <v>AO Kredit Umum</v>
          </cell>
          <cell r="DV150" t="str">
            <v>L</v>
          </cell>
          <cell r="DW150" t="str">
            <v>K/2</v>
          </cell>
          <cell r="DX150" t="str">
            <v>01</v>
          </cell>
          <cell r="DY150">
            <v>12</v>
          </cell>
          <cell r="DZ150" t="str">
            <v/>
          </cell>
          <cell r="EA150">
            <v>29764800</v>
          </cell>
          <cell r="EB150">
            <v>3379360</v>
          </cell>
          <cell r="EC150">
            <v>36943102</v>
          </cell>
          <cell r="ED150">
            <v>0</v>
          </cell>
          <cell r="EE150">
            <v>0</v>
          </cell>
          <cell r="EF150">
            <v>22338837.06079175</v>
          </cell>
          <cell r="EH150">
            <v>92426099.060791746</v>
          </cell>
          <cell r="EI150">
            <v>3581862</v>
          </cell>
          <cell r="EJ150">
            <v>4621304.9530395875</v>
          </cell>
          <cell r="EL150">
            <v>84222932.107752159</v>
          </cell>
          <cell r="EM150">
            <v>0</v>
          </cell>
          <cell r="EN150">
            <v>84222932.107752159</v>
          </cell>
          <cell r="EO150">
            <v>45000000</v>
          </cell>
          <cell r="EP150">
            <v>39222932.107752159</v>
          </cell>
          <cell r="EQ150">
            <v>1961100</v>
          </cell>
          <cell r="ER150">
            <v>0</v>
          </cell>
          <cell r="ES150">
            <v>1961100</v>
          </cell>
          <cell r="ET150">
            <v>1961100</v>
          </cell>
        </row>
        <row r="151">
          <cell r="DO151">
            <v>72</v>
          </cell>
          <cell r="DP151" t="str">
            <v>F. Hari Perwira Novandoro, SE</v>
          </cell>
          <cell r="DQ151" t="str">
            <v>57.968.826.8-543.000</v>
          </cell>
          <cell r="DR151" t="str">
            <v>Perum Purimas Citra Gemilang I A 10 DK Ngoto, RT/RW 006/, Kecamatan Sewon, Bangunharjo</v>
          </cell>
          <cell r="DS151" t="str">
            <v>3402162011760005</v>
          </cell>
          <cell r="DT151">
            <v>0</v>
          </cell>
          <cell r="DU151" t="str">
            <v>Staf Bagian Kas Dan Pemasaran</v>
          </cell>
          <cell r="DV151" t="str">
            <v>L</v>
          </cell>
          <cell r="DW151" t="str">
            <v>K/2</v>
          </cell>
          <cell r="DX151" t="str">
            <v>01</v>
          </cell>
          <cell r="DY151">
            <v>12</v>
          </cell>
          <cell r="DZ151" t="str">
            <v/>
          </cell>
          <cell r="EA151">
            <v>30842400</v>
          </cell>
          <cell r="EB151">
            <v>3648093</v>
          </cell>
          <cell r="EC151">
            <v>39357812</v>
          </cell>
          <cell r="ED151">
            <v>0</v>
          </cell>
          <cell r="EE151">
            <v>0</v>
          </cell>
          <cell r="EF151">
            <v>23612590.991912544</v>
          </cell>
          <cell r="EH151">
            <v>97460895.991912544</v>
          </cell>
          <cell r="EI151">
            <v>3681432</v>
          </cell>
          <cell r="EJ151">
            <v>4873044.799595627</v>
          </cell>
          <cell r="EL151">
            <v>88906419.19231692</v>
          </cell>
          <cell r="EM151">
            <v>0</v>
          </cell>
          <cell r="EN151">
            <v>88906419.19231692</v>
          </cell>
          <cell r="EO151">
            <v>45000000</v>
          </cell>
          <cell r="EP151">
            <v>43906419.19231692</v>
          </cell>
          <cell r="EQ151">
            <v>2195300</v>
          </cell>
          <cell r="ER151">
            <v>0</v>
          </cell>
          <cell r="ES151">
            <v>2195300</v>
          </cell>
          <cell r="ET151">
            <v>2195300</v>
          </cell>
        </row>
        <row r="152">
          <cell r="DO152">
            <v>73</v>
          </cell>
          <cell r="DP152" t="str">
            <v>Yohana Ratna Ardini, SE</v>
          </cell>
          <cell r="DQ152" t="str">
            <v>57.968.827.6-541.000</v>
          </cell>
          <cell r="DR152" t="str">
            <v>Jogokariyan MJ 3/770, RT/RW 043/011, Kecamatan Mantrijeron, Mantrijeron</v>
          </cell>
          <cell r="DS152" t="str">
            <v>3471086207780002</v>
          </cell>
          <cell r="DT152">
            <v>0</v>
          </cell>
          <cell r="DU152" t="str">
            <v>Staf Bagian Kas Dan Pemasaran</v>
          </cell>
          <cell r="DV152" t="str">
            <v>P</v>
          </cell>
          <cell r="DW152" t="str">
            <v>TK/0</v>
          </cell>
          <cell r="DX152" t="str">
            <v>01</v>
          </cell>
          <cell r="DY152">
            <v>12</v>
          </cell>
          <cell r="DZ152" t="str">
            <v/>
          </cell>
          <cell r="EA152">
            <v>30842400</v>
          </cell>
          <cell r="EB152">
            <v>3648093</v>
          </cell>
          <cell r="EC152">
            <v>35877812</v>
          </cell>
          <cell r="ED152">
            <v>0</v>
          </cell>
          <cell r="EE152">
            <v>0</v>
          </cell>
          <cell r="EF152">
            <v>23612590.991912544</v>
          </cell>
          <cell r="EH152">
            <v>93980895.991912544</v>
          </cell>
          <cell r="EI152">
            <v>3681432</v>
          </cell>
          <cell r="EJ152">
            <v>4699044.799595627</v>
          </cell>
          <cell r="EL152">
            <v>85600419.19231692</v>
          </cell>
          <cell r="EM152">
            <v>0</v>
          </cell>
          <cell r="EN152">
            <v>85600419.19231692</v>
          </cell>
          <cell r="EO152">
            <v>36000000</v>
          </cell>
          <cell r="EP152">
            <v>49600419.19231692</v>
          </cell>
          <cell r="EQ152">
            <v>2480000</v>
          </cell>
          <cell r="ER152">
            <v>0</v>
          </cell>
          <cell r="ES152">
            <v>2480000</v>
          </cell>
          <cell r="ET152">
            <v>2480000</v>
          </cell>
        </row>
        <row r="153">
          <cell r="DO153">
            <v>74</v>
          </cell>
          <cell r="DP153" t="str">
            <v>Nurul Shobah, SE</v>
          </cell>
          <cell r="DQ153" t="str">
            <v>57.968.828.4-542.000</v>
          </cell>
          <cell r="DR153" t="str">
            <v>Prujakan , RT/RW 02/32, Kecamatan Ngaglik, Sinduharjo</v>
          </cell>
          <cell r="DS153" t="str">
            <v>3404125706780003</v>
          </cell>
          <cell r="DT153">
            <v>0</v>
          </cell>
          <cell r="DU153" t="str">
            <v>Staf Bagian Pembukuan</v>
          </cell>
          <cell r="DV153" t="str">
            <v>P</v>
          </cell>
          <cell r="DW153" t="str">
            <v>TK/0</v>
          </cell>
          <cell r="DX153" t="str">
            <v>01</v>
          </cell>
          <cell r="DY153">
            <v>12</v>
          </cell>
          <cell r="DZ153" t="str">
            <v/>
          </cell>
          <cell r="EA153">
            <v>30842400</v>
          </cell>
          <cell r="EB153">
            <v>3605029</v>
          </cell>
          <cell r="EC153">
            <v>35512518</v>
          </cell>
          <cell r="ED153">
            <v>0</v>
          </cell>
          <cell r="EE153">
            <v>0</v>
          </cell>
          <cell r="EF153">
            <v>22961634.66557698</v>
          </cell>
          <cell r="EH153">
            <v>92921581.66557698</v>
          </cell>
          <cell r="EI153">
            <v>3579648</v>
          </cell>
          <cell r="EJ153">
            <v>4646079.0832788488</v>
          </cell>
          <cell r="EL153">
            <v>84695854.58229813</v>
          </cell>
          <cell r="EM153">
            <v>0</v>
          </cell>
          <cell r="EN153">
            <v>84695854.58229813</v>
          </cell>
          <cell r="EO153">
            <v>36000000</v>
          </cell>
          <cell r="EP153">
            <v>48695854.58229813</v>
          </cell>
          <cell r="EQ153">
            <v>2434750</v>
          </cell>
          <cell r="ER153">
            <v>0</v>
          </cell>
          <cell r="ES153">
            <v>2434750</v>
          </cell>
          <cell r="ET153">
            <v>2434750</v>
          </cell>
        </row>
        <row r="154">
          <cell r="DO154">
            <v>75</v>
          </cell>
          <cell r="DP154" t="str">
            <v>Arif Trinugraha, SE</v>
          </cell>
          <cell r="DQ154" t="str">
            <v>57.968.829.2-543.000</v>
          </cell>
          <cell r="DR154" t="str">
            <v>Gaduh, RT/RW 032/, Kecamatan Jetis, Patalan</v>
          </cell>
          <cell r="DS154" t="str">
            <v>3402090303780002</v>
          </cell>
          <cell r="DT154">
            <v>0</v>
          </cell>
          <cell r="DU154" t="str">
            <v>AO Kredit Umum</v>
          </cell>
          <cell r="DV154" t="str">
            <v>L</v>
          </cell>
          <cell r="DW154" t="str">
            <v>K/2</v>
          </cell>
          <cell r="DX154" t="str">
            <v>01</v>
          </cell>
          <cell r="DY154">
            <v>12</v>
          </cell>
          <cell r="DZ154" t="str">
            <v/>
          </cell>
          <cell r="EA154">
            <v>30842400</v>
          </cell>
          <cell r="EB154">
            <v>3648093</v>
          </cell>
          <cell r="EC154">
            <v>36183432</v>
          </cell>
          <cell r="ED154">
            <v>0</v>
          </cell>
          <cell r="EE154">
            <v>0</v>
          </cell>
          <cell r="EF154">
            <v>23612590.991912544</v>
          </cell>
          <cell r="EH154">
            <v>94286515.991912544</v>
          </cell>
          <cell r="EI154">
            <v>3681432</v>
          </cell>
          <cell r="EJ154">
            <v>4714325.799595627</v>
          </cell>
          <cell r="EL154">
            <v>85890758.19231692</v>
          </cell>
          <cell r="EM154">
            <v>0</v>
          </cell>
          <cell r="EN154">
            <v>85890758.19231692</v>
          </cell>
          <cell r="EO154">
            <v>45000000</v>
          </cell>
          <cell r="EP154">
            <v>40890758.19231692</v>
          </cell>
          <cell r="EQ154">
            <v>2044500</v>
          </cell>
          <cell r="ER154">
            <v>0</v>
          </cell>
          <cell r="ES154">
            <v>2044500</v>
          </cell>
          <cell r="ET154">
            <v>2044500</v>
          </cell>
        </row>
        <row r="155">
          <cell r="DO155">
            <v>76</v>
          </cell>
          <cell r="DP155" t="str">
            <v>Fajar Setyahartadi, SE</v>
          </cell>
          <cell r="DQ155" t="str">
            <v>57.968.830.0-531.000</v>
          </cell>
          <cell r="DR155" t="str">
            <v>Graha Banguntapan G-24 Joho, RT/RW 006/, Kecamatan Banguntapan, Jambidan</v>
          </cell>
          <cell r="DS155" t="str">
            <v>3306062008800007</v>
          </cell>
          <cell r="DT155">
            <v>0</v>
          </cell>
          <cell r="DU155" t="str">
            <v>AO Kredit Umum</v>
          </cell>
          <cell r="DV155" t="str">
            <v>L</v>
          </cell>
          <cell r="DW155" t="str">
            <v>K/1</v>
          </cell>
          <cell r="DX155" t="str">
            <v>01</v>
          </cell>
          <cell r="DY155">
            <v>12</v>
          </cell>
          <cell r="DZ155" t="str">
            <v/>
          </cell>
          <cell r="EA155">
            <v>28687200</v>
          </cell>
          <cell r="EB155">
            <v>3256197</v>
          </cell>
          <cell r="EC155">
            <v>33449749</v>
          </cell>
          <cell r="ED155">
            <v>0</v>
          </cell>
          <cell r="EE155">
            <v>0</v>
          </cell>
          <cell r="EF155">
            <v>21733371.946281932</v>
          </cell>
          <cell r="EH155">
            <v>87126517.94628194</v>
          </cell>
          <cell r="EI155">
            <v>3387624</v>
          </cell>
          <cell r="EJ155">
            <v>4356325.8973140968</v>
          </cell>
          <cell r="EL155">
            <v>79382568.048967838</v>
          </cell>
          <cell r="EM155">
            <v>0</v>
          </cell>
          <cell r="EN155">
            <v>79382568.048967838</v>
          </cell>
          <cell r="EO155">
            <v>42000000</v>
          </cell>
          <cell r="EP155">
            <v>37382568.048967838</v>
          </cell>
          <cell r="EQ155">
            <v>1869100</v>
          </cell>
          <cell r="ER155">
            <v>0</v>
          </cell>
          <cell r="ES155">
            <v>1869100</v>
          </cell>
          <cell r="ET155">
            <v>1869100</v>
          </cell>
        </row>
        <row r="156">
          <cell r="DO156">
            <v>77</v>
          </cell>
          <cell r="DP156" t="str">
            <v>Praptomo Nugroho, SE</v>
          </cell>
          <cell r="DQ156" t="str">
            <v>57.968.831.8-543.000</v>
          </cell>
          <cell r="DR156" t="str">
            <v>Karangploso, RT/RW 004/060, Kecamatan Depok, Maguwoharjo</v>
          </cell>
          <cell r="DS156" t="str">
            <v>3402080608760001</v>
          </cell>
          <cell r="DT156">
            <v>0</v>
          </cell>
          <cell r="DU156" t="str">
            <v>AO Kredit Umum</v>
          </cell>
          <cell r="DV156" t="str">
            <v>L</v>
          </cell>
          <cell r="DW156" t="str">
            <v>K/2</v>
          </cell>
          <cell r="DX156" t="str">
            <v>01</v>
          </cell>
          <cell r="DY156">
            <v>12</v>
          </cell>
          <cell r="DZ156" t="str">
            <v/>
          </cell>
          <cell r="EA156">
            <v>28687200</v>
          </cell>
          <cell r="EB156">
            <v>3285339</v>
          </cell>
          <cell r="EC156">
            <v>36302332</v>
          </cell>
          <cell r="ED156">
            <v>0</v>
          </cell>
          <cell r="EE156">
            <v>0</v>
          </cell>
          <cell r="EF156">
            <v>22338837.06079175</v>
          </cell>
          <cell r="EH156">
            <v>90613708.060791746</v>
          </cell>
          <cell r="EI156">
            <v>3482292</v>
          </cell>
          <cell r="EJ156">
            <v>4530685.4030395877</v>
          </cell>
          <cell r="EL156">
            <v>82600730.657752156</v>
          </cell>
          <cell r="EM156">
            <v>0</v>
          </cell>
          <cell r="EN156">
            <v>82600730.657752156</v>
          </cell>
          <cell r="EO156">
            <v>45000000</v>
          </cell>
          <cell r="EP156">
            <v>37600730.657752156</v>
          </cell>
          <cell r="EQ156">
            <v>1880000</v>
          </cell>
          <cell r="ER156">
            <v>0</v>
          </cell>
          <cell r="ES156">
            <v>1880000</v>
          </cell>
          <cell r="ET156">
            <v>1880000</v>
          </cell>
        </row>
        <row r="157">
          <cell r="DO157">
            <v>78</v>
          </cell>
          <cell r="DP157" t="str">
            <v>Winto Praditya, SE, MM</v>
          </cell>
          <cell r="DQ157" t="str">
            <v>57.968.832.6-541.000</v>
          </cell>
          <cell r="DR157" t="str">
            <v>Jl Retnodumilah no 62, RT/RW 008/002, Kecamatan Kotagede, Prenggan</v>
          </cell>
          <cell r="DS157" t="str">
            <v>3471141006760001</v>
          </cell>
          <cell r="DT157">
            <v>0</v>
          </cell>
          <cell r="DU157" t="str">
            <v>Staf Kantor Kas Pandak</v>
          </cell>
          <cell r="DV157" t="str">
            <v>L</v>
          </cell>
          <cell r="DW157" t="str">
            <v>K/0</v>
          </cell>
          <cell r="DX157" t="str">
            <v>01</v>
          </cell>
          <cell r="DY157">
            <v>12</v>
          </cell>
          <cell r="DZ157" t="str">
            <v/>
          </cell>
          <cell r="EA157">
            <v>28687200</v>
          </cell>
          <cell r="EB157">
            <v>3226990</v>
          </cell>
          <cell r="EC157">
            <v>32871836</v>
          </cell>
          <cell r="ED157">
            <v>0</v>
          </cell>
          <cell r="EE157">
            <v>0</v>
          </cell>
          <cell r="EF157">
            <v>21127906.831772111</v>
          </cell>
          <cell r="EH157">
            <v>85913932.831772119</v>
          </cell>
          <cell r="EI157">
            <v>3292956</v>
          </cell>
          <cell r="EJ157">
            <v>4295696.6415886059</v>
          </cell>
          <cell r="EL157">
            <v>78325280.19018352</v>
          </cell>
          <cell r="EM157">
            <v>0</v>
          </cell>
          <cell r="EN157">
            <v>78325280.19018352</v>
          </cell>
          <cell r="EO157">
            <v>39000000</v>
          </cell>
          <cell r="EP157">
            <v>39325280.19018352</v>
          </cell>
          <cell r="EQ157">
            <v>1966250</v>
          </cell>
          <cell r="ER157">
            <v>0</v>
          </cell>
          <cell r="ES157">
            <v>1966250</v>
          </cell>
          <cell r="ET157">
            <v>1966250</v>
          </cell>
        </row>
        <row r="158">
          <cell r="DO158">
            <v>79</v>
          </cell>
          <cell r="DP158" t="str">
            <v>Prabowo Bayu Aji, SE</v>
          </cell>
          <cell r="DQ158" t="str">
            <v>57.968.833.4-541.000</v>
          </cell>
          <cell r="DR158" t="str">
            <v>Jl Tanjung UH 6/144 A, RT/RW 035/015, Kecamatan Umbulharjo, Sorosutan</v>
          </cell>
          <cell r="DS158" t="str">
            <v>3471131501790001</v>
          </cell>
          <cell r="DT158">
            <v>0</v>
          </cell>
          <cell r="DU158" t="str">
            <v>Staf Bagian Kas Dan Pemasaran</v>
          </cell>
          <cell r="DV158" t="str">
            <v>L</v>
          </cell>
          <cell r="DW158" t="str">
            <v>K/2</v>
          </cell>
          <cell r="DX158" t="str">
            <v>01</v>
          </cell>
          <cell r="DY158">
            <v>12</v>
          </cell>
          <cell r="DZ158" t="str">
            <v/>
          </cell>
          <cell r="EA158">
            <v>28687200</v>
          </cell>
          <cell r="EB158">
            <v>3519591</v>
          </cell>
          <cell r="EC158">
            <v>40634832</v>
          </cell>
          <cell r="ED158">
            <v>0</v>
          </cell>
          <cell r="EE158">
            <v>0</v>
          </cell>
          <cell r="EF158">
            <v>22338837.06079175</v>
          </cell>
          <cell r="EH158">
            <v>95180460.060791746</v>
          </cell>
          <cell r="EI158">
            <v>3713292</v>
          </cell>
          <cell r="EJ158">
            <v>4759023.0030395873</v>
          </cell>
          <cell r="EL158">
            <v>86708145.057752162</v>
          </cell>
          <cell r="EM158">
            <v>0</v>
          </cell>
          <cell r="EN158">
            <v>86708145.057752162</v>
          </cell>
          <cell r="EO158">
            <v>45000000</v>
          </cell>
          <cell r="EP158">
            <v>41708145.057752162</v>
          </cell>
          <cell r="EQ158">
            <v>2085400</v>
          </cell>
          <cell r="ER158">
            <v>0</v>
          </cell>
          <cell r="ES158">
            <v>2085400</v>
          </cell>
          <cell r="ET158">
            <v>2085400</v>
          </cell>
        </row>
        <row r="159">
          <cell r="DO159">
            <v>80</v>
          </cell>
          <cell r="DP159" t="str">
            <v>Doddy Yuniarto, SE</v>
          </cell>
          <cell r="DQ159" t="str">
            <v>57.968.834.2-541.000</v>
          </cell>
          <cell r="DR159" t="str">
            <v>Timuran MG III/172B, RT/RW 009/003, Kecamatan Mergangsan, Brontokusuman</v>
          </cell>
          <cell r="DS159" t="str">
            <v>3471122106790001</v>
          </cell>
          <cell r="DT159">
            <v>0</v>
          </cell>
          <cell r="DU159" t="str">
            <v>Kepala Kantor Kas Imogiri</v>
          </cell>
          <cell r="DV159" t="str">
            <v>L</v>
          </cell>
          <cell r="DW159" t="str">
            <v>K/1</v>
          </cell>
          <cell r="DX159" t="str">
            <v>01</v>
          </cell>
          <cell r="DY159">
            <v>12</v>
          </cell>
          <cell r="DZ159" t="str">
            <v/>
          </cell>
          <cell r="EA159">
            <v>31813200</v>
          </cell>
          <cell r="EB159">
            <v>6536950</v>
          </cell>
          <cell r="EC159">
            <v>59123929</v>
          </cell>
          <cell r="ED159">
            <v>0</v>
          </cell>
          <cell r="EE159">
            <v>0</v>
          </cell>
          <cell r="EF159">
            <v>32491179.428899698</v>
          </cell>
          <cell r="EH159">
            <v>129965258.42889971</v>
          </cell>
          <cell r="EI159">
            <v>5052144</v>
          </cell>
          <cell r="EJ159">
            <v>6000000</v>
          </cell>
          <cell r="EL159">
            <v>118913114.42889971</v>
          </cell>
          <cell r="EM159">
            <v>0</v>
          </cell>
          <cell r="EN159">
            <v>118913114.42889971</v>
          </cell>
          <cell r="EO159">
            <v>42000000</v>
          </cell>
          <cell r="EP159">
            <v>76913114.428899705</v>
          </cell>
          <cell r="EQ159">
            <v>6536950</v>
          </cell>
          <cell r="ER159">
            <v>0</v>
          </cell>
          <cell r="ES159">
            <v>6536950</v>
          </cell>
          <cell r="ET159">
            <v>6536950</v>
          </cell>
        </row>
        <row r="160">
          <cell r="DO160">
            <v>81</v>
          </cell>
          <cell r="DP160" t="str">
            <v>Heri Wijayanto, SE</v>
          </cell>
          <cell r="DQ160" t="str">
            <v>57.968.835.9-543.000</v>
          </cell>
          <cell r="DR160" t="str">
            <v>Gedongan, RT/RW 08/, Kecamatan Piyungan, Srimartani</v>
          </cell>
          <cell r="DS160" t="str">
            <v>3402080308760003</v>
          </cell>
          <cell r="DT160">
            <v>0</v>
          </cell>
          <cell r="DU160" t="str">
            <v>AO Kredit Umum</v>
          </cell>
          <cell r="DV160" t="str">
            <v>L</v>
          </cell>
          <cell r="DW160" t="str">
            <v>K/1</v>
          </cell>
          <cell r="DX160" t="str">
            <v>01</v>
          </cell>
          <cell r="DY160">
            <v>12</v>
          </cell>
          <cell r="DZ160" t="str">
            <v/>
          </cell>
          <cell r="EA160">
            <v>17868000</v>
          </cell>
          <cell r="EB160">
            <v>1542511</v>
          </cell>
          <cell r="EC160">
            <v>29026809</v>
          </cell>
          <cell r="ED160">
            <v>0</v>
          </cell>
          <cell r="EE160">
            <v>0</v>
          </cell>
          <cell r="EF160">
            <v>15277559.783849832</v>
          </cell>
          <cell r="EH160">
            <v>63714879.783849835</v>
          </cell>
          <cell r="EI160">
            <v>2423634</v>
          </cell>
          <cell r="EJ160">
            <v>3185743.9891924919</v>
          </cell>
          <cell r="EL160">
            <v>58105501.794657342</v>
          </cell>
          <cell r="EM160">
            <v>0</v>
          </cell>
          <cell r="EN160">
            <v>58105501.794657342</v>
          </cell>
          <cell r="EO160">
            <v>42000000</v>
          </cell>
          <cell r="EP160">
            <v>16105501.794657342</v>
          </cell>
          <cell r="EQ160">
            <v>805250</v>
          </cell>
          <cell r="ER160">
            <v>0</v>
          </cell>
          <cell r="ES160">
            <v>805250</v>
          </cell>
          <cell r="ET160">
            <v>805250</v>
          </cell>
        </row>
        <row r="161">
          <cell r="DO161">
            <v>82</v>
          </cell>
          <cell r="DP161" t="str">
            <v>Azis Heri Susanto, SE</v>
          </cell>
          <cell r="DQ161" t="str">
            <v>57.968.836.7-543.000</v>
          </cell>
          <cell r="DR161" t="str">
            <v>Bantul Krajan, RT/RW 04/, Kecamatan Bantul, Bantul</v>
          </cell>
          <cell r="DS161" t="str">
            <v>3402080305800002</v>
          </cell>
          <cell r="DT161">
            <v>0</v>
          </cell>
          <cell r="DU161" t="str">
            <v>Staf Kantor Kas Banguntapan</v>
          </cell>
          <cell r="DV161" t="str">
            <v>L</v>
          </cell>
          <cell r="DW161" t="str">
            <v>K/1</v>
          </cell>
          <cell r="DX161" t="str">
            <v>01</v>
          </cell>
          <cell r="DY161">
            <v>12</v>
          </cell>
          <cell r="DZ161" t="str">
            <v/>
          </cell>
          <cell r="EA161">
            <v>31327800</v>
          </cell>
          <cell r="EB161">
            <v>3891847</v>
          </cell>
          <cell r="EC161">
            <v>35633413</v>
          </cell>
          <cell r="ED161">
            <v>0</v>
          </cell>
          <cell r="EE161">
            <v>0</v>
          </cell>
          <cell r="EF161">
            <v>22824718.339241415</v>
          </cell>
          <cell r="EH161">
            <v>93677778.339241415</v>
          </cell>
          <cell r="EI161">
            <v>3597453</v>
          </cell>
          <cell r="EJ161">
            <v>4683888.9169620713</v>
          </cell>
          <cell r="EL161">
            <v>85396436.422279343</v>
          </cell>
          <cell r="EM161">
            <v>0</v>
          </cell>
          <cell r="EN161">
            <v>85396436.422279343</v>
          </cell>
          <cell r="EO161">
            <v>42000000</v>
          </cell>
          <cell r="EP161">
            <v>43396436.422279343</v>
          </cell>
          <cell r="EQ161">
            <v>2169800</v>
          </cell>
          <cell r="ER161">
            <v>0</v>
          </cell>
          <cell r="ES161">
            <v>2169800</v>
          </cell>
          <cell r="ET161">
            <v>2169800</v>
          </cell>
        </row>
        <row r="162">
          <cell r="DO162">
            <v>83</v>
          </cell>
          <cell r="DP162" t="str">
            <v>Agung Kurniawan, SE</v>
          </cell>
          <cell r="DQ162" t="str">
            <v>57.968.837.5-542.000</v>
          </cell>
          <cell r="DR162" t="str">
            <v>Ketandan Kauman, RT/RW 028/, Kecamatan Pandak, Gilangharjo</v>
          </cell>
          <cell r="DS162" t="str">
            <v>3402062405780001</v>
          </cell>
          <cell r="DT162">
            <v>0</v>
          </cell>
          <cell r="DU162" t="str">
            <v>AO Kredit Umum</v>
          </cell>
          <cell r="DV162" t="str">
            <v>L</v>
          </cell>
          <cell r="DW162" t="str">
            <v>K/2</v>
          </cell>
          <cell r="DX162" t="str">
            <v>01</v>
          </cell>
          <cell r="DY162">
            <v>12</v>
          </cell>
          <cell r="DZ162" t="str">
            <v/>
          </cell>
          <cell r="EA162">
            <v>28687200</v>
          </cell>
          <cell r="EB162">
            <v>3391276</v>
          </cell>
          <cell r="EC162">
            <v>35644335</v>
          </cell>
          <cell r="ED162">
            <v>0</v>
          </cell>
          <cell r="EE162">
            <v>0</v>
          </cell>
          <cell r="EF162">
            <v>22211491.946281932</v>
          </cell>
          <cell r="EH162">
            <v>89934302.94628194</v>
          </cell>
          <cell r="EI162">
            <v>3458625</v>
          </cell>
          <cell r="EJ162">
            <v>4496715.1473140968</v>
          </cell>
          <cell r="EL162">
            <v>81978962.798967838</v>
          </cell>
          <cell r="EM162">
            <v>0</v>
          </cell>
          <cell r="EN162">
            <v>81978962.798967838</v>
          </cell>
          <cell r="EO162">
            <v>45000000</v>
          </cell>
          <cell r="EP162">
            <v>36978962.798967838</v>
          </cell>
          <cell r="EQ162">
            <v>1848900</v>
          </cell>
          <cell r="ER162">
            <v>0</v>
          </cell>
          <cell r="ES162">
            <v>1848900</v>
          </cell>
          <cell r="ET162">
            <v>1848900</v>
          </cell>
        </row>
        <row r="163">
          <cell r="DO163">
            <v>84</v>
          </cell>
          <cell r="DP163" t="str">
            <v>Istiawan, SE</v>
          </cell>
          <cell r="DQ163" t="str">
            <v>57.968.838.3-541.000</v>
          </cell>
          <cell r="DR163" t="str">
            <v>Prawirodirjan GM 2/1224 A, RT/RW 041/013, Kecamatan Gondomanan, Prawirodirjan</v>
          </cell>
          <cell r="DS163" t="str">
            <v>3471100804800001</v>
          </cell>
          <cell r="DT163">
            <v>0</v>
          </cell>
          <cell r="DU163" t="str">
            <v>Staf Sub bagian tabungan</v>
          </cell>
          <cell r="DV163" t="str">
            <v>L</v>
          </cell>
          <cell r="DW163" t="str">
            <v>K/1</v>
          </cell>
          <cell r="DX163" t="str">
            <v>01</v>
          </cell>
          <cell r="DY163">
            <v>12</v>
          </cell>
          <cell r="DZ163" t="str">
            <v/>
          </cell>
          <cell r="EA163">
            <v>28687200</v>
          </cell>
          <cell r="EB163">
            <v>3256197</v>
          </cell>
          <cell r="EC163">
            <v>34486434</v>
          </cell>
          <cell r="ED163">
            <v>0</v>
          </cell>
          <cell r="EE163">
            <v>0</v>
          </cell>
          <cell r="EF163">
            <v>21733371.946281932</v>
          </cell>
          <cell r="EH163">
            <v>88163202.94628194</v>
          </cell>
          <cell r="EI163">
            <v>3387624</v>
          </cell>
          <cell r="EJ163">
            <v>4408160.1473140968</v>
          </cell>
          <cell r="EL163">
            <v>80367418.798967838</v>
          </cell>
          <cell r="EM163">
            <v>0</v>
          </cell>
          <cell r="EN163">
            <v>80367418.798967838</v>
          </cell>
          <cell r="EO163">
            <v>42000000</v>
          </cell>
          <cell r="EP163">
            <v>38367418.798967838</v>
          </cell>
          <cell r="EQ163">
            <v>1918350</v>
          </cell>
          <cell r="ER163">
            <v>0</v>
          </cell>
          <cell r="ES163">
            <v>1918350</v>
          </cell>
          <cell r="ET163">
            <v>1918350</v>
          </cell>
        </row>
        <row r="164">
          <cell r="DO164">
            <v>85</v>
          </cell>
          <cell r="DP164" t="str">
            <v>Ade Sonia Astuti, SH</v>
          </cell>
          <cell r="DQ164" t="str">
            <v>57.968.839.1-541.000</v>
          </cell>
          <cell r="DR164" t="str">
            <v>Jl Kemitbumen 6 , RT/RW 39/11, Kecamatan Kraton, Panembahan</v>
          </cell>
          <cell r="DS164" t="str">
            <v>3471095103790001</v>
          </cell>
          <cell r="DT164">
            <v>0</v>
          </cell>
          <cell r="DU164" t="str">
            <v>Staf Kantor Kas Bantul</v>
          </cell>
          <cell r="DV164" t="str">
            <v>P</v>
          </cell>
          <cell r="DW164" t="str">
            <v>TK/0</v>
          </cell>
          <cell r="DX164" t="str">
            <v>01</v>
          </cell>
          <cell r="DY164">
            <v>12</v>
          </cell>
          <cell r="DZ164" t="str">
            <v/>
          </cell>
          <cell r="EA164">
            <v>28687200</v>
          </cell>
          <cell r="EB164">
            <v>3084176</v>
          </cell>
          <cell r="EC164">
            <v>33284336</v>
          </cell>
          <cell r="ED164">
            <v>0</v>
          </cell>
          <cell r="EE164">
            <v>0</v>
          </cell>
          <cell r="EF164">
            <v>21127906.831772111</v>
          </cell>
          <cell r="EH164">
            <v>86183618.831772119</v>
          </cell>
          <cell r="EI164">
            <v>3292956</v>
          </cell>
          <cell r="EJ164">
            <v>4309180.9415886058</v>
          </cell>
          <cell r="EL164">
            <v>78581481.890183508</v>
          </cell>
          <cell r="EM164">
            <v>0</v>
          </cell>
          <cell r="EN164">
            <v>78581481.890183508</v>
          </cell>
          <cell r="EO164">
            <v>36000000</v>
          </cell>
          <cell r="EP164">
            <v>42581481.890183508</v>
          </cell>
          <cell r="EQ164">
            <v>2129050</v>
          </cell>
          <cell r="ER164">
            <v>0</v>
          </cell>
          <cell r="ES164">
            <v>2129050</v>
          </cell>
          <cell r="ET164">
            <v>2129050</v>
          </cell>
        </row>
        <row r="165">
          <cell r="DO165">
            <v>86</v>
          </cell>
          <cell r="DP165" t="str">
            <v>Wahyu Ismawati, SH</v>
          </cell>
          <cell r="DQ165" t="str">
            <v>57.968.840.9-543.000</v>
          </cell>
          <cell r="DR165" t="str">
            <v xml:space="preserve">gunung Sumpu, RT/RW 04/19, Kecamatan Kasihan, Tamantirto </v>
          </cell>
          <cell r="DS165" t="str">
            <v>3402166407810003</v>
          </cell>
          <cell r="DT165">
            <v>0</v>
          </cell>
          <cell r="DU165" t="str">
            <v>Staf Sub Bagian Administrasi kredit</v>
          </cell>
          <cell r="DV165" t="str">
            <v>P</v>
          </cell>
          <cell r="DW165" t="str">
            <v>TK/0</v>
          </cell>
          <cell r="DX165" t="str">
            <v>01</v>
          </cell>
          <cell r="DY165">
            <v>12</v>
          </cell>
          <cell r="DZ165" t="str">
            <v/>
          </cell>
          <cell r="EA165">
            <v>17358000</v>
          </cell>
          <cell r="EB165">
            <v>1527312</v>
          </cell>
          <cell r="EC165">
            <v>29777912</v>
          </cell>
          <cell r="ED165">
            <v>0</v>
          </cell>
          <cell r="EE165">
            <v>0</v>
          </cell>
          <cell r="EF165">
            <v>14544837.863158494</v>
          </cell>
          <cell r="EH165">
            <v>63208061.863158494</v>
          </cell>
          <cell r="EI165">
            <v>2263632</v>
          </cell>
          <cell r="EJ165">
            <v>3160403.0931579247</v>
          </cell>
          <cell r="EL165">
            <v>57784026.77000057</v>
          </cell>
          <cell r="EM165">
            <v>0</v>
          </cell>
          <cell r="EN165">
            <v>57784026.77000057</v>
          </cell>
          <cell r="EO165">
            <v>36000000</v>
          </cell>
          <cell r="EP165">
            <v>21784026.77000057</v>
          </cell>
          <cell r="EQ165">
            <v>1089200</v>
          </cell>
          <cell r="ER165">
            <v>0</v>
          </cell>
          <cell r="ES165">
            <v>1089200</v>
          </cell>
          <cell r="ET165">
            <v>1089200</v>
          </cell>
        </row>
        <row r="166">
          <cell r="DO166">
            <v>87</v>
          </cell>
          <cell r="DP166" t="str">
            <v>Budi Purnomo, SH</v>
          </cell>
          <cell r="DQ166" t="str">
            <v>57.968841.7-543.000</v>
          </cell>
          <cell r="DR166" t="str">
            <v>Pundung, RT/RW 003/, Kecamatan Imogiri, Wukirsari</v>
          </cell>
          <cell r="DS166" t="str">
            <v>3402102501790003</v>
          </cell>
          <cell r="DT166">
            <v>0</v>
          </cell>
          <cell r="DU166" t="str">
            <v>Kepala Sub Bagian P2K</v>
          </cell>
          <cell r="DV166" t="str">
            <v>L</v>
          </cell>
          <cell r="DW166" t="str">
            <v>K/2</v>
          </cell>
          <cell r="DX166" t="str">
            <v>01</v>
          </cell>
          <cell r="DY166">
            <v>12</v>
          </cell>
          <cell r="DZ166" t="str">
            <v/>
          </cell>
          <cell r="EA166">
            <v>31813200</v>
          </cell>
          <cell r="EB166">
            <v>6491325</v>
          </cell>
          <cell r="EC166">
            <v>60367072</v>
          </cell>
          <cell r="ED166">
            <v>0</v>
          </cell>
          <cell r="EE166">
            <v>0</v>
          </cell>
          <cell r="EF166">
            <v>33162624.212240007</v>
          </cell>
          <cell r="EH166">
            <v>131834221.21224001</v>
          </cell>
          <cell r="EI166">
            <v>5157132</v>
          </cell>
          <cell r="EJ166">
            <v>6000000</v>
          </cell>
          <cell r="EL166">
            <v>120677089.21224001</v>
          </cell>
          <cell r="EM166">
            <v>0</v>
          </cell>
          <cell r="EN166">
            <v>120677089.21224001</v>
          </cell>
          <cell r="EO166">
            <v>45000000</v>
          </cell>
          <cell r="EP166">
            <v>75677089.21224001</v>
          </cell>
          <cell r="EQ166">
            <v>6351550</v>
          </cell>
          <cell r="ER166">
            <v>0</v>
          </cell>
          <cell r="ES166">
            <v>6351550</v>
          </cell>
          <cell r="ET166">
            <v>6351550</v>
          </cell>
        </row>
        <row r="167">
          <cell r="DO167">
            <v>88</v>
          </cell>
          <cell r="DP167" t="str">
            <v>FX. Wisnu Murti, SH</v>
          </cell>
          <cell r="DQ167" t="str">
            <v>24.562.169.3-542.000</v>
          </cell>
          <cell r="DR167" t="str">
            <v>Nyamplung Lor, RT/RW 001/007, Kecamatan Gamping, Balecatur</v>
          </cell>
          <cell r="DS167" t="str">
            <v>3404012802760001</v>
          </cell>
          <cell r="DT167">
            <v>0</v>
          </cell>
          <cell r="DU167" t="str">
            <v>Staf Kantor Kas Srandakan</v>
          </cell>
          <cell r="DV167" t="str">
            <v>L</v>
          </cell>
          <cell r="DW167" t="str">
            <v>K/1</v>
          </cell>
          <cell r="DX167" t="str">
            <v>01</v>
          </cell>
          <cell r="DY167">
            <v>12</v>
          </cell>
          <cell r="DZ167" t="str">
            <v/>
          </cell>
          <cell r="EA167">
            <v>30842400</v>
          </cell>
          <cell r="EB167">
            <v>3605029</v>
          </cell>
          <cell r="EC167">
            <v>35085018</v>
          </cell>
          <cell r="ED167">
            <v>0</v>
          </cell>
          <cell r="EE167">
            <v>0</v>
          </cell>
          <cell r="EF167">
            <v>22961634.66557698</v>
          </cell>
          <cell r="EH167">
            <v>92494081.66557698</v>
          </cell>
          <cell r="EI167">
            <v>3579648</v>
          </cell>
          <cell r="EJ167">
            <v>4624704.0832788488</v>
          </cell>
          <cell r="EL167">
            <v>84289729.58229813</v>
          </cell>
          <cell r="EM167">
            <v>0</v>
          </cell>
          <cell r="EN167">
            <v>84289729.58229813</v>
          </cell>
          <cell r="EO167">
            <v>42000000</v>
          </cell>
          <cell r="EP167">
            <v>42289729.58229813</v>
          </cell>
          <cell r="EQ167">
            <v>2114450</v>
          </cell>
          <cell r="ER167">
            <v>0</v>
          </cell>
          <cell r="ES167">
            <v>2114450</v>
          </cell>
          <cell r="ET167">
            <v>2114450</v>
          </cell>
        </row>
        <row r="168">
          <cell r="DO168">
            <v>89</v>
          </cell>
          <cell r="DP168" t="str">
            <v>Ratno Setyabudi, SH</v>
          </cell>
          <cell r="DQ168" t="str">
            <v>57.968.843.3-542.000</v>
          </cell>
          <cell r="DR168" t="str">
            <v>Kweden Dk Kweden, RT/RW 004/, Kecamatan BAntul, Trirenggo</v>
          </cell>
          <cell r="DS168" t="str">
            <v>3402080506120005</v>
          </cell>
          <cell r="DT168">
            <v>0</v>
          </cell>
          <cell r="DU168" t="str">
            <v>Kepala Kantor Kas Jetis</v>
          </cell>
          <cell r="DV168" t="str">
            <v>L</v>
          </cell>
          <cell r="DW168" t="str">
            <v>K/2</v>
          </cell>
          <cell r="DX168" t="str">
            <v>01</v>
          </cell>
          <cell r="DY168">
            <v>12</v>
          </cell>
          <cell r="DZ168" t="str">
            <v/>
          </cell>
          <cell r="EA168">
            <v>31813200</v>
          </cell>
          <cell r="EB168">
            <v>6491325</v>
          </cell>
          <cell r="EC168">
            <v>60937072</v>
          </cell>
          <cell r="ED168">
            <v>0</v>
          </cell>
          <cell r="EE168">
            <v>0</v>
          </cell>
          <cell r="EF168">
            <v>33162624.212240007</v>
          </cell>
          <cell r="EH168">
            <v>132404221.21224001</v>
          </cell>
          <cell r="EI168">
            <v>5157132</v>
          </cell>
          <cell r="EJ168">
            <v>6000000</v>
          </cell>
          <cell r="EL168">
            <v>121247089.21224001</v>
          </cell>
          <cell r="EM168">
            <v>0</v>
          </cell>
          <cell r="EN168">
            <v>121247089.21224001</v>
          </cell>
          <cell r="EO168">
            <v>45000000</v>
          </cell>
          <cell r="EP168">
            <v>76247089.21224001</v>
          </cell>
          <cell r="EQ168">
            <v>6437050</v>
          </cell>
          <cell r="ER168">
            <v>0</v>
          </cell>
          <cell r="ES168">
            <v>6437050</v>
          </cell>
          <cell r="ET168">
            <v>6437050</v>
          </cell>
        </row>
        <row r="169">
          <cell r="DO169">
            <v>90</v>
          </cell>
          <cell r="DP169" t="str">
            <v>Muhammad Fathudin A, SH</v>
          </cell>
          <cell r="DQ169" t="str">
            <v>57.968.844.1-543.000</v>
          </cell>
          <cell r="DR169" t="str">
            <v>Gemahan DK Gemahan, RT/RW 001/, Kecamatan Bantul, Ringinharjo</v>
          </cell>
          <cell r="DS169" t="str">
            <v>3402081212770002</v>
          </cell>
          <cell r="DT169">
            <v>0</v>
          </cell>
          <cell r="DU169" t="str">
            <v>Staf Kantor Kas Pleret</v>
          </cell>
          <cell r="DV169" t="str">
            <v>L</v>
          </cell>
          <cell r="DW169" t="str">
            <v>K/2</v>
          </cell>
          <cell r="DX169" t="str">
            <v>01</v>
          </cell>
          <cell r="DY169">
            <v>12</v>
          </cell>
          <cell r="DZ169" t="str">
            <v/>
          </cell>
          <cell r="EA169">
            <v>28687200</v>
          </cell>
          <cell r="EB169">
            <v>3285339</v>
          </cell>
          <cell r="EC169">
            <v>36627332</v>
          </cell>
          <cell r="ED169">
            <v>0</v>
          </cell>
          <cell r="EE169">
            <v>0</v>
          </cell>
          <cell r="EF169">
            <v>22338837.06079175</v>
          </cell>
          <cell r="EH169">
            <v>90938708.060791746</v>
          </cell>
          <cell r="EI169">
            <v>3482292</v>
          </cell>
          <cell r="EJ169">
            <v>4546935.4030395877</v>
          </cell>
          <cell r="EL169">
            <v>82909480.657752156</v>
          </cell>
          <cell r="EM169">
            <v>0</v>
          </cell>
          <cell r="EN169">
            <v>82909480.657752156</v>
          </cell>
          <cell r="EO169">
            <v>45000000</v>
          </cell>
          <cell r="EP169">
            <v>37909480.657752156</v>
          </cell>
          <cell r="EQ169">
            <v>1895450</v>
          </cell>
          <cell r="ER169">
            <v>0</v>
          </cell>
          <cell r="ES169">
            <v>1895450</v>
          </cell>
          <cell r="ET169">
            <v>1895450</v>
          </cell>
        </row>
        <row r="170">
          <cell r="DO170">
            <v>91</v>
          </cell>
          <cell r="DP170" t="str">
            <v>Handri Yoga Setiawan, SP</v>
          </cell>
          <cell r="DQ170" t="str">
            <v>57.968.845.8-541.000</v>
          </cell>
          <cell r="DR170" t="str">
            <v>Jl. Panembahan, RT/RW 066/017, Kecamatan Kraton, Panembahan</v>
          </cell>
          <cell r="DS170" t="str">
            <v>3471090404810002</v>
          </cell>
          <cell r="DT170">
            <v>0</v>
          </cell>
          <cell r="DU170" t="str">
            <v>Staf Sub Bagian Admin Kredit</v>
          </cell>
          <cell r="DV170" t="str">
            <v>L</v>
          </cell>
          <cell r="DW170" t="str">
            <v>K/1</v>
          </cell>
          <cell r="DX170" t="str">
            <v>01</v>
          </cell>
          <cell r="DY170">
            <v>12</v>
          </cell>
          <cell r="DZ170" t="str">
            <v/>
          </cell>
          <cell r="EA170">
            <v>28687200</v>
          </cell>
          <cell r="EB170">
            <v>3256197</v>
          </cell>
          <cell r="EC170">
            <v>34126434</v>
          </cell>
          <cell r="ED170">
            <v>0</v>
          </cell>
          <cell r="EE170">
            <v>0</v>
          </cell>
          <cell r="EF170">
            <v>21733371.946281932</v>
          </cell>
          <cell r="EH170">
            <v>87803202.94628194</v>
          </cell>
          <cell r="EI170">
            <v>3387624</v>
          </cell>
          <cell r="EJ170">
            <v>4390160.1473140968</v>
          </cell>
          <cell r="EL170">
            <v>80025418.798967838</v>
          </cell>
          <cell r="EM170">
            <v>0</v>
          </cell>
          <cell r="EN170">
            <v>80025418.798967838</v>
          </cell>
          <cell r="EO170">
            <v>42000000</v>
          </cell>
          <cell r="EP170">
            <v>38025418.798967838</v>
          </cell>
          <cell r="EQ170">
            <v>1901250</v>
          </cell>
          <cell r="ER170">
            <v>0</v>
          </cell>
          <cell r="ES170">
            <v>1901250</v>
          </cell>
          <cell r="ET170">
            <v>1901250</v>
          </cell>
        </row>
        <row r="171">
          <cell r="DO171">
            <v>92</v>
          </cell>
          <cell r="DP171" t="str">
            <v>Titien Dwiyanti, SP</v>
          </cell>
          <cell r="DQ171" t="str">
            <v>57.968.846.6-544.000</v>
          </cell>
          <cell r="DR171" t="str">
            <v>Wonosidi Lor, RT/RW 067/031, Kecamatan Wates, Wates</v>
          </cell>
          <cell r="DS171" t="str">
            <v>3401026710780001</v>
          </cell>
          <cell r="DT171">
            <v>0</v>
          </cell>
          <cell r="DU171" t="str">
            <v>Teller</v>
          </cell>
          <cell r="DV171" t="str">
            <v>P</v>
          </cell>
          <cell r="DW171" t="str">
            <v>TK/0</v>
          </cell>
          <cell r="DX171" t="str">
            <v>01</v>
          </cell>
          <cell r="DY171">
            <v>12</v>
          </cell>
          <cell r="DZ171" t="str">
            <v/>
          </cell>
          <cell r="EA171">
            <v>30842400</v>
          </cell>
          <cell r="EB171">
            <v>3901093</v>
          </cell>
          <cell r="EC171">
            <v>42215312</v>
          </cell>
          <cell r="ED171">
            <v>0</v>
          </cell>
          <cell r="EE171">
            <v>0</v>
          </cell>
          <cell r="EF171">
            <v>23612590.991912544</v>
          </cell>
          <cell r="EH171">
            <v>100571395.99191254</v>
          </cell>
          <cell r="EI171">
            <v>3681432</v>
          </cell>
          <cell r="EJ171">
            <v>5028569.799595627</v>
          </cell>
          <cell r="EL171">
            <v>91861394.19231692</v>
          </cell>
          <cell r="EM171">
            <v>0</v>
          </cell>
          <cell r="EN171">
            <v>91861394.19231692</v>
          </cell>
          <cell r="EO171">
            <v>36000000</v>
          </cell>
          <cell r="EP171">
            <v>55861394.19231692</v>
          </cell>
          <cell r="EQ171">
            <v>3379150</v>
          </cell>
          <cell r="ER171">
            <v>0</v>
          </cell>
          <cell r="ES171">
            <v>3379150</v>
          </cell>
          <cell r="ET171">
            <v>3379150</v>
          </cell>
        </row>
        <row r="172">
          <cell r="DO172">
            <v>93</v>
          </cell>
          <cell r="DP172" t="str">
            <v>Sheni Indriani, SP</v>
          </cell>
          <cell r="DQ172" t="str">
            <v>57.968847.4-541.000</v>
          </cell>
          <cell r="DR172" t="str">
            <v>Jl Nogosari 2 YK, RT/RW 005/002, Kecamatan Sewon, Panggungharjo</v>
          </cell>
          <cell r="DS172" t="str">
            <v>3471096601810002</v>
          </cell>
          <cell r="DT172">
            <v>0</v>
          </cell>
          <cell r="DU172" t="str">
            <v>Teller</v>
          </cell>
          <cell r="DV172" t="str">
            <v>P</v>
          </cell>
          <cell r="DW172" t="str">
            <v>TK/0</v>
          </cell>
          <cell r="DX172" t="str">
            <v>01</v>
          </cell>
          <cell r="DY172">
            <v>12</v>
          </cell>
          <cell r="DZ172" t="str">
            <v/>
          </cell>
          <cell r="EA172">
            <v>30842400</v>
          </cell>
          <cell r="EB172">
            <v>3901093</v>
          </cell>
          <cell r="EC172">
            <v>42185312</v>
          </cell>
          <cell r="ED172">
            <v>0</v>
          </cell>
          <cell r="EE172">
            <v>0</v>
          </cell>
          <cell r="EF172">
            <v>23612590.991912544</v>
          </cell>
          <cell r="EH172">
            <v>100541395.99191254</v>
          </cell>
          <cell r="EI172">
            <v>3681432</v>
          </cell>
          <cell r="EJ172">
            <v>5027069.799595627</v>
          </cell>
          <cell r="EL172">
            <v>91832894.19231692</v>
          </cell>
          <cell r="EM172">
            <v>0</v>
          </cell>
          <cell r="EN172">
            <v>91832894.19231692</v>
          </cell>
          <cell r="EO172">
            <v>36000000</v>
          </cell>
          <cell r="EP172">
            <v>55832894.19231692</v>
          </cell>
          <cell r="EQ172">
            <v>3374800</v>
          </cell>
          <cell r="ER172">
            <v>0</v>
          </cell>
          <cell r="ES172">
            <v>3374800</v>
          </cell>
          <cell r="ET172">
            <v>3374800</v>
          </cell>
        </row>
        <row r="173">
          <cell r="DO173">
            <v>94</v>
          </cell>
          <cell r="DP173" t="str">
            <v>Karunia Setiawan, SP, MM</v>
          </cell>
          <cell r="DQ173" t="str">
            <v>57.968.848.2-543.000</v>
          </cell>
          <cell r="DR173" t="str">
            <v>Jln Moh Yamin Dk Kurahan, RT/RW 01/, Kecamatan Bantul, Bantul</v>
          </cell>
          <cell r="DS173" t="str">
            <v>3402080212800001</v>
          </cell>
          <cell r="DT173">
            <v>0</v>
          </cell>
          <cell r="DU173" t="str">
            <v>Staf SPI</v>
          </cell>
          <cell r="DV173" t="str">
            <v>L</v>
          </cell>
          <cell r="DW173" t="str">
            <v>K/2</v>
          </cell>
          <cell r="DX173" t="str">
            <v>01</v>
          </cell>
          <cell r="DY173">
            <v>12</v>
          </cell>
          <cell r="DZ173" t="str">
            <v/>
          </cell>
          <cell r="EA173">
            <v>30842400</v>
          </cell>
          <cell r="EB173">
            <v>3648093</v>
          </cell>
          <cell r="EC173">
            <v>37242812</v>
          </cell>
          <cell r="ED173">
            <v>0</v>
          </cell>
          <cell r="EE173">
            <v>0</v>
          </cell>
          <cell r="EF173">
            <v>23612590.991912544</v>
          </cell>
          <cell r="EH173">
            <v>95345895.991912544</v>
          </cell>
          <cell r="EI173">
            <v>3681432</v>
          </cell>
          <cell r="EJ173">
            <v>4767294.799595627</v>
          </cell>
          <cell r="EL173">
            <v>86897169.19231692</v>
          </cell>
          <cell r="EM173">
            <v>0</v>
          </cell>
          <cell r="EN173">
            <v>86897169.19231692</v>
          </cell>
          <cell r="EO173">
            <v>45000000</v>
          </cell>
          <cell r="EP173">
            <v>41897169.19231692</v>
          </cell>
          <cell r="EQ173">
            <v>2094850</v>
          </cell>
          <cell r="ER173">
            <v>0</v>
          </cell>
          <cell r="ES173">
            <v>2094850</v>
          </cell>
          <cell r="ET173">
            <v>2094850</v>
          </cell>
        </row>
        <row r="174">
          <cell r="DO174">
            <v>95</v>
          </cell>
          <cell r="DP174" t="str">
            <v>Rachmanto Hadfani, SP</v>
          </cell>
          <cell r="DQ174" t="str">
            <v>57.968.849.0-541.000</v>
          </cell>
          <cell r="DR174" t="str">
            <v>Jalan Kerto Dalam, RT/RW 028/029, Kecamatan Umbulharjo, Muja-muju</v>
          </cell>
          <cell r="DS174" t="str">
            <v>3471131206770002</v>
          </cell>
          <cell r="DT174">
            <v>0</v>
          </cell>
          <cell r="DU174" t="str">
            <v>Staf Kantor Kas Bambanglipuro</v>
          </cell>
          <cell r="DV174" t="str">
            <v>L</v>
          </cell>
          <cell r="DW174" t="str">
            <v>TK/0</v>
          </cell>
          <cell r="DX174" t="str">
            <v>01</v>
          </cell>
          <cell r="DY174">
            <v>12</v>
          </cell>
          <cell r="DZ174" t="str">
            <v/>
          </cell>
          <cell r="EA174">
            <v>31327800</v>
          </cell>
          <cell r="EB174">
            <v>3558696</v>
          </cell>
          <cell r="EC174">
            <v>32532986</v>
          </cell>
          <cell r="ED174">
            <v>0</v>
          </cell>
          <cell r="EE174">
            <v>0</v>
          </cell>
          <cell r="EF174">
            <v>21659722.012905851</v>
          </cell>
          <cell r="EH174">
            <v>89079204.012905851</v>
          </cell>
          <cell r="EI174">
            <v>3416136</v>
          </cell>
          <cell r="EJ174">
            <v>4453960.2006452931</v>
          </cell>
          <cell r="EL174">
            <v>81209107.812260553</v>
          </cell>
          <cell r="EM174">
            <v>0</v>
          </cell>
          <cell r="EN174">
            <v>81209107.812260553</v>
          </cell>
          <cell r="EO174">
            <v>36000000</v>
          </cell>
          <cell r="EP174">
            <v>45209107.812260553</v>
          </cell>
          <cell r="EQ174">
            <v>2260450</v>
          </cell>
          <cell r="ER174">
            <v>0</v>
          </cell>
          <cell r="ES174">
            <v>2260450</v>
          </cell>
          <cell r="ET174">
            <v>2260450</v>
          </cell>
        </row>
        <row r="175">
          <cell r="DO175">
            <v>96</v>
          </cell>
          <cell r="DP175" t="str">
            <v>B.Risdyanto, ST</v>
          </cell>
          <cell r="DQ175" t="str">
            <v>57.968.851.6-541.000</v>
          </cell>
          <cell r="DR175" t="str">
            <v>Jl Gedongkuning no.82, RT/RW 016/005, Kecamatan Kotagede, Rejowinangun</v>
          </cell>
          <cell r="DS175" t="str">
            <v>3471140108770001</v>
          </cell>
          <cell r="DT175">
            <v>0</v>
          </cell>
          <cell r="DU175" t="str">
            <v>Kepala Sub Bagian IT</v>
          </cell>
          <cell r="DV175" t="str">
            <v>L</v>
          </cell>
          <cell r="DW175" t="str">
            <v>TK/0</v>
          </cell>
          <cell r="DX175" t="str">
            <v>01</v>
          </cell>
          <cell r="DY175">
            <v>12</v>
          </cell>
          <cell r="DZ175" t="str">
            <v/>
          </cell>
          <cell r="EA175">
            <v>31813200</v>
          </cell>
          <cell r="EB175">
            <v>6777100</v>
          </cell>
          <cell r="EC175">
            <v>55617655</v>
          </cell>
          <cell r="ED175">
            <v>0</v>
          </cell>
          <cell r="EE175">
            <v>0</v>
          </cell>
          <cell r="EF175">
            <v>31148289.862219084</v>
          </cell>
          <cell r="EH175">
            <v>125356244.86221908</v>
          </cell>
          <cell r="EI175">
            <v>4842180</v>
          </cell>
          <cell r="EJ175">
            <v>6000000</v>
          </cell>
          <cell r="EL175">
            <v>114514064.86221908</v>
          </cell>
          <cell r="EM175">
            <v>0</v>
          </cell>
          <cell r="EN175">
            <v>114514064.86221908</v>
          </cell>
          <cell r="EO175">
            <v>36000000</v>
          </cell>
          <cell r="EP175">
            <v>78514064.86221908</v>
          </cell>
          <cell r="EQ175">
            <v>6777100</v>
          </cell>
          <cell r="ER175">
            <v>0</v>
          </cell>
          <cell r="ES175">
            <v>6777100</v>
          </cell>
          <cell r="ET175">
            <v>6777100</v>
          </cell>
        </row>
        <row r="176">
          <cell r="DO176">
            <v>97</v>
          </cell>
          <cell r="DP176" t="str">
            <v>Fransisca Indratmi Nusantari, SE</v>
          </cell>
          <cell r="DQ176" t="str">
            <v>57.968.852.4-543.000</v>
          </cell>
          <cell r="DR176" t="str">
            <v>Jetak Dk Soropaten, RT/RW 002/, Kecamatan Bantul, Ringinharjo</v>
          </cell>
          <cell r="DS176" t="str">
            <v>3402084203800004</v>
          </cell>
          <cell r="DT176">
            <v>0</v>
          </cell>
          <cell r="DU176" t="str">
            <v>Staf  Kantor Kas Sanden</v>
          </cell>
          <cell r="DV176" t="str">
            <v>P</v>
          </cell>
          <cell r="DW176" t="str">
            <v>TK/0</v>
          </cell>
          <cell r="DX176" t="str">
            <v>01</v>
          </cell>
          <cell r="DY176">
            <v>12</v>
          </cell>
          <cell r="DZ176" t="str">
            <v/>
          </cell>
          <cell r="EA176">
            <v>27811200</v>
          </cell>
          <cell r="EB176">
            <v>3114384</v>
          </cell>
          <cell r="EC176">
            <v>33893136</v>
          </cell>
          <cell r="ED176">
            <v>0</v>
          </cell>
          <cell r="EE176">
            <v>0</v>
          </cell>
          <cell r="EF176">
            <v>21234278.240750961</v>
          </cell>
          <cell r="EH176">
            <v>86052998.240750968</v>
          </cell>
          <cell r="EI176">
            <v>3309576</v>
          </cell>
          <cell r="EJ176">
            <v>4302649.9120375486</v>
          </cell>
          <cell r="EL176">
            <v>78440772.328713417</v>
          </cell>
          <cell r="EM176">
            <v>0</v>
          </cell>
          <cell r="EN176">
            <v>78440772.328713417</v>
          </cell>
          <cell r="EO176">
            <v>36000000</v>
          </cell>
          <cell r="EP176">
            <v>42440772.328713417</v>
          </cell>
          <cell r="EQ176">
            <v>2122000</v>
          </cell>
          <cell r="ER176">
            <v>0</v>
          </cell>
          <cell r="ES176">
            <v>2122000</v>
          </cell>
          <cell r="ET176">
            <v>2122000</v>
          </cell>
        </row>
        <row r="177">
          <cell r="DO177">
            <v>98</v>
          </cell>
          <cell r="DP177" t="str">
            <v>Muhamad Atiq Yaslam</v>
          </cell>
          <cell r="DQ177" t="str">
            <v>54.778.569.1-516.000</v>
          </cell>
          <cell r="DR177" t="str">
            <v>JL KH Yasin No 12 B Saripan, RT/RW 001/004, Kecamatan Jepara, Saripan</v>
          </cell>
          <cell r="DS177" t="str">
            <v>3320061711800004</v>
          </cell>
          <cell r="DT177">
            <v>0</v>
          </cell>
          <cell r="DU177" t="str">
            <v>Staf Sub Bagian IT</v>
          </cell>
          <cell r="DV177" t="str">
            <v>L</v>
          </cell>
          <cell r="DW177" t="str">
            <v>TK/0</v>
          </cell>
          <cell r="DX177" t="str">
            <v>01</v>
          </cell>
          <cell r="DY177">
            <v>12</v>
          </cell>
          <cell r="DZ177" t="str">
            <v/>
          </cell>
          <cell r="EA177">
            <v>14647860</v>
          </cell>
          <cell r="EB177">
            <v>272204</v>
          </cell>
          <cell r="EC177">
            <v>20694840</v>
          </cell>
          <cell r="ED177">
            <v>0</v>
          </cell>
          <cell r="EE177">
            <v>0</v>
          </cell>
          <cell r="EF177">
            <v>6968272.2661876744</v>
          </cell>
          <cell r="EH177">
            <v>42583176.266187675</v>
          </cell>
          <cell r="EI177">
            <v>0</v>
          </cell>
          <cell r="EJ177">
            <v>2129158.813309384</v>
          </cell>
          <cell r="EL177">
            <v>40454017.452878289</v>
          </cell>
          <cell r="EM177">
            <v>0</v>
          </cell>
          <cell r="EN177">
            <v>40454017.452878289</v>
          </cell>
          <cell r="EO177">
            <v>36000000</v>
          </cell>
          <cell r="EP177">
            <v>4454017.4528782889</v>
          </cell>
          <cell r="EQ177">
            <v>222700</v>
          </cell>
          <cell r="ER177">
            <v>0</v>
          </cell>
          <cell r="ES177">
            <v>222700</v>
          </cell>
          <cell r="ET177">
            <v>222700</v>
          </cell>
        </row>
        <row r="178">
          <cell r="DO178">
            <v>99</v>
          </cell>
          <cell r="DP178" t="str">
            <v/>
          </cell>
          <cell r="DQ178" t="str">
            <v/>
          </cell>
          <cell r="DR178" t="str">
            <v/>
          </cell>
          <cell r="DS178" t="str">
            <v/>
          </cell>
          <cell r="DT178" t="str">
            <v/>
          </cell>
          <cell r="DU178" t="str">
            <v/>
          </cell>
          <cell r="DV178" t="str">
            <v/>
          </cell>
          <cell r="DW178" t="str">
            <v/>
          </cell>
          <cell r="DX178" t="str">
            <v/>
          </cell>
          <cell r="DY178" t="str">
            <v/>
          </cell>
          <cell r="DZ178" t="str">
            <v/>
          </cell>
          <cell r="EA178" t="str">
            <v/>
          </cell>
          <cell r="EB178" t="str">
            <v/>
          </cell>
          <cell r="EC178" t="str">
            <v/>
          </cell>
          <cell r="ED178" t="str">
            <v/>
          </cell>
          <cell r="EE178" t="str">
            <v/>
          </cell>
          <cell r="EF178" t="str">
            <v/>
          </cell>
          <cell r="EH178" t="str">
            <v/>
          </cell>
          <cell r="EI178" t="str">
            <v/>
          </cell>
          <cell r="EJ178" t="str">
            <v/>
          </cell>
          <cell r="EL178" t="str">
            <v/>
          </cell>
          <cell r="EM178" t="str">
            <v/>
          </cell>
          <cell r="EN178" t="str">
            <v/>
          </cell>
          <cell r="EO178" t="str">
            <v/>
          </cell>
          <cell r="EP178" t="str">
            <v/>
          </cell>
          <cell r="EQ178" t="str">
            <v/>
          </cell>
          <cell r="ER178" t="str">
            <v/>
          </cell>
          <cell r="ES178" t="str">
            <v/>
          </cell>
          <cell r="ET178" t="str">
            <v/>
          </cell>
        </row>
        <row r="179">
          <cell r="DO179">
            <v>100</v>
          </cell>
          <cell r="DP179" t="str">
            <v/>
          </cell>
          <cell r="DQ179" t="str">
            <v/>
          </cell>
          <cell r="DR179" t="str">
            <v/>
          </cell>
          <cell r="DS179" t="str">
            <v/>
          </cell>
          <cell r="DT179" t="str">
            <v/>
          </cell>
          <cell r="DU179" t="str">
            <v/>
          </cell>
          <cell r="DV179" t="str">
            <v/>
          </cell>
          <cell r="DW179" t="str">
            <v/>
          </cell>
          <cell r="DX179" t="str">
            <v/>
          </cell>
          <cell r="DY179" t="str">
            <v/>
          </cell>
          <cell r="DZ179" t="str">
            <v/>
          </cell>
          <cell r="EA179" t="str">
            <v/>
          </cell>
          <cell r="EB179" t="str">
            <v/>
          </cell>
          <cell r="EC179" t="str">
            <v/>
          </cell>
          <cell r="ED179" t="str">
            <v/>
          </cell>
          <cell r="EE179" t="str">
            <v/>
          </cell>
          <cell r="EF179" t="str">
            <v/>
          </cell>
          <cell r="EH179" t="str">
            <v/>
          </cell>
          <cell r="EI179" t="str">
            <v/>
          </cell>
          <cell r="EJ179" t="str">
            <v/>
          </cell>
          <cell r="EL179" t="str">
            <v/>
          </cell>
          <cell r="EM179" t="str">
            <v/>
          </cell>
          <cell r="EN179" t="str">
            <v/>
          </cell>
          <cell r="EO179" t="str">
            <v/>
          </cell>
          <cell r="EP179" t="str">
            <v/>
          </cell>
          <cell r="EQ179" t="str">
            <v/>
          </cell>
          <cell r="ER179" t="str">
            <v/>
          </cell>
          <cell r="ES179" t="str">
            <v/>
          </cell>
          <cell r="ET179" t="str">
            <v/>
          </cell>
        </row>
        <row r="180">
          <cell r="DO180">
            <v>101</v>
          </cell>
          <cell r="DP180" t="str">
            <v/>
          </cell>
          <cell r="DQ180" t="str">
            <v/>
          </cell>
          <cell r="DR180" t="str">
            <v/>
          </cell>
          <cell r="DS180" t="str">
            <v/>
          </cell>
          <cell r="DT180" t="str">
            <v/>
          </cell>
          <cell r="DU180" t="str">
            <v/>
          </cell>
          <cell r="DV180" t="str">
            <v/>
          </cell>
          <cell r="DW180" t="str">
            <v/>
          </cell>
          <cell r="DX180" t="str">
            <v/>
          </cell>
          <cell r="DY180" t="str">
            <v/>
          </cell>
          <cell r="DZ180" t="str">
            <v/>
          </cell>
          <cell r="EA180" t="str">
            <v/>
          </cell>
          <cell r="EB180" t="str">
            <v/>
          </cell>
          <cell r="EC180" t="str">
            <v/>
          </cell>
          <cell r="ED180" t="str">
            <v/>
          </cell>
          <cell r="EE180" t="str">
            <v/>
          </cell>
          <cell r="EF180" t="str">
            <v/>
          </cell>
          <cell r="EH180" t="str">
            <v/>
          </cell>
          <cell r="EI180" t="str">
            <v/>
          </cell>
          <cell r="EJ180" t="str">
            <v/>
          </cell>
          <cell r="EL180" t="str">
            <v/>
          </cell>
          <cell r="EM180" t="str">
            <v/>
          </cell>
          <cell r="EN180" t="str">
            <v/>
          </cell>
          <cell r="EO180" t="str">
            <v/>
          </cell>
          <cell r="EP180" t="str">
            <v/>
          </cell>
          <cell r="EQ180" t="str">
            <v/>
          </cell>
          <cell r="ER180" t="str">
            <v/>
          </cell>
          <cell r="ES180" t="str">
            <v/>
          </cell>
          <cell r="ET180" t="str">
            <v/>
          </cell>
        </row>
        <row r="181">
          <cell r="DO181">
            <v>102</v>
          </cell>
          <cell r="DP181" t="str">
            <v/>
          </cell>
          <cell r="DQ181" t="str">
            <v/>
          </cell>
          <cell r="DR181" t="str">
            <v/>
          </cell>
          <cell r="DS181" t="str">
            <v/>
          </cell>
          <cell r="DT181" t="str">
            <v/>
          </cell>
          <cell r="DU181" t="str">
            <v/>
          </cell>
          <cell r="DV181" t="str">
            <v/>
          </cell>
          <cell r="DW181" t="str">
            <v/>
          </cell>
          <cell r="DX181" t="str">
            <v/>
          </cell>
          <cell r="DY181" t="str">
            <v/>
          </cell>
          <cell r="DZ181" t="str">
            <v/>
          </cell>
          <cell r="EA181" t="str">
            <v/>
          </cell>
          <cell r="EB181" t="str">
            <v/>
          </cell>
          <cell r="EC181" t="str">
            <v/>
          </cell>
          <cell r="ED181" t="str">
            <v/>
          </cell>
          <cell r="EE181" t="str">
            <v/>
          </cell>
          <cell r="EF181" t="str">
            <v/>
          </cell>
          <cell r="EH181" t="str">
            <v/>
          </cell>
          <cell r="EI181" t="str">
            <v/>
          </cell>
          <cell r="EJ181" t="str">
            <v/>
          </cell>
          <cell r="EL181" t="str">
            <v/>
          </cell>
          <cell r="EM181" t="str">
            <v/>
          </cell>
          <cell r="EN181" t="str">
            <v/>
          </cell>
          <cell r="EO181" t="str">
            <v/>
          </cell>
          <cell r="EP181" t="str">
            <v/>
          </cell>
          <cell r="EQ181" t="str">
            <v/>
          </cell>
          <cell r="ER181" t="str">
            <v/>
          </cell>
          <cell r="ES181" t="str">
            <v/>
          </cell>
          <cell r="ET181" t="str">
            <v/>
          </cell>
        </row>
        <row r="182">
          <cell r="DO182">
            <v>103</v>
          </cell>
          <cell r="DP182" t="str">
            <v/>
          </cell>
          <cell r="DQ182" t="str">
            <v/>
          </cell>
          <cell r="DR182" t="str">
            <v/>
          </cell>
          <cell r="DS182" t="str">
            <v/>
          </cell>
          <cell r="DT182" t="str">
            <v/>
          </cell>
          <cell r="DU182" t="str">
            <v/>
          </cell>
          <cell r="DV182" t="str">
            <v/>
          </cell>
          <cell r="DW182" t="str">
            <v/>
          </cell>
          <cell r="DX182" t="str">
            <v/>
          </cell>
          <cell r="DY182" t="str">
            <v/>
          </cell>
          <cell r="DZ182" t="str">
            <v/>
          </cell>
          <cell r="EA182" t="str">
            <v/>
          </cell>
          <cell r="EB182" t="str">
            <v/>
          </cell>
          <cell r="EC182" t="str">
            <v/>
          </cell>
          <cell r="ED182" t="str">
            <v/>
          </cell>
          <cell r="EE182" t="str">
            <v/>
          </cell>
          <cell r="EF182" t="str">
            <v/>
          </cell>
          <cell r="EH182" t="str">
            <v/>
          </cell>
          <cell r="EI182" t="str">
            <v/>
          </cell>
          <cell r="EJ182" t="str">
            <v/>
          </cell>
          <cell r="EL182" t="str">
            <v/>
          </cell>
          <cell r="EM182" t="str">
            <v/>
          </cell>
          <cell r="EN182" t="str">
            <v/>
          </cell>
          <cell r="EO182" t="str">
            <v/>
          </cell>
          <cell r="EP182" t="str">
            <v/>
          </cell>
          <cell r="EQ182" t="str">
            <v/>
          </cell>
          <cell r="ER182" t="str">
            <v/>
          </cell>
          <cell r="ES182" t="str">
            <v/>
          </cell>
          <cell r="ET182" t="str">
            <v/>
          </cell>
        </row>
        <row r="183">
          <cell r="DO183">
            <v>104</v>
          </cell>
          <cell r="DP183" t="str">
            <v/>
          </cell>
          <cell r="DQ183" t="str">
            <v/>
          </cell>
          <cell r="DR183" t="str">
            <v/>
          </cell>
          <cell r="DS183" t="str">
            <v/>
          </cell>
          <cell r="DT183" t="str">
            <v/>
          </cell>
          <cell r="DU183" t="str">
            <v/>
          </cell>
          <cell r="DV183" t="str">
            <v/>
          </cell>
          <cell r="DW183" t="str">
            <v/>
          </cell>
          <cell r="DX183" t="str">
            <v/>
          </cell>
          <cell r="DY183" t="str">
            <v/>
          </cell>
          <cell r="DZ183" t="str">
            <v/>
          </cell>
          <cell r="EA183" t="str">
            <v/>
          </cell>
          <cell r="EB183" t="str">
            <v/>
          </cell>
          <cell r="EC183" t="str">
            <v/>
          </cell>
          <cell r="ED183" t="str">
            <v/>
          </cell>
          <cell r="EE183" t="str">
            <v/>
          </cell>
          <cell r="EF183" t="str">
            <v/>
          </cell>
          <cell r="EH183" t="str">
            <v/>
          </cell>
          <cell r="EI183" t="str">
            <v/>
          </cell>
          <cell r="EJ183" t="str">
            <v/>
          </cell>
          <cell r="EL183" t="str">
            <v/>
          </cell>
          <cell r="EM183" t="str">
            <v/>
          </cell>
          <cell r="EN183" t="str">
            <v/>
          </cell>
          <cell r="EO183" t="str">
            <v/>
          </cell>
          <cell r="EP183" t="str">
            <v/>
          </cell>
          <cell r="EQ183" t="str">
            <v/>
          </cell>
          <cell r="ER183" t="str">
            <v/>
          </cell>
          <cell r="ES183" t="str">
            <v/>
          </cell>
          <cell r="ET183" t="str">
            <v/>
          </cell>
        </row>
        <row r="184">
          <cell r="DO184">
            <v>105</v>
          </cell>
          <cell r="DP184" t="str">
            <v/>
          </cell>
          <cell r="DQ184" t="str">
            <v/>
          </cell>
          <cell r="DR184" t="str">
            <v/>
          </cell>
          <cell r="DS184" t="str">
            <v/>
          </cell>
          <cell r="DT184" t="str">
            <v/>
          </cell>
          <cell r="DU184" t="str">
            <v/>
          </cell>
          <cell r="DV184" t="str">
            <v/>
          </cell>
          <cell r="DW184" t="str">
            <v/>
          </cell>
          <cell r="DX184" t="str">
            <v/>
          </cell>
          <cell r="DY184" t="str">
            <v/>
          </cell>
          <cell r="DZ184" t="str">
            <v/>
          </cell>
          <cell r="EA184" t="str">
            <v/>
          </cell>
          <cell r="EB184" t="str">
            <v/>
          </cell>
          <cell r="EC184" t="str">
            <v/>
          </cell>
          <cell r="ED184" t="str">
            <v/>
          </cell>
          <cell r="EE184" t="str">
            <v/>
          </cell>
          <cell r="EF184" t="str">
            <v/>
          </cell>
          <cell r="EH184" t="str">
            <v/>
          </cell>
          <cell r="EI184" t="str">
            <v/>
          </cell>
          <cell r="EJ184" t="str">
            <v/>
          </cell>
          <cell r="EL184" t="str">
            <v/>
          </cell>
          <cell r="EM184" t="str">
            <v/>
          </cell>
          <cell r="EN184" t="str">
            <v/>
          </cell>
          <cell r="EO184" t="str">
            <v/>
          </cell>
          <cell r="EP184" t="str">
            <v/>
          </cell>
          <cell r="EQ184" t="str">
            <v/>
          </cell>
          <cell r="ER184" t="str">
            <v/>
          </cell>
          <cell r="ES184" t="str">
            <v/>
          </cell>
          <cell r="ET184" t="str">
            <v/>
          </cell>
        </row>
        <row r="185">
          <cell r="DO185">
            <v>106</v>
          </cell>
          <cell r="DP185" t="str">
            <v/>
          </cell>
          <cell r="DQ185" t="str">
            <v/>
          </cell>
          <cell r="DR185" t="str">
            <v/>
          </cell>
          <cell r="DS185" t="str">
            <v/>
          </cell>
          <cell r="DT185" t="str">
            <v/>
          </cell>
          <cell r="DU185" t="str">
            <v/>
          </cell>
          <cell r="DV185" t="str">
            <v/>
          </cell>
          <cell r="DW185" t="str">
            <v/>
          </cell>
          <cell r="DX185" t="str">
            <v/>
          </cell>
          <cell r="DY185" t="str">
            <v/>
          </cell>
          <cell r="DZ185" t="str">
            <v/>
          </cell>
          <cell r="EA185" t="str">
            <v/>
          </cell>
          <cell r="EB185" t="str">
            <v/>
          </cell>
          <cell r="EC185" t="str">
            <v/>
          </cell>
          <cell r="ED185" t="str">
            <v/>
          </cell>
          <cell r="EE185" t="str">
            <v/>
          </cell>
          <cell r="EF185" t="str">
            <v/>
          </cell>
          <cell r="EH185" t="str">
            <v/>
          </cell>
          <cell r="EI185" t="str">
            <v/>
          </cell>
          <cell r="EJ185" t="str">
            <v/>
          </cell>
          <cell r="EL185" t="str">
            <v/>
          </cell>
          <cell r="EM185" t="str">
            <v/>
          </cell>
          <cell r="EN185" t="str">
            <v/>
          </cell>
          <cell r="EO185" t="str">
            <v/>
          </cell>
          <cell r="EP185" t="str">
            <v/>
          </cell>
          <cell r="EQ185" t="str">
            <v/>
          </cell>
          <cell r="ER185" t="str">
            <v/>
          </cell>
          <cell r="ES185" t="str">
            <v/>
          </cell>
          <cell r="ET185" t="str">
            <v/>
          </cell>
        </row>
        <row r="186">
          <cell r="DO186">
            <v>107</v>
          </cell>
          <cell r="DP186" t="str">
            <v/>
          </cell>
          <cell r="DQ186" t="str">
            <v/>
          </cell>
          <cell r="DR186" t="str">
            <v/>
          </cell>
          <cell r="DS186" t="str">
            <v/>
          </cell>
          <cell r="DT186" t="str">
            <v/>
          </cell>
          <cell r="DU186" t="str">
            <v/>
          </cell>
          <cell r="DV186" t="str">
            <v/>
          </cell>
          <cell r="DW186" t="str">
            <v/>
          </cell>
          <cell r="DX186" t="str">
            <v/>
          </cell>
          <cell r="DY186" t="str">
            <v/>
          </cell>
          <cell r="DZ186" t="str">
            <v/>
          </cell>
          <cell r="EA186" t="str">
            <v/>
          </cell>
          <cell r="EB186" t="str">
            <v/>
          </cell>
          <cell r="EC186" t="str">
            <v/>
          </cell>
          <cell r="ED186" t="str">
            <v/>
          </cell>
          <cell r="EE186" t="str">
            <v/>
          </cell>
          <cell r="EF186" t="str">
            <v/>
          </cell>
          <cell r="EH186" t="str">
            <v/>
          </cell>
          <cell r="EI186" t="str">
            <v/>
          </cell>
          <cell r="EJ186" t="str">
            <v/>
          </cell>
          <cell r="EL186" t="str">
            <v/>
          </cell>
          <cell r="EM186" t="str">
            <v/>
          </cell>
          <cell r="EN186" t="str">
            <v/>
          </cell>
          <cell r="EO186" t="str">
            <v/>
          </cell>
          <cell r="EP186" t="str">
            <v/>
          </cell>
          <cell r="EQ186" t="str">
            <v/>
          </cell>
          <cell r="ER186" t="str">
            <v/>
          </cell>
          <cell r="ES186" t="str">
            <v/>
          </cell>
          <cell r="ET186" t="str">
            <v/>
          </cell>
        </row>
        <row r="187">
          <cell r="DO187">
            <v>108</v>
          </cell>
          <cell r="DP187" t="str">
            <v/>
          </cell>
          <cell r="DQ187" t="str">
            <v/>
          </cell>
          <cell r="DR187" t="str">
            <v/>
          </cell>
          <cell r="DS187" t="str">
            <v/>
          </cell>
          <cell r="DT187" t="str">
            <v/>
          </cell>
          <cell r="DU187" t="str">
            <v/>
          </cell>
          <cell r="DV187" t="str">
            <v/>
          </cell>
          <cell r="DW187" t="str">
            <v/>
          </cell>
          <cell r="DX187" t="str">
            <v/>
          </cell>
          <cell r="DY187" t="str">
            <v/>
          </cell>
          <cell r="DZ187" t="str">
            <v/>
          </cell>
          <cell r="EA187" t="str">
            <v/>
          </cell>
          <cell r="EB187" t="str">
            <v/>
          </cell>
          <cell r="EC187" t="str">
            <v/>
          </cell>
          <cell r="ED187" t="str">
            <v/>
          </cell>
          <cell r="EE187" t="str">
            <v/>
          </cell>
          <cell r="EF187" t="str">
            <v/>
          </cell>
          <cell r="EH187" t="str">
            <v/>
          </cell>
          <cell r="EI187" t="str">
            <v/>
          </cell>
          <cell r="EJ187" t="str">
            <v/>
          </cell>
          <cell r="EL187" t="str">
            <v/>
          </cell>
          <cell r="EM187" t="str">
            <v/>
          </cell>
          <cell r="EN187" t="str">
            <v/>
          </cell>
          <cell r="EO187" t="str">
            <v/>
          </cell>
          <cell r="EP187" t="str">
            <v/>
          </cell>
          <cell r="EQ187" t="str">
            <v/>
          </cell>
          <cell r="ER187" t="str">
            <v/>
          </cell>
          <cell r="ES187" t="str">
            <v/>
          </cell>
          <cell r="ET187" t="str">
            <v/>
          </cell>
        </row>
        <row r="188">
          <cell r="DO188">
            <v>109</v>
          </cell>
          <cell r="DP188" t="str">
            <v/>
          </cell>
          <cell r="DQ188" t="str">
            <v/>
          </cell>
          <cell r="DR188" t="str">
            <v/>
          </cell>
          <cell r="DS188" t="str">
            <v/>
          </cell>
          <cell r="DT188" t="str">
            <v/>
          </cell>
          <cell r="DU188" t="str">
            <v/>
          </cell>
          <cell r="DV188" t="str">
            <v/>
          </cell>
          <cell r="DW188" t="str">
            <v/>
          </cell>
          <cell r="DX188" t="str">
            <v/>
          </cell>
          <cell r="DY188" t="str">
            <v/>
          </cell>
          <cell r="DZ188" t="str">
            <v/>
          </cell>
          <cell r="EA188" t="str">
            <v/>
          </cell>
          <cell r="EB188" t="str">
            <v/>
          </cell>
          <cell r="EC188" t="str">
            <v/>
          </cell>
          <cell r="ED188" t="str">
            <v/>
          </cell>
          <cell r="EE188" t="str">
            <v/>
          </cell>
          <cell r="EF188" t="str">
            <v/>
          </cell>
          <cell r="EH188" t="str">
            <v/>
          </cell>
          <cell r="EI188" t="str">
            <v/>
          </cell>
          <cell r="EJ188" t="str">
            <v/>
          </cell>
          <cell r="EL188" t="str">
            <v/>
          </cell>
          <cell r="EM188" t="str">
            <v/>
          </cell>
          <cell r="EN188" t="str">
            <v/>
          </cell>
          <cell r="EO188" t="str">
            <v/>
          </cell>
          <cell r="EP188" t="str">
            <v/>
          </cell>
          <cell r="EQ188" t="str">
            <v/>
          </cell>
          <cell r="ER188" t="str">
            <v/>
          </cell>
          <cell r="ES188" t="str">
            <v/>
          </cell>
          <cell r="ET188" t="str">
            <v/>
          </cell>
        </row>
        <row r="189">
          <cell r="DO189">
            <v>110</v>
          </cell>
          <cell r="DP189" t="str">
            <v/>
          </cell>
          <cell r="DQ189" t="str">
            <v/>
          </cell>
          <cell r="DR189" t="str">
            <v/>
          </cell>
          <cell r="DS189" t="str">
            <v/>
          </cell>
          <cell r="DT189" t="str">
            <v/>
          </cell>
          <cell r="DU189" t="str">
            <v/>
          </cell>
          <cell r="DV189" t="str">
            <v/>
          </cell>
          <cell r="DW189" t="str">
            <v/>
          </cell>
          <cell r="DX189" t="str">
            <v/>
          </cell>
          <cell r="DY189" t="str">
            <v/>
          </cell>
          <cell r="DZ189" t="str">
            <v/>
          </cell>
          <cell r="EA189" t="str">
            <v/>
          </cell>
          <cell r="EB189" t="str">
            <v/>
          </cell>
          <cell r="EC189" t="str">
            <v/>
          </cell>
          <cell r="ED189" t="str">
            <v/>
          </cell>
          <cell r="EE189" t="str">
            <v/>
          </cell>
          <cell r="EF189" t="str">
            <v/>
          </cell>
          <cell r="EH189" t="str">
            <v/>
          </cell>
          <cell r="EI189" t="str">
            <v/>
          </cell>
          <cell r="EJ189" t="str">
            <v/>
          </cell>
          <cell r="EL189" t="str">
            <v/>
          </cell>
          <cell r="EM189" t="str">
            <v/>
          </cell>
          <cell r="EN189" t="str">
            <v/>
          </cell>
          <cell r="EO189" t="str">
            <v/>
          </cell>
          <cell r="EP189" t="str">
            <v/>
          </cell>
          <cell r="EQ189" t="str">
            <v/>
          </cell>
          <cell r="ER189" t="str">
            <v/>
          </cell>
          <cell r="ES189" t="str">
            <v/>
          </cell>
          <cell r="ET189" t="str">
            <v/>
          </cell>
        </row>
        <row r="190">
          <cell r="DO190">
            <v>111</v>
          </cell>
          <cell r="DP190" t="str">
            <v/>
          </cell>
          <cell r="DQ190" t="str">
            <v/>
          </cell>
          <cell r="DR190" t="str">
            <v/>
          </cell>
          <cell r="DS190" t="str">
            <v/>
          </cell>
          <cell r="DT190" t="str">
            <v/>
          </cell>
          <cell r="DU190" t="str">
            <v/>
          </cell>
          <cell r="DV190" t="str">
            <v/>
          </cell>
          <cell r="DW190" t="str">
            <v/>
          </cell>
          <cell r="DX190" t="str">
            <v/>
          </cell>
          <cell r="DY190" t="str">
            <v/>
          </cell>
          <cell r="DZ190" t="str">
            <v/>
          </cell>
          <cell r="EA190" t="str">
            <v/>
          </cell>
          <cell r="EB190" t="str">
            <v/>
          </cell>
          <cell r="EC190" t="str">
            <v/>
          </cell>
          <cell r="ED190" t="str">
            <v/>
          </cell>
          <cell r="EE190" t="str">
            <v/>
          </cell>
          <cell r="EF190" t="str">
            <v/>
          </cell>
          <cell r="EH190" t="str">
            <v/>
          </cell>
          <cell r="EI190" t="str">
            <v/>
          </cell>
          <cell r="EJ190" t="str">
            <v/>
          </cell>
          <cell r="EL190" t="str">
            <v/>
          </cell>
          <cell r="EM190" t="str">
            <v/>
          </cell>
          <cell r="EN190" t="str">
            <v/>
          </cell>
          <cell r="EO190" t="str">
            <v/>
          </cell>
          <cell r="EP190" t="str">
            <v/>
          </cell>
          <cell r="EQ190" t="str">
            <v/>
          </cell>
          <cell r="ER190" t="str">
            <v/>
          </cell>
          <cell r="ES190" t="str">
            <v/>
          </cell>
          <cell r="ET190" t="str">
            <v/>
          </cell>
        </row>
        <row r="191">
          <cell r="DO191">
            <v>112</v>
          </cell>
          <cell r="DP191" t="str">
            <v/>
          </cell>
          <cell r="DQ191" t="str">
            <v/>
          </cell>
          <cell r="DR191" t="str">
            <v/>
          </cell>
          <cell r="DS191" t="str">
            <v/>
          </cell>
          <cell r="DT191" t="str">
            <v/>
          </cell>
          <cell r="DU191" t="str">
            <v/>
          </cell>
          <cell r="DV191" t="str">
            <v/>
          </cell>
          <cell r="DW191" t="str">
            <v/>
          </cell>
          <cell r="DX191" t="str">
            <v/>
          </cell>
          <cell r="DY191" t="str">
            <v/>
          </cell>
          <cell r="DZ191" t="str">
            <v/>
          </cell>
          <cell r="EA191" t="str">
            <v/>
          </cell>
          <cell r="EB191" t="str">
            <v/>
          </cell>
          <cell r="EC191" t="str">
            <v/>
          </cell>
          <cell r="ED191" t="str">
            <v/>
          </cell>
          <cell r="EE191" t="str">
            <v/>
          </cell>
          <cell r="EF191" t="str">
            <v/>
          </cell>
          <cell r="EH191" t="str">
            <v/>
          </cell>
          <cell r="EI191" t="str">
            <v/>
          </cell>
          <cell r="EJ191" t="str">
            <v/>
          </cell>
          <cell r="EL191" t="str">
            <v/>
          </cell>
          <cell r="EM191" t="str">
            <v/>
          </cell>
          <cell r="EN191" t="str">
            <v/>
          </cell>
          <cell r="EO191" t="str">
            <v/>
          </cell>
          <cell r="EP191" t="str">
            <v/>
          </cell>
          <cell r="EQ191" t="str">
            <v/>
          </cell>
          <cell r="ER191" t="str">
            <v/>
          </cell>
          <cell r="ES191" t="str">
            <v/>
          </cell>
          <cell r="ET191" t="str">
            <v/>
          </cell>
        </row>
        <row r="192">
          <cell r="DO192">
            <v>113</v>
          </cell>
          <cell r="DP192" t="str">
            <v/>
          </cell>
          <cell r="DQ192" t="str">
            <v/>
          </cell>
          <cell r="DR192" t="str">
            <v/>
          </cell>
          <cell r="DS192" t="str">
            <v/>
          </cell>
          <cell r="DT192" t="str">
            <v/>
          </cell>
          <cell r="DU192" t="str">
            <v/>
          </cell>
          <cell r="DV192" t="str">
            <v/>
          </cell>
          <cell r="DW192" t="str">
            <v/>
          </cell>
          <cell r="DX192" t="str">
            <v/>
          </cell>
          <cell r="DY192" t="str">
            <v/>
          </cell>
          <cell r="DZ192" t="str">
            <v/>
          </cell>
          <cell r="EA192" t="str">
            <v/>
          </cell>
          <cell r="EB192" t="str">
            <v/>
          </cell>
          <cell r="EC192" t="str">
            <v/>
          </cell>
          <cell r="ED192" t="str">
            <v/>
          </cell>
          <cell r="EE192" t="str">
            <v/>
          </cell>
          <cell r="EF192" t="str">
            <v/>
          </cell>
          <cell r="EH192" t="str">
            <v/>
          </cell>
          <cell r="EI192" t="str">
            <v/>
          </cell>
          <cell r="EJ192" t="str">
            <v/>
          </cell>
          <cell r="EL192" t="str">
            <v/>
          </cell>
          <cell r="EM192" t="str">
            <v/>
          </cell>
          <cell r="EN192" t="str">
            <v/>
          </cell>
          <cell r="EO192" t="str">
            <v/>
          </cell>
          <cell r="EP192" t="str">
            <v/>
          </cell>
          <cell r="EQ192" t="str">
            <v/>
          </cell>
          <cell r="ER192" t="str">
            <v/>
          </cell>
          <cell r="ES192" t="str">
            <v/>
          </cell>
          <cell r="ET192" t="str">
            <v/>
          </cell>
        </row>
        <row r="193">
          <cell r="DO193">
            <v>114</v>
          </cell>
          <cell r="DP193" t="str">
            <v/>
          </cell>
          <cell r="DQ193" t="str">
            <v/>
          </cell>
          <cell r="DR193" t="str">
            <v/>
          </cell>
          <cell r="DS193" t="str">
            <v/>
          </cell>
          <cell r="DT193" t="str">
            <v/>
          </cell>
          <cell r="DU193" t="str">
            <v/>
          </cell>
          <cell r="DV193" t="str">
            <v/>
          </cell>
          <cell r="DW193" t="str">
            <v/>
          </cell>
          <cell r="DX193" t="str">
            <v/>
          </cell>
          <cell r="DY193" t="str">
            <v/>
          </cell>
          <cell r="DZ193" t="str">
            <v/>
          </cell>
          <cell r="EA193" t="str">
            <v/>
          </cell>
          <cell r="EB193" t="str">
            <v/>
          </cell>
          <cell r="EC193" t="str">
            <v/>
          </cell>
          <cell r="ED193" t="str">
            <v/>
          </cell>
          <cell r="EE193" t="str">
            <v/>
          </cell>
          <cell r="EF193" t="str">
            <v/>
          </cell>
          <cell r="EH193" t="str">
            <v/>
          </cell>
          <cell r="EI193" t="str">
            <v/>
          </cell>
          <cell r="EJ193" t="str">
            <v/>
          </cell>
          <cell r="EL193" t="str">
            <v/>
          </cell>
          <cell r="EM193" t="str">
            <v/>
          </cell>
          <cell r="EN193" t="str">
            <v/>
          </cell>
          <cell r="EO193" t="str">
            <v/>
          </cell>
          <cell r="EP193" t="str">
            <v/>
          </cell>
          <cell r="EQ193" t="str">
            <v/>
          </cell>
          <cell r="ER193" t="str">
            <v/>
          </cell>
          <cell r="ES193" t="str">
            <v/>
          </cell>
          <cell r="ET193" t="str">
            <v/>
          </cell>
        </row>
        <row r="194">
          <cell r="DO194">
            <v>115</v>
          </cell>
          <cell r="DP194" t="str">
            <v/>
          </cell>
          <cell r="DQ194" t="str">
            <v/>
          </cell>
          <cell r="DR194" t="str">
            <v/>
          </cell>
          <cell r="DS194" t="str">
            <v/>
          </cell>
          <cell r="DT194" t="str">
            <v/>
          </cell>
          <cell r="DU194" t="str">
            <v/>
          </cell>
          <cell r="DV194" t="str">
            <v/>
          </cell>
          <cell r="DW194" t="str">
            <v/>
          </cell>
          <cell r="DX194" t="str">
            <v/>
          </cell>
          <cell r="DY194" t="str">
            <v/>
          </cell>
          <cell r="DZ194" t="str">
            <v/>
          </cell>
          <cell r="EA194" t="str">
            <v/>
          </cell>
          <cell r="EB194" t="str">
            <v/>
          </cell>
          <cell r="EC194" t="str">
            <v/>
          </cell>
          <cell r="ED194" t="str">
            <v/>
          </cell>
          <cell r="EE194" t="str">
            <v/>
          </cell>
          <cell r="EF194" t="str">
            <v/>
          </cell>
          <cell r="EH194" t="str">
            <v/>
          </cell>
          <cell r="EI194" t="str">
            <v/>
          </cell>
          <cell r="EJ194" t="str">
            <v/>
          </cell>
          <cell r="EL194" t="str">
            <v/>
          </cell>
          <cell r="EM194" t="str">
            <v/>
          </cell>
          <cell r="EN194" t="str">
            <v/>
          </cell>
          <cell r="EO194" t="str">
            <v/>
          </cell>
          <cell r="EP194" t="str">
            <v/>
          </cell>
          <cell r="EQ194" t="str">
            <v/>
          </cell>
          <cell r="ER194" t="str">
            <v/>
          </cell>
          <cell r="ES194" t="str">
            <v/>
          </cell>
          <cell r="ET194" t="str">
            <v/>
          </cell>
        </row>
        <row r="195">
          <cell r="DO195">
            <v>116</v>
          </cell>
          <cell r="DP195" t="str">
            <v/>
          </cell>
          <cell r="DQ195" t="str">
            <v/>
          </cell>
          <cell r="DR195" t="str">
            <v/>
          </cell>
          <cell r="DS195" t="str">
            <v/>
          </cell>
          <cell r="DT195" t="str">
            <v/>
          </cell>
          <cell r="DU195" t="str">
            <v/>
          </cell>
          <cell r="DV195" t="str">
            <v/>
          </cell>
          <cell r="DW195" t="str">
            <v/>
          </cell>
          <cell r="DX195" t="str">
            <v/>
          </cell>
          <cell r="DY195" t="str">
            <v/>
          </cell>
          <cell r="DZ195" t="str">
            <v/>
          </cell>
          <cell r="EA195" t="str">
            <v/>
          </cell>
          <cell r="EB195" t="str">
            <v/>
          </cell>
          <cell r="EC195" t="str">
            <v/>
          </cell>
          <cell r="ED195" t="str">
            <v/>
          </cell>
          <cell r="EE195" t="str">
            <v/>
          </cell>
          <cell r="EF195" t="str">
            <v/>
          </cell>
          <cell r="EH195" t="str">
            <v/>
          </cell>
          <cell r="EI195" t="str">
            <v/>
          </cell>
          <cell r="EJ195" t="str">
            <v/>
          </cell>
          <cell r="EL195" t="str">
            <v/>
          </cell>
          <cell r="EM195" t="str">
            <v/>
          </cell>
          <cell r="EN195" t="str">
            <v/>
          </cell>
          <cell r="EO195" t="str">
            <v/>
          </cell>
          <cell r="EP195" t="str">
            <v/>
          </cell>
          <cell r="EQ195" t="str">
            <v/>
          </cell>
          <cell r="ER195" t="str">
            <v/>
          </cell>
          <cell r="ES195" t="str">
            <v/>
          </cell>
          <cell r="ET195" t="str">
            <v/>
          </cell>
        </row>
        <row r="196">
          <cell r="DO196">
            <v>117</v>
          </cell>
          <cell r="DP196" t="str">
            <v/>
          </cell>
          <cell r="DQ196" t="str">
            <v/>
          </cell>
          <cell r="DR196" t="str">
            <v/>
          </cell>
          <cell r="DS196" t="str">
            <v/>
          </cell>
          <cell r="DT196" t="str">
            <v/>
          </cell>
          <cell r="DU196" t="str">
            <v/>
          </cell>
          <cell r="DV196" t="str">
            <v/>
          </cell>
          <cell r="DW196" t="str">
            <v/>
          </cell>
          <cell r="DX196" t="str">
            <v/>
          </cell>
          <cell r="DY196" t="str">
            <v/>
          </cell>
          <cell r="DZ196" t="str">
            <v/>
          </cell>
          <cell r="EA196" t="str">
            <v/>
          </cell>
          <cell r="EB196" t="str">
            <v/>
          </cell>
          <cell r="EC196" t="str">
            <v/>
          </cell>
          <cell r="ED196" t="str">
            <v/>
          </cell>
          <cell r="EE196" t="str">
            <v/>
          </cell>
          <cell r="EF196" t="str">
            <v/>
          </cell>
          <cell r="EH196" t="str">
            <v/>
          </cell>
          <cell r="EI196" t="str">
            <v/>
          </cell>
          <cell r="EJ196" t="str">
            <v/>
          </cell>
          <cell r="EL196" t="str">
            <v/>
          </cell>
          <cell r="EM196" t="str">
            <v/>
          </cell>
          <cell r="EN196" t="str">
            <v/>
          </cell>
          <cell r="EO196" t="str">
            <v/>
          </cell>
          <cell r="EP196" t="str">
            <v/>
          </cell>
          <cell r="EQ196" t="str">
            <v/>
          </cell>
          <cell r="ER196" t="str">
            <v/>
          </cell>
          <cell r="ES196" t="str">
            <v/>
          </cell>
          <cell r="ET196" t="str">
            <v/>
          </cell>
        </row>
        <row r="197">
          <cell r="DO197">
            <v>118</v>
          </cell>
          <cell r="DP197" t="str">
            <v/>
          </cell>
          <cell r="DQ197" t="str">
            <v/>
          </cell>
          <cell r="DR197" t="str">
            <v/>
          </cell>
          <cell r="DS197" t="str">
            <v/>
          </cell>
          <cell r="DT197" t="str">
            <v/>
          </cell>
          <cell r="DU197" t="str">
            <v/>
          </cell>
          <cell r="DV197" t="str">
            <v/>
          </cell>
          <cell r="DW197" t="str">
            <v/>
          </cell>
          <cell r="DX197" t="str">
            <v/>
          </cell>
          <cell r="DY197" t="str">
            <v/>
          </cell>
          <cell r="DZ197" t="str">
            <v/>
          </cell>
          <cell r="EA197" t="str">
            <v/>
          </cell>
          <cell r="EB197" t="str">
            <v/>
          </cell>
          <cell r="EC197" t="str">
            <v/>
          </cell>
          <cell r="ED197" t="str">
            <v/>
          </cell>
          <cell r="EE197" t="str">
            <v/>
          </cell>
          <cell r="EF197" t="str">
            <v/>
          </cell>
          <cell r="EH197" t="str">
            <v/>
          </cell>
          <cell r="EI197" t="str">
            <v/>
          </cell>
          <cell r="EJ197" t="str">
            <v/>
          </cell>
          <cell r="EL197" t="str">
            <v/>
          </cell>
          <cell r="EM197" t="str">
            <v/>
          </cell>
          <cell r="EN197" t="str">
            <v/>
          </cell>
          <cell r="EO197" t="str">
            <v/>
          </cell>
          <cell r="EP197" t="str">
            <v/>
          </cell>
          <cell r="EQ197" t="str">
            <v/>
          </cell>
          <cell r="ER197" t="str">
            <v/>
          </cell>
          <cell r="ES197" t="str">
            <v/>
          </cell>
          <cell r="ET197" t="str">
            <v/>
          </cell>
        </row>
        <row r="198">
          <cell r="DO198">
            <v>119</v>
          </cell>
          <cell r="DP198" t="str">
            <v/>
          </cell>
          <cell r="DQ198" t="str">
            <v/>
          </cell>
          <cell r="DR198" t="str">
            <v/>
          </cell>
          <cell r="DS198" t="str">
            <v/>
          </cell>
          <cell r="DT198" t="str">
            <v/>
          </cell>
          <cell r="DU198" t="str">
            <v/>
          </cell>
          <cell r="DV198" t="str">
            <v/>
          </cell>
          <cell r="DW198" t="str">
            <v/>
          </cell>
          <cell r="DX198" t="str">
            <v/>
          </cell>
          <cell r="DY198" t="str">
            <v/>
          </cell>
          <cell r="DZ198" t="str">
            <v/>
          </cell>
          <cell r="EA198" t="str">
            <v/>
          </cell>
          <cell r="EB198" t="str">
            <v/>
          </cell>
          <cell r="EC198" t="str">
            <v/>
          </cell>
          <cell r="ED198" t="str">
            <v/>
          </cell>
          <cell r="EE198" t="str">
            <v/>
          </cell>
          <cell r="EF198" t="str">
            <v/>
          </cell>
          <cell r="EH198" t="str">
            <v/>
          </cell>
          <cell r="EI198" t="str">
            <v/>
          </cell>
          <cell r="EJ198" t="str">
            <v/>
          </cell>
          <cell r="EL198" t="str">
            <v/>
          </cell>
          <cell r="EM198" t="str">
            <v/>
          </cell>
          <cell r="EN198" t="str">
            <v/>
          </cell>
          <cell r="EO198" t="str">
            <v/>
          </cell>
          <cell r="EP198" t="str">
            <v/>
          </cell>
          <cell r="EQ198" t="str">
            <v/>
          </cell>
          <cell r="ER198" t="str">
            <v/>
          </cell>
          <cell r="ES198" t="str">
            <v/>
          </cell>
          <cell r="ET198" t="str">
            <v/>
          </cell>
        </row>
        <row r="199">
          <cell r="DO199">
            <v>120</v>
          </cell>
          <cell r="DP199" t="str">
            <v/>
          </cell>
          <cell r="DQ199" t="str">
            <v/>
          </cell>
          <cell r="DR199" t="str">
            <v/>
          </cell>
          <cell r="DS199" t="str">
            <v/>
          </cell>
          <cell r="DT199" t="str">
            <v/>
          </cell>
          <cell r="DU199" t="str">
            <v/>
          </cell>
          <cell r="DV199" t="str">
            <v/>
          </cell>
          <cell r="DW199" t="str">
            <v/>
          </cell>
          <cell r="DX199" t="str">
            <v/>
          </cell>
          <cell r="DY199" t="str">
            <v/>
          </cell>
          <cell r="DZ199" t="str">
            <v/>
          </cell>
          <cell r="EA199" t="str">
            <v/>
          </cell>
          <cell r="EB199" t="str">
            <v/>
          </cell>
          <cell r="EC199" t="str">
            <v/>
          </cell>
          <cell r="ED199" t="str">
            <v/>
          </cell>
          <cell r="EE199" t="str">
            <v/>
          </cell>
          <cell r="EF199" t="str">
            <v/>
          </cell>
          <cell r="EH199" t="str">
            <v/>
          </cell>
          <cell r="EI199" t="str">
            <v/>
          </cell>
          <cell r="EJ199" t="str">
            <v/>
          </cell>
          <cell r="EL199" t="str">
            <v/>
          </cell>
          <cell r="EM199" t="str">
            <v/>
          </cell>
          <cell r="EN199" t="str">
            <v/>
          </cell>
          <cell r="EO199" t="str">
            <v/>
          </cell>
          <cell r="EP199" t="str">
            <v/>
          </cell>
          <cell r="EQ199" t="str">
            <v/>
          </cell>
          <cell r="ER199" t="str">
            <v/>
          </cell>
          <cell r="ES199" t="str">
            <v/>
          </cell>
          <cell r="ET199" t="str">
            <v/>
          </cell>
        </row>
        <row r="200">
          <cell r="DO200">
            <v>121</v>
          </cell>
          <cell r="DP200" t="str">
            <v/>
          </cell>
          <cell r="DQ200" t="str">
            <v/>
          </cell>
          <cell r="DR200" t="str">
            <v/>
          </cell>
          <cell r="DS200" t="str">
            <v/>
          </cell>
          <cell r="DT200" t="str">
            <v/>
          </cell>
          <cell r="DU200" t="str">
            <v/>
          </cell>
          <cell r="DV200" t="str">
            <v/>
          </cell>
          <cell r="DW200" t="str">
            <v/>
          </cell>
          <cell r="DX200" t="str">
            <v/>
          </cell>
          <cell r="DY200" t="str">
            <v/>
          </cell>
          <cell r="DZ200" t="str">
            <v/>
          </cell>
          <cell r="EA200" t="str">
            <v/>
          </cell>
          <cell r="EB200" t="str">
            <v/>
          </cell>
          <cell r="EC200" t="str">
            <v/>
          </cell>
          <cell r="ED200" t="str">
            <v/>
          </cell>
          <cell r="EE200" t="str">
            <v/>
          </cell>
          <cell r="EF200" t="str">
            <v/>
          </cell>
          <cell r="EH200" t="str">
            <v/>
          </cell>
          <cell r="EI200" t="str">
            <v/>
          </cell>
          <cell r="EJ200" t="str">
            <v/>
          </cell>
          <cell r="EL200" t="str">
            <v/>
          </cell>
          <cell r="EM200" t="str">
            <v/>
          </cell>
          <cell r="EN200" t="str">
            <v/>
          </cell>
          <cell r="EO200" t="str">
            <v/>
          </cell>
          <cell r="EP200" t="str">
            <v/>
          </cell>
          <cell r="EQ200" t="str">
            <v/>
          </cell>
          <cell r="ER200" t="str">
            <v/>
          </cell>
          <cell r="ES200" t="str">
            <v/>
          </cell>
          <cell r="ET200" t="str">
            <v/>
          </cell>
        </row>
        <row r="201">
          <cell r="DO201">
            <v>122</v>
          </cell>
          <cell r="DP201" t="str">
            <v/>
          </cell>
          <cell r="DQ201" t="str">
            <v/>
          </cell>
          <cell r="DR201" t="str">
            <v/>
          </cell>
          <cell r="DS201" t="str">
            <v/>
          </cell>
          <cell r="DT201" t="str">
            <v/>
          </cell>
          <cell r="DU201" t="str">
            <v/>
          </cell>
          <cell r="DV201" t="str">
            <v/>
          </cell>
          <cell r="DW201" t="str">
            <v/>
          </cell>
          <cell r="DX201" t="str">
            <v/>
          </cell>
          <cell r="DY201" t="str">
            <v/>
          </cell>
          <cell r="DZ201" t="str">
            <v/>
          </cell>
          <cell r="EA201" t="str">
            <v/>
          </cell>
          <cell r="EB201" t="str">
            <v/>
          </cell>
          <cell r="EC201" t="str">
            <v/>
          </cell>
          <cell r="ED201" t="str">
            <v/>
          </cell>
          <cell r="EE201" t="str">
            <v/>
          </cell>
          <cell r="EF201" t="str">
            <v/>
          </cell>
          <cell r="EH201" t="str">
            <v/>
          </cell>
          <cell r="EI201" t="str">
            <v/>
          </cell>
          <cell r="EJ201" t="str">
            <v/>
          </cell>
          <cell r="EL201" t="str">
            <v/>
          </cell>
          <cell r="EM201" t="str">
            <v/>
          </cell>
          <cell r="EN201" t="str">
            <v/>
          </cell>
          <cell r="EO201" t="str">
            <v/>
          </cell>
          <cell r="EP201" t="str">
            <v/>
          </cell>
          <cell r="EQ201" t="str">
            <v/>
          </cell>
          <cell r="ER201" t="str">
            <v/>
          </cell>
          <cell r="ES201" t="str">
            <v/>
          </cell>
          <cell r="ET201" t="str">
            <v/>
          </cell>
        </row>
        <row r="202">
          <cell r="DO202">
            <v>123</v>
          </cell>
          <cell r="DP202" t="str">
            <v/>
          </cell>
          <cell r="DQ202" t="str">
            <v/>
          </cell>
          <cell r="DR202" t="str">
            <v/>
          </cell>
          <cell r="DS202" t="str">
            <v/>
          </cell>
          <cell r="DT202" t="str">
            <v/>
          </cell>
          <cell r="DU202" t="str">
            <v/>
          </cell>
          <cell r="DV202" t="str">
            <v/>
          </cell>
          <cell r="DW202" t="str">
            <v/>
          </cell>
          <cell r="DX202" t="str">
            <v/>
          </cell>
          <cell r="DY202" t="str">
            <v/>
          </cell>
          <cell r="DZ202" t="str">
            <v/>
          </cell>
          <cell r="EA202" t="str">
            <v/>
          </cell>
          <cell r="EB202" t="str">
            <v/>
          </cell>
          <cell r="EC202" t="str">
            <v/>
          </cell>
          <cell r="ED202" t="str">
            <v/>
          </cell>
          <cell r="EE202" t="str">
            <v/>
          </cell>
          <cell r="EF202" t="str">
            <v/>
          </cell>
          <cell r="EH202" t="str">
            <v/>
          </cell>
          <cell r="EI202" t="str">
            <v/>
          </cell>
          <cell r="EJ202" t="str">
            <v/>
          </cell>
          <cell r="EL202" t="str">
            <v/>
          </cell>
          <cell r="EM202" t="str">
            <v/>
          </cell>
          <cell r="EN202" t="str">
            <v/>
          </cell>
          <cell r="EO202" t="str">
            <v/>
          </cell>
          <cell r="EP202" t="str">
            <v/>
          </cell>
          <cell r="EQ202" t="str">
            <v/>
          </cell>
          <cell r="ER202" t="str">
            <v/>
          </cell>
          <cell r="ES202" t="str">
            <v/>
          </cell>
          <cell r="ET202" t="str">
            <v/>
          </cell>
        </row>
        <row r="203">
          <cell r="DO203">
            <v>124</v>
          </cell>
          <cell r="DP203" t="str">
            <v/>
          </cell>
          <cell r="DQ203" t="str">
            <v/>
          </cell>
          <cell r="DR203" t="str">
            <v/>
          </cell>
          <cell r="DS203" t="str">
            <v/>
          </cell>
          <cell r="DT203" t="str">
            <v/>
          </cell>
          <cell r="DU203" t="str">
            <v/>
          </cell>
          <cell r="DV203" t="str">
            <v/>
          </cell>
          <cell r="DW203" t="str">
            <v/>
          </cell>
          <cell r="DX203" t="str">
            <v/>
          </cell>
          <cell r="DY203" t="str">
            <v/>
          </cell>
          <cell r="DZ203" t="str">
            <v/>
          </cell>
          <cell r="EA203" t="str">
            <v/>
          </cell>
          <cell r="EB203" t="str">
            <v/>
          </cell>
          <cell r="EC203" t="str">
            <v/>
          </cell>
          <cell r="ED203" t="str">
            <v/>
          </cell>
          <cell r="EE203" t="str">
            <v/>
          </cell>
          <cell r="EF203" t="str">
            <v/>
          </cell>
          <cell r="EH203" t="str">
            <v/>
          </cell>
          <cell r="EI203" t="str">
            <v/>
          </cell>
          <cell r="EJ203" t="str">
            <v/>
          </cell>
          <cell r="EL203" t="str">
            <v/>
          </cell>
          <cell r="EM203" t="str">
            <v/>
          </cell>
          <cell r="EN203" t="str">
            <v/>
          </cell>
          <cell r="EO203" t="str">
            <v/>
          </cell>
          <cell r="EP203" t="str">
            <v/>
          </cell>
          <cell r="EQ203" t="str">
            <v/>
          </cell>
          <cell r="ER203" t="str">
            <v/>
          </cell>
          <cell r="ES203" t="str">
            <v/>
          </cell>
          <cell r="ET203" t="str">
            <v/>
          </cell>
        </row>
        <row r="204">
          <cell r="DO204">
            <v>125</v>
          </cell>
          <cell r="DP204" t="str">
            <v/>
          </cell>
          <cell r="DQ204" t="str">
            <v/>
          </cell>
          <cell r="DR204" t="str">
            <v/>
          </cell>
          <cell r="DS204" t="str">
            <v/>
          </cell>
          <cell r="DT204" t="str">
            <v/>
          </cell>
          <cell r="DU204" t="str">
            <v/>
          </cell>
          <cell r="DV204" t="str">
            <v/>
          </cell>
          <cell r="DW204" t="str">
            <v/>
          </cell>
          <cell r="DX204" t="str">
            <v/>
          </cell>
          <cell r="DY204" t="str">
            <v/>
          </cell>
          <cell r="DZ204" t="str">
            <v/>
          </cell>
          <cell r="EA204" t="str">
            <v/>
          </cell>
          <cell r="EB204" t="str">
            <v/>
          </cell>
          <cell r="EC204" t="str">
            <v/>
          </cell>
          <cell r="ED204" t="str">
            <v/>
          </cell>
          <cell r="EE204" t="str">
            <v/>
          </cell>
          <cell r="EF204" t="str">
            <v/>
          </cell>
          <cell r="EH204" t="str">
            <v/>
          </cell>
          <cell r="EI204" t="str">
            <v/>
          </cell>
          <cell r="EJ204" t="str">
            <v/>
          </cell>
          <cell r="EL204" t="str">
            <v/>
          </cell>
          <cell r="EM204" t="str">
            <v/>
          </cell>
          <cell r="EN204" t="str">
            <v/>
          </cell>
          <cell r="EO204" t="str">
            <v/>
          </cell>
          <cell r="EP204" t="str">
            <v/>
          </cell>
          <cell r="EQ204" t="str">
            <v/>
          </cell>
          <cell r="ER204" t="str">
            <v/>
          </cell>
          <cell r="ES204" t="str">
            <v/>
          </cell>
          <cell r="ET204" t="str">
            <v/>
          </cell>
        </row>
        <row r="205">
          <cell r="DO205">
            <v>126</v>
          </cell>
          <cell r="DP205" t="str">
            <v/>
          </cell>
          <cell r="DQ205" t="str">
            <v/>
          </cell>
          <cell r="DR205" t="str">
            <v/>
          </cell>
          <cell r="DS205" t="str">
            <v/>
          </cell>
          <cell r="DT205" t="str">
            <v/>
          </cell>
          <cell r="DU205" t="str">
            <v/>
          </cell>
          <cell r="DV205" t="str">
            <v/>
          </cell>
          <cell r="DW205" t="str">
            <v/>
          </cell>
          <cell r="DX205" t="str">
            <v/>
          </cell>
          <cell r="DY205" t="str">
            <v/>
          </cell>
          <cell r="DZ205" t="str">
            <v/>
          </cell>
          <cell r="EA205" t="str">
            <v/>
          </cell>
          <cell r="EB205" t="str">
            <v/>
          </cell>
          <cell r="EC205" t="str">
            <v/>
          </cell>
          <cell r="ED205" t="str">
            <v/>
          </cell>
          <cell r="EE205" t="str">
            <v/>
          </cell>
          <cell r="EF205" t="str">
            <v/>
          </cell>
          <cell r="EH205" t="str">
            <v/>
          </cell>
          <cell r="EI205" t="str">
            <v/>
          </cell>
          <cell r="EJ205" t="str">
            <v/>
          </cell>
          <cell r="EL205" t="str">
            <v/>
          </cell>
          <cell r="EM205" t="str">
            <v/>
          </cell>
          <cell r="EN205" t="str">
            <v/>
          </cell>
          <cell r="EO205" t="str">
            <v/>
          </cell>
          <cell r="EP205" t="str">
            <v/>
          </cell>
          <cell r="EQ205" t="str">
            <v/>
          </cell>
          <cell r="ER205" t="str">
            <v/>
          </cell>
          <cell r="ES205" t="str">
            <v/>
          </cell>
          <cell r="ET205" t="str">
            <v/>
          </cell>
        </row>
        <row r="206">
          <cell r="DO206">
            <v>127</v>
          </cell>
          <cell r="DP206" t="str">
            <v/>
          </cell>
          <cell r="DQ206" t="str">
            <v/>
          </cell>
          <cell r="DR206" t="str">
            <v/>
          </cell>
          <cell r="DS206" t="str">
            <v/>
          </cell>
          <cell r="DT206" t="str">
            <v/>
          </cell>
          <cell r="DU206" t="str">
            <v/>
          </cell>
          <cell r="DV206" t="str">
            <v/>
          </cell>
          <cell r="DW206" t="str">
            <v/>
          </cell>
          <cell r="DX206" t="str">
            <v/>
          </cell>
          <cell r="DY206" t="str">
            <v/>
          </cell>
          <cell r="DZ206" t="str">
            <v/>
          </cell>
          <cell r="EA206" t="str">
            <v/>
          </cell>
          <cell r="EB206" t="str">
            <v/>
          </cell>
          <cell r="EC206" t="str">
            <v/>
          </cell>
          <cell r="ED206" t="str">
            <v/>
          </cell>
          <cell r="EE206" t="str">
            <v/>
          </cell>
          <cell r="EF206" t="str">
            <v/>
          </cell>
          <cell r="EH206" t="str">
            <v/>
          </cell>
          <cell r="EI206" t="str">
            <v/>
          </cell>
          <cell r="EJ206" t="str">
            <v/>
          </cell>
          <cell r="EL206" t="str">
            <v/>
          </cell>
          <cell r="EM206" t="str">
            <v/>
          </cell>
          <cell r="EN206" t="str">
            <v/>
          </cell>
          <cell r="EO206" t="str">
            <v/>
          </cell>
          <cell r="EP206" t="str">
            <v/>
          </cell>
          <cell r="EQ206" t="str">
            <v/>
          </cell>
          <cell r="ER206" t="str">
            <v/>
          </cell>
          <cell r="ES206" t="str">
            <v/>
          </cell>
          <cell r="ET206" t="str">
            <v/>
          </cell>
        </row>
        <row r="207">
          <cell r="DO207">
            <v>128</v>
          </cell>
          <cell r="DP207" t="str">
            <v/>
          </cell>
          <cell r="DQ207" t="str">
            <v/>
          </cell>
          <cell r="DR207" t="str">
            <v/>
          </cell>
          <cell r="DS207" t="str">
            <v/>
          </cell>
          <cell r="DT207" t="str">
            <v/>
          </cell>
          <cell r="DU207" t="str">
            <v/>
          </cell>
          <cell r="DV207" t="str">
            <v/>
          </cell>
          <cell r="DW207" t="str">
            <v/>
          </cell>
          <cell r="DX207" t="str">
            <v/>
          </cell>
          <cell r="DY207" t="str">
            <v/>
          </cell>
          <cell r="DZ207" t="str">
            <v/>
          </cell>
          <cell r="EA207" t="str">
            <v/>
          </cell>
          <cell r="EB207" t="str">
            <v/>
          </cell>
          <cell r="EC207" t="str">
            <v/>
          </cell>
          <cell r="ED207" t="str">
            <v/>
          </cell>
          <cell r="EE207" t="str">
            <v/>
          </cell>
          <cell r="EF207" t="str">
            <v/>
          </cell>
          <cell r="EH207" t="str">
            <v/>
          </cell>
          <cell r="EI207" t="str">
            <v/>
          </cell>
          <cell r="EJ207" t="str">
            <v/>
          </cell>
          <cell r="EL207" t="str">
            <v/>
          </cell>
          <cell r="EM207" t="str">
            <v/>
          </cell>
          <cell r="EN207" t="str">
            <v/>
          </cell>
          <cell r="EO207" t="str">
            <v/>
          </cell>
          <cell r="EP207" t="str">
            <v/>
          </cell>
          <cell r="EQ207" t="str">
            <v/>
          </cell>
          <cell r="ER207" t="str">
            <v/>
          </cell>
          <cell r="ES207" t="str">
            <v/>
          </cell>
          <cell r="ET207" t="str">
            <v/>
          </cell>
        </row>
        <row r="208">
          <cell r="DO208">
            <v>129</v>
          </cell>
          <cell r="DP208" t="str">
            <v/>
          </cell>
          <cell r="DQ208" t="str">
            <v/>
          </cell>
          <cell r="DR208" t="str">
            <v/>
          </cell>
          <cell r="DS208" t="str">
            <v/>
          </cell>
          <cell r="DT208" t="str">
            <v/>
          </cell>
          <cell r="DU208" t="str">
            <v/>
          </cell>
          <cell r="DV208" t="str">
            <v/>
          </cell>
          <cell r="DW208" t="str">
            <v/>
          </cell>
          <cell r="DX208" t="str">
            <v/>
          </cell>
          <cell r="DY208" t="str">
            <v/>
          </cell>
          <cell r="DZ208" t="str">
            <v/>
          </cell>
          <cell r="EA208" t="str">
            <v/>
          </cell>
          <cell r="EB208" t="str">
            <v/>
          </cell>
          <cell r="EC208" t="str">
            <v/>
          </cell>
          <cell r="ED208" t="str">
            <v/>
          </cell>
          <cell r="EE208" t="str">
            <v/>
          </cell>
          <cell r="EF208" t="str">
            <v/>
          </cell>
          <cell r="EH208" t="str">
            <v/>
          </cell>
          <cell r="EI208" t="str">
            <v/>
          </cell>
          <cell r="EJ208" t="str">
            <v/>
          </cell>
          <cell r="EL208" t="str">
            <v/>
          </cell>
          <cell r="EM208" t="str">
            <v/>
          </cell>
          <cell r="EN208" t="str">
            <v/>
          </cell>
          <cell r="EO208" t="str">
            <v/>
          </cell>
          <cell r="EP208" t="str">
            <v/>
          </cell>
          <cell r="EQ208" t="str">
            <v/>
          </cell>
          <cell r="ER208" t="str">
            <v/>
          </cell>
          <cell r="ES208" t="str">
            <v/>
          </cell>
          <cell r="ET208" t="str">
            <v/>
          </cell>
        </row>
        <row r="209">
          <cell r="DO209">
            <v>130</v>
          </cell>
          <cell r="DP209" t="str">
            <v/>
          </cell>
          <cell r="DQ209" t="str">
            <v/>
          </cell>
          <cell r="DR209" t="str">
            <v/>
          </cell>
          <cell r="DS209" t="str">
            <v/>
          </cell>
          <cell r="DT209" t="str">
            <v/>
          </cell>
          <cell r="DU209" t="str">
            <v/>
          </cell>
          <cell r="DV209" t="str">
            <v/>
          </cell>
          <cell r="DW209" t="str">
            <v/>
          </cell>
          <cell r="DX209" t="str">
            <v/>
          </cell>
          <cell r="DY209" t="str">
            <v/>
          </cell>
          <cell r="DZ209" t="str">
            <v/>
          </cell>
          <cell r="EA209" t="str">
            <v/>
          </cell>
          <cell r="EB209" t="str">
            <v/>
          </cell>
          <cell r="EC209" t="str">
            <v/>
          </cell>
          <cell r="ED209" t="str">
            <v/>
          </cell>
          <cell r="EE209" t="str">
            <v/>
          </cell>
          <cell r="EF209" t="str">
            <v/>
          </cell>
          <cell r="EH209" t="str">
            <v/>
          </cell>
          <cell r="EI209" t="str">
            <v/>
          </cell>
          <cell r="EJ209" t="str">
            <v/>
          </cell>
          <cell r="EL209" t="str">
            <v/>
          </cell>
          <cell r="EM209" t="str">
            <v/>
          </cell>
          <cell r="EN209" t="str">
            <v/>
          </cell>
          <cell r="EO209" t="str">
            <v/>
          </cell>
          <cell r="EP209" t="str">
            <v/>
          </cell>
          <cell r="EQ209" t="str">
            <v/>
          </cell>
          <cell r="ER209" t="str">
            <v/>
          </cell>
          <cell r="ES209" t="str">
            <v/>
          </cell>
          <cell r="ET209" t="str">
            <v/>
          </cell>
        </row>
        <row r="210">
          <cell r="DO210">
            <v>131</v>
          </cell>
          <cell r="DP210" t="str">
            <v/>
          </cell>
          <cell r="DQ210" t="str">
            <v/>
          </cell>
          <cell r="DR210" t="str">
            <v/>
          </cell>
          <cell r="DS210" t="str">
            <v/>
          </cell>
          <cell r="DT210" t="str">
            <v/>
          </cell>
          <cell r="DU210" t="str">
            <v/>
          </cell>
          <cell r="DV210" t="str">
            <v/>
          </cell>
          <cell r="DW210" t="str">
            <v/>
          </cell>
          <cell r="DX210" t="str">
            <v/>
          </cell>
          <cell r="DY210" t="str">
            <v/>
          </cell>
          <cell r="DZ210" t="str">
            <v/>
          </cell>
          <cell r="EA210" t="str">
            <v/>
          </cell>
          <cell r="EB210" t="str">
            <v/>
          </cell>
          <cell r="EC210" t="str">
            <v/>
          </cell>
          <cell r="ED210" t="str">
            <v/>
          </cell>
          <cell r="EE210" t="str">
            <v/>
          </cell>
          <cell r="EF210" t="str">
            <v/>
          </cell>
          <cell r="EH210" t="str">
            <v/>
          </cell>
          <cell r="EI210" t="str">
            <v/>
          </cell>
          <cell r="EJ210" t="str">
            <v/>
          </cell>
          <cell r="EL210" t="str">
            <v/>
          </cell>
          <cell r="EM210" t="str">
            <v/>
          </cell>
          <cell r="EN210" t="str">
            <v/>
          </cell>
          <cell r="EO210" t="str">
            <v/>
          </cell>
          <cell r="EP210" t="str">
            <v/>
          </cell>
          <cell r="EQ210" t="str">
            <v/>
          </cell>
          <cell r="ER210" t="str">
            <v/>
          </cell>
          <cell r="ES210" t="str">
            <v/>
          </cell>
          <cell r="ET210" t="str">
            <v/>
          </cell>
        </row>
        <row r="211">
          <cell r="DO211">
            <v>132</v>
          </cell>
          <cell r="DP211" t="str">
            <v/>
          </cell>
          <cell r="DQ211" t="str">
            <v/>
          </cell>
          <cell r="DR211" t="str">
            <v/>
          </cell>
          <cell r="DS211" t="str">
            <v/>
          </cell>
          <cell r="DT211" t="str">
            <v/>
          </cell>
          <cell r="DU211" t="str">
            <v/>
          </cell>
          <cell r="DV211" t="str">
            <v/>
          </cell>
          <cell r="DW211" t="str">
            <v/>
          </cell>
          <cell r="DX211" t="str">
            <v/>
          </cell>
          <cell r="DY211" t="str">
            <v/>
          </cell>
          <cell r="DZ211" t="str">
            <v/>
          </cell>
          <cell r="EA211" t="str">
            <v/>
          </cell>
          <cell r="EB211" t="str">
            <v/>
          </cell>
          <cell r="EC211" t="str">
            <v/>
          </cell>
          <cell r="ED211" t="str">
            <v/>
          </cell>
          <cell r="EE211" t="str">
            <v/>
          </cell>
          <cell r="EF211" t="str">
            <v/>
          </cell>
          <cell r="EH211" t="str">
            <v/>
          </cell>
          <cell r="EI211" t="str">
            <v/>
          </cell>
          <cell r="EJ211" t="str">
            <v/>
          </cell>
          <cell r="EL211" t="str">
            <v/>
          </cell>
          <cell r="EM211" t="str">
            <v/>
          </cell>
          <cell r="EN211" t="str">
            <v/>
          </cell>
          <cell r="EO211" t="str">
            <v/>
          </cell>
          <cell r="EP211" t="str">
            <v/>
          </cell>
          <cell r="EQ211" t="str">
            <v/>
          </cell>
          <cell r="ER211" t="str">
            <v/>
          </cell>
          <cell r="ES211" t="str">
            <v/>
          </cell>
          <cell r="ET211" t="str">
            <v/>
          </cell>
        </row>
        <row r="212">
          <cell r="DO212">
            <v>133</v>
          </cell>
          <cell r="DP212" t="str">
            <v/>
          </cell>
          <cell r="DQ212" t="str">
            <v/>
          </cell>
          <cell r="DR212" t="str">
            <v/>
          </cell>
          <cell r="DS212" t="str">
            <v/>
          </cell>
          <cell r="DT212" t="str">
            <v/>
          </cell>
          <cell r="DU212" t="str">
            <v/>
          </cell>
          <cell r="DV212" t="str">
            <v/>
          </cell>
          <cell r="DW212" t="str">
            <v/>
          </cell>
          <cell r="DX212" t="str">
            <v/>
          </cell>
          <cell r="DY212" t="str">
            <v/>
          </cell>
          <cell r="DZ212" t="str">
            <v/>
          </cell>
          <cell r="EA212" t="str">
            <v/>
          </cell>
          <cell r="EB212" t="str">
            <v/>
          </cell>
          <cell r="EC212" t="str">
            <v/>
          </cell>
          <cell r="ED212" t="str">
            <v/>
          </cell>
          <cell r="EE212" t="str">
            <v/>
          </cell>
          <cell r="EF212" t="str">
            <v/>
          </cell>
          <cell r="EH212" t="str">
            <v/>
          </cell>
          <cell r="EI212" t="str">
            <v/>
          </cell>
          <cell r="EJ212" t="str">
            <v/>
          </cell>
          <cell r="EL212" t="str">
            <v/>
          </cell>
          <cell r="EM212" t="str">
            <v/>
          </cell>
          <cell r="EN212" t="str">
            <v/>
          </cell>
          <cell r="EO212" t="str">
            <v/>
          </cell>
          <cell r="EP212" t="str">
            <v/>
          </cell>
          <cell r="EQ212" t="str">
            <v/>
          </cell>
          <cell r="ER212" t="str">
            <v/>
          </cell>
          <cell r="ES212" t="str">
            <v/>
          </cell>
          <cell r="ET212" t="str">
            <v/>
          </cell>
        </row>
        <row r="213">
          <cell r="DO213">
            <v>134</v>
          </cell>
          <cell r="DP213" t="str">
            <v/>
          </cell>
          <cell r="DQ213" t="str">
            <v/>
          </cell>
          <cell r="DR213" t="str">
            <v/>
          </cell>
          <cell r="DS213" t="str">
            <v/>
          </cell>
          <cell r="DT213" t="str">
            <v/>
          </cell>
          <cell r="DU213" t="str">
            <v/>
          </cell>
          <cell r="DV213" t="str">
            <v/>
          </cell>
          <cell r="DW213" t="str">
            <v/>
          </cell>
          <cell r="DX213" t="str">
            <v/>
          </cell>
          <cell r="DY213" t="str">
            <v/>
          </cell>
          <cell r="DZ213" t="str">
            <v/>
          </cell>
          <cell r="EA213" t="str">
            <v/>
          </cell>
          <cell r="EB213" t="str">
            <v/>
          </cell>
          <cell r="EC213" t="str">
            <v/>
          </cell>
          <cell r="ED213" t="str">
            <v/>
          </cell>
          <cell r="EE213" t="str">
            <v/>
          </cell>
          <cell r="EF213" t="str">
            <v/>
          </cell>
          <cell r="EH213" t="str">
            <v/>
          </cell>
          <cell r="EI213" t="str">
            <v/>
          </cell>
          <cell r="EJ213" t="str">
            <v/>
          </cell>
          <cell r="EL213" t="str">
            <v/>
          </cell>
          <cell r="EM213" t="str">
            <v/>
          </cell>
          <cell r="EN213" t="str">
            <v/>
          </cell>
          <cell r="EO213" t="str">
            <v/>
          </cell>
          <cell r="EP213" t="str">
            <v/>
          </cell>
          <cell r="EQ213" t="str">
            <v/>
          </cell>
          <cell r="ER213" t="str">
            <v/>
          </cell>
          <cell r="ES213" t="str">
            <v/>
          </cell>
          <cell r="ET213" t="str">
            <v/>
          </cell>
        </row>
        <row r="214">
          <cell r="DO214">
            <v>135</v>
          </cell>
          <cell r="DP214" t="str">
            <v/>
          </cell>
          <cell r="DQ214" t="str">
            <v/>
          </cell>
          <cell r="DR214" t="str">
            <v/>
          </cell>
          <cell r="DS214" t="str">
            <v/>
          </cell>
          <cell r="DT214" t="str">
            <v/>
          </cell>
          <cell r="DU214" t="str">
            <v/>
          </cell>
          <cell r="DV214" t="str">
            <v/>
          </cell>
          <cell r="DW214" t="str">
            <v/>
          </cell>
          <cell r="DX214" t="str">
            <v/>
          </cell>
          <cell r="DY214" t="str">
            <v/>
          </cell>
          <cell r="DZ214" t="str">
            <v/>
          </cell>
          <cell r="EA214" t="str">
            <v/>
          </cell>
          <cell r="EB214" t="str">
            <v/>
          </cell>
          <cell r="EC214" t="str">
            <v/>
          </cell>
          <cell r="ED214" t="str">
            <v/>
          </cell>
          <cell r="EE214" t="str">
            <v/>
          </cell>
          <cell r="EF214" t="str">
            <v/>
          </cell>
          <cell r="EH214" t="str">
            <v/>
          </cell>
          <cell r="EI214" t="str">
            <v/>
          </cell>
          <cell r="EJ214" t="str">
            <v/>
          </cell>
          <cell r="EL214" t="str">
            <v/>
          </cell>
          <cell r="EM214" t="str">
            <v/>
          </cell>
          <cell r="EN214" t="str">
            <v/>
          </cell>
          <cell r="EO214" t="str">
            <v/>
          </cell>
          <cell r="EP214" t="str">
            <v/>
          </cell>
          <cell r="EQ214" t="str">
            <v/>
          </cell>
          <cell r="ER214" t="str">
            <v/>
          </cell>
          <cell r="ES214" t="str">
            <v/>
          </cell>
          <cell r="ET214" t="str">
            <v/>
          </cell>
        </row>
        <row r="215">
          <cell r="DO215">
            <v>136</v>
          </cell>
          <cell r="DP215" t="str">
            <v/>
          </cell>
          <cell r="DQ215" t="str">
            <v/>
          </cell>
          <cell r="DR215" t="str">
            <v/>
          </cell>
          <cell r="DS215" t="str">
            <v/>
          </cell>
          <cell r="DT215" t="str">
            <v/>
          </cell>
          <cell r="DU215" t="str">
            <v/>
          </cell>
          <cell r="DV215" t="str">
            <v/>
          </cell>
          <cell r="DW215" t="str">
            <v/>
          </cell>
          <cell r="DX215" t="str">
            <v/>
          </cell>
          <cell r="DY215" t="str">
            <v/>
          </cell>
          <cell r="DZ215" t="str">
            <v/>
          </cell>
          <cell r="EA215" t="str">
            <v/>
          </cell>
          <cell r="EB215" t="str">
            <v/>
          </cell>
          <cell r="EC215" t="str">
            <v/>
          </cell>
          <cell r="ED215" t="str">
            <v/>
          </cell>
          <cell r="EE215" t="str">
            <v/>
          </cell>
          <cell r="EF215" t="str">
            <v/>
          </cell>
          <cell r="EH215" t="str">
            <v/>
          </cell>
          <cell r="EI215" t="str">
            <v/>
          </cell>
          <cell r="EJ215" t="str">
            <v/>
          </cell>
          <cell r="EL215" t="str">
            <v/>
          </cell>
          <cell r="EM215" t="str">
            <v/>
          </cell>
          <cell r="EN215" t="str">
            <v/>
          </cell>
          <cell r="EO215" t="str">
            <v/>
          </cell>
          <cell r="EP215" t="str">
            <v/>
          </cell>
          <cell r="EQ215" t="str">
            <v/>
          </cell>
          <cell r="ER215" t="str">
            <v/>
          </cell>
          <cell r="ES215" t="str">
            <v/>
          </cell>
          <cell r="ET215" t="str">
            <v/>
          </cell>
        </row>
        <row r="216">
          <cell r="DO216">
            <v>137</v>
          </cell>
          <cell r="DP216" t="str">
            <v/>
          </cell>
          <cell r="DQ216" t="str">
            <v/>
          </cell>
          <cell r="DR216" t="str">
            <v/>
          </cell>
          <cell r="DS216" t="str">
            <v/>
          </cell>
          <cell r="DT216" t="str">
            <v/>
          </cell>
          <cell r="DU216" t="str">
            <v/>
          </cell>
          <cell r="DV216" t="str">
            <v/>
          </cell>
          <cell r="DW216" t="str">
            <v/>
          </cell>
          <cell r="DX216" t="str">
            <v/>
          </cell>
          <cell r="DY216" t="str">
            <v/>
          </cell>
          <cell r="DZ216" t="str">
            <v/>
          </cell>
          <cell r="EA216" t="str">
            <v/>
          </cell>
          <cell r="EB216" t="str">
            <v/>
          </cell>
          <cell r="EC216" t="str">
            <v/>
          </cell>
          <cell r="ED216" t="str">
            <v/>
          </cell>
          <cell r="EE216" t="str">
            <v/>
          </cell>
          <cell r="EF216" t="str">
            <v/>
          </cell>
          <cell r="EH216" t="str">
            <v/>
          </cell>
          <cell r="EI216" t="str">
            <v/>
          </cell>
          <cell r="EJ216" t="str">
            <v/>
          </cell>
          <cell r="EL216" t="str">
            <v/>
          </cell>
          <cell r="EM216" t="str">
            <v/>
          </cell>
          <cell r="EN216" t="str">
            <v/>
          </cell>
          <cell r="EO216" t="str">
            <v/>
          </cell>
          <cell r="EP216" t="str">
            <v/>
          </cell>
          <cell r="EQ216" t="str">
            <v/>
          </cell>
          <cell r="ER216" t="str">
            <v/>
          </cell>
          <cell r="ES216" t="str">
            <v/>
          </cell>
          <cell r="ET216" t="str">
            <v/>
          </cell>
        </row>
        <row r="217">
          <cell r="DO217">
            <v>138</v>
          </cell>
          <cell r="DP217" t="str">
            <v/>
          </cell>
          <cell r="DQ217" t="str">
            <v/>
          </cell>
          <cell r="DR217" t="str">
            <v/>
          </cell>
          <cell r="DS217" t="str">
            <v/>
          </cell>
          <cell r="DT217" t="str">
            <v/>
          </cell>
          <cell r="DU217" t="str">
            <v/>
          </cell>
          <cell r="DV217" t="str">
            <v/>
          </cell>
          <cell r="DW217" t="str">
            <v/>
          </cell>
          <cell r="DX217" t="str">
            <v/>
          </cell>
          <cell r="DY217" t="str">
            <v/>
          </cell>
          <cell r="DZ217" t="str">
            <v/>
          </cell>
          <cell r="EA217" t="str">
            <v/>
          </cell>
          <cell r="EB217" t="str">
            <v/>
          </cell>
          <cell r="EC217" t="str">
            <v/>
          </cell>
          <cell r="ED217" t="str">
            <v/>
          </cell>
          <cell r="EE217" t="str">
            <v/>
          </cell>
          <cell r="EF217" t="str">
            <v/>
          </cell>
          <cell r="EH217" t="str">
            <v/>
          </cell>
          <cell r="EI217" t="str">
            <v/>
          </cell>
          <cell r="EJ217" t="str">
            <v/>
          </cell>
          <cell r="EL217" t="str">
            <v/>
          </cell>
          <cell r="EM217" t="str">
            <v/>
          </cell>
          <cell r="EN217" t="str">
            <v/>
          </cell>
          <cell r="EO217" t="str">
            <v/>
          </cell>
          <cell r="EP217" t="str">
            <v/>
          </cell>
          <cell r="EQ217" t="str">
            <v/>
          </cell>
          <cell r="ER217" t="str">
            <v/>
          </cell>
          <cell r="ES217" t="str">
            <v/>
          </cell>
          <cell r="ET217" t="str">
            <v/>
          </cell>
        </row>
        <row r="218">
          <cell r="DO218">
            <v>139</v>
          </cell>
          <cell r="DP218" t="str">
            <v/>
          </cell>
          <cell r="DQ218" t="str">
            <v/>
          </cell>
          <cell r="DR218" t="str">
            <v/>
          </cell>
          <cell r="DS218" t="str">
            <v/>
          </cell>
          <cell r="DT218" t="str">
            <v/>
          </cell>
          <cell r="DU218" t="str">
            <v/>
          </cell>
          <cell r="DV218" t="str">
            <v/>
          </cell>
          <cell r="DW218" t="str">
            <v/>
          </cell>
          <cell r="DX218" t="str">
            <v/>
          </cell>
          <cell r="DY218" t="str">
            <v/>
          </cell>
          <cell r="DZ218" t="str">
            <v/>
          </cell>
          <cell r="EA218" t="str">
            <v/>
          </cell>
          <cell r="EB218" t="str">
            <v/>
          </cell>
          <cell r="EC218" t="str">
            <v/>
          </cell>
          <cell r="ED218" t="str">
            <v/>
          </cell>
          <cell r="EE218" t="str">
            <v/>
          </cell>
          <cell r="EF218" t="str">
            <v/>
          </cell>
          <cell r="EH218" t="str">
            <v/>
          </cell>
          <cell r="EI218" t="str">
            <v/>
          </cell>
          <cell r="EJ218" t="str">
            <v/>
          </cell>
          <cell r="EL218" t="str">
            <v/>
          </cell>
          <cell r="EM218" t="str">
            <v/>
          </cell>
          <cell r="EN218" t="str">
            <v/>
          </cell>
          <cell r="EO218" t="str">
            <v/>
          </cell>
          <cell r="EP218" t="str">
            <v/>
          </cell>
          <cell r="EQ218" t="str">
            <v/>
          </cell>
          <cell r="ER218" t="str">
            <v/>
          </cell>
          <cell r="ES218" t="str">
            <v/>
          </cell>
          <cell r="ET218" t="str">
            <v/>
          </cell>
        </row>
        <row r="219">
          <cell r="DO219">
            <v>140</v>
          </cell>
          <cell r="DP219" t="str">
            <v/>
          </cell>
          <cell r="DQ219" t="str">
            <v/>
          </cell>
          <cell r="DR219" t="str">
            <v/>
          </cell>
          <cell r="DS219" t="str">
            <v/>
          </cell>
          <cell r="DT219" t="str">
            <v/>
          </cell>
          <cell r="DU219" t="str">
            <v/>
          </cell>
          <cell r="DV219" t="str">
            <v/>
          </cell>
          <cell r="DW219" t="str">
            <v/>
          </cell>
          <cell r="DX219" t="str">
            <v/>
          </cell>
          <cell r="DY219" t="str">
            <v/>
          </cell>
          <cell r="DZ219" t="str">
            <v/>
          </cell>
          <cell r="EA219" t="str">
            <v/>
          </cell>
          <cell r="EB219" t="str">
            <v/>
          </cell>
          <cell r="EC219" t="str">
            <v/>
          </cell>
          <cell r="ED219" t="str">
            <v/>
          </cell>
          <cell r="EE219" t="str">
            <v/>
          </cell>
          <cell r="EF219" t="str">
            <v/>
          </cell>
          <cell r="EH219" t="str">
            <v/>
          </cell>
          <cell r="EI219" t="str">
            <v/>
          </cell>
          <cell r="EJ219" t="str">
            <v/>
          </cell>
          <cell r="EL219" t="str">
            <v/>
          </cell>
          <cell r="EM219" t="str">
            <v/>
          </cell>
          <cell r="EN219" t="str">
            <v/>
          </cell>
          <cell r="EO219" t="str">
            <v/>
          </cell>
          <cell r="EP219" t="str">
            <v/>
          </cell>
          <cell r="EQ219" t="str">
            <v/>
          </cell>
          <cell r="ER219" t="str">
            <v/>
          </cell>
          <cell r="ES219" t="str">
            <v/>
          </cell>
          <cell r="ET219" t="str">
            <v/>
          </cell>
        </row>
        <row r="220">
          <cell r="DO220">
            <v>141</v>
          </cell>
          <cell r="DP220" t="str">
            <v/>
          </cell>
          <cell r="DQ220" t="str">
            <v/>
          </cell>
          <cell r="DR220" t="str">
            <v/>
          </cell>
          <cell r="DS220" t="str">
            <v/>
          </cell>
          <cell r="DT220" t="str">
            <v/>
          </cell>
          <cell r="DU220" t="str">
            <v/>
          </cell>
          <cell r="DV220" t="str">
            <v/>
          </cell>
          <cell r="DW220" t="str">
            <v/>
          </cell>
          <cell r="DX220" t="str">
            <v/>
          </cell>
          <cell r="DY220" t="str">
            <v/>
          </cell>
          <cell r="DZ220" t="str">
            <v/>
          </cell>
          <cell r="EA220" t="str">
            <v/>
          </cell>
          <cell r="EB220" t="str">
            <v/>
          </cell>
          <cell r="EC220" t="str">
            <v/>
          </cell>
          <cell r="ED220" t="str">
            <v/>
          </cell>
          <cell r="EE220" t="str">
            <v/>
          </cell>
          <cell r="EF220" t="str">
            <v/>
          </cell>
          <cell r="EH220" t="str">
            <v/>
          </cell>
          <cell r="EI220" t="str">
            <v/>
          </cell>
          <cell r="EJ220" t="str">
            <v/>
          </cell>
          <cell r="EL220" t="str">
            <v/>
          </cell>
          <cell r="EM220" t="str">
            <v/>
          </cell>
          <cell r="EN220" t="str">
            <v/>
          </cell>
          <cell r="EO220" t="str">
            <v/>
          </cell>
          <cell r="EP220" t="str">
            <v/>
          </cell>
          <cell r="EQ220" t="str">
            <v/>
          </cell>
          <cell r="ER220" t="str">
            <v/>
          </cell>
          <cell r="ES220" t="str">
            <v/>
          </cell>
          <cell r="ET220" t="str">
            <v/>
          </cell>
        </row>
        <row r="221">
          <cell r="DO221">
            <v>142</v>
          </cell>
          <cell r="DP221" t="str">
            <v/>
          </cell>
          <cell r="DQ221" t="str">
            <v/>
          </cell>
          <cell r="DR221" t="str">
            <v/>
          </cell>
          <cell r="DS221" t="str">
            <v/>
          </cell>
          <cell r="DT221" t="str">
            <v/>
          </cell>
          <cell r="DU221" t="str">
            <v/>
          </cell>
          <cell r="DV221" t="str">
            <v/>
          </cell>
          <cell r="DW221" t="str">
            <v/>
          </cell>
          <cell r="DX221" t="str">
            <v/>
          </cell>
          <cell r="DY221" t="str">
            <v/>
          </cell>
          <cell r="DZ221" t="str">
            <v/>
          </cell>
          <cell r="EA221" t="str">
            <v/>
          </cell>
          <cell r="EB221" t="str">
            <v/>
          </cell>
          <cell r="EC221" t="str">
            <v/>
          </cell>
          <cell r="ED221" t="str">
            <v/>
          </cell>
          <cell r="EE221" t="str">
            <v/>
          </cell>
          <cell r="EF221" t="str">
            <v/>
          </cell>
          <cell r="EH221" t="str">
            <v/>
          </cell>
          <cell r="EI221" t="str">
            <v/>
          </cell>
          <cell r="EJ221" t="str">
            <v/>
          </cell>
          <cell r="EL221" t="str">
            <v/>
          </cell>
          <cell r="EM221" t="str">
            <v/>
          </cell>
          <cell r="EN221" t="str">
            <v/>
          </cell>
          <cell r="EO221" t="str">
            <v/>
          </cell>
          <cell r="EP221" t="str">
            <v/>
          </cell>
          <cell r="EQ221" t="str">
            <v/>
          </cell>
          <cell r="ER221" t="str">
            <v/>
          </cell>
          <cell r="ES221" t="str">
            <v/>
          </cell>
          <cell r="ET221" t="str">
            <v/>
          </cell>
        </row>
        <row r="222">
          <cell r="DO222">
            <v>143</v>
          </cell>
          <cell r="DP222" t="str">
            <v/>
          </cell>
          <cell r="DQ222" t="str">
            <v/>
          </cell>
          <cell r="DR222" t="str">
            <v/>
          </cell>
          <cell r="DS222" t="str">
            <v/>
          </cell>
          <cell r="DT222" t="str">
            <v/>
          </cell>
          <cell r="DU222" t="str">
            <v/>
          </cell>
          <cell r="DV222" t="str">
            <v/>
          </cell>
          <cell r="DW222" t="str">
            <v/>
          </cell>
          <cell r="DX222" t="str">
            <v/>
          </cell>
          <cell r="DY222" t="str">
            <v/>
          </cell>
          <cell r="DZ222" t="str">
            <v/>
          </cell>
          <cell r="EA222" t="str">
            <v/>
          </cell>
          <cell r="EB222" t="str">
            <v/>
          </cell>
          <cell r="EC222" t="str">
            <v/>
          </cell>
          <cell r="ED222" t="str">
            <v/>
          </cell>
          <cell r="EE222" t="str">
            <v/>
          </cell>
          <cell r="EF222" t="str">
            <v/>
          </cell>
          <cell r="EH222" t="str">
            <v/>
          </cell>
          <cell r="EI222" t="str">
            <v/>
          </cell>
          <cell r="EJ222" t="str">
            <v/>
          </cell>
          <cell r="EL222" t="str">
            <v/>
          </cell>
          <cell r="EM222" t="str">
            <v/>
          </cell>
          <cell r="EN222" t="str">
            <v/>
          </cell>
          <cell r="EO222" t="str">
            <v/>
          </cell>
          <cell r="EP222" t="str">
            <v/>
          </cell>
          <cell r="EQ222" t="str">
            <v/>
          </cell>
          <cell r="ER222" t="str">
            <v/>
          </cell>
          <cell r="ES222" t="str">
            <v/>
          </cell>
          <cell r="ET222" t="str">
            <v/>
          </cell>
        </row>
        <row r="223">
          <cell r="DO223">
            <v>144</v>
          </cell>
          <cell r="DP223" t="str">
            <v/>
          </cell>
          <cell r="DQ223" t="str">
            <v/>
          </cell>
          <cell r="DR223" t="str">
            <v/>
          </cell>
          <cell r="DS223" t="str">
            <v/>
          </cell>
          <cell r="DT223" t="str">
            <v/>
          </cell>
          <cell r="DU223" t="str">
            <v/>
          </cell>
          <cell r="DV223" t="str">
            <v/>
          </cell>
          <cell r="DW223" t="str">
            <v/>
          </cell>
          <cell r="DX223" t="str">
            <v/>
          </cell>
          <cell r="DY223" t="str">
            <v/>
          </cell>
          <cell r="DZ223" t="str">
            <v/>
          </cell>
          <cell r="EA223" t="str">
            <v/>
          </cell>
          <cell r="EB223" t="str">
            <v/>
          </cell>
          <cell r="EC223" t="str">
            <v/>
          </cell>
          <cell r="ED223" t="str">
            <v/>
          </cell>
          <cell r="EE223" t="str">
            <v/>
          </cell>
          <cell r="EF223" t="str">
            <v/>
          </cell>
          <cell r="EH223" t="str">
            <v/>
          </cell>
          <cell r="EI223" t="str">
            <v/>
          </cell>
          <cell r="EJ223" t="str">
            <v/>
          </cell>
          <cell r="EL223" t="str">
            <v/>
          </cell>
          <cell r="EM223" t="str">
            <v/>
          </cell>
          <cell r="EN223" t="str">
            <v/>
          </cell>
          <cell r="EO223" t="str">
            <v/>
          </cell>
          <cell r="EP223" t="str">
            <v/>
          </cell>
          <cell r="EQ223" t="str">
            <v/>
          </cell>
          <cell r="ER223" t="str">
            <v/>
          </cell>
          <cell r="ES223" t="str">
            <v/>
          </cell>
          <cell r="ET223" t="str">
            <v/>
          </cell>
        </row>
        <row r="224">
          <cell r="DO224">
            <v>145</v>
          </cell>
          <cell r="DP224" t="str">
            <v/>
          </cell>
          <cell r="DQ224" t="str">
            <v/>
          </cell>
          <cell r="DR224" t="str">
            <v/>
          </cell>
          <cell r="DS224" t="str">
            <v/>
          </cell>
          <cell r="DT224" t="str">
            <v/>
          </cell>
          <cell r="DU224" t="str">
            <v/>
          </cell>
          <cell r="DV224" t="str">
            <v/>
          </cell>
          <cell r="DW224" t="str">
            <v/>
          </cell>
          <cell r="DX224" t="str">
            <v/>
          </cell>
          <cell r="DY224" t="str">
            <v/>
          </cell>
          <cell r="DZ224" t="str">
            <v/>
          </cell>
          <cell r="EA224" t="str">
            <v/>
          </cell>
          <cell r="EB224" t="str">
            <v/>
          </cell>
          <cell r="EC224" t="str">
            <v/>
          </cell>
          <cell r="ED224" t="str">
            <v/>
          </cell>
          <cell r="EE224" t="str">
            <v/>
          </cell>
          <cell r="EF224" t="str">
            <v/>
          </cell>
          <cell r="EH224" t="str">
            <v/>
          </cell>
          <cell r="EI224" t="str">
            <v/>
          </cell>
          <cell r="EJ224" t="str">
            <v/>
          </cell>
          <cell r="EL224" t="str">
            <v/>
          </cell>
          <cell r="EM224" t="str">
            <v/>
          </cell>
          <cell r="EN224" t="str">
            <v/>
          </cell>
          <cell r="EO224" t="str">
            <v/>
          </cell>
          <cell r="EP224" t="str">
            <v/>
          </cell>
          <cell r="EQ224" t="str">
            <v/>
          </cell>
          <cell r="ER224" t="str">
            <v/>
          </cell>
          <cell r="ES224" t="str">
            <v/>
          </cell>
          <cell r="ET224" t="str">
            <v/>
          </cell>
        </row>
        <row r="225">
          <cell r="DO225">
            <v>146</v>
          </cell>
          <cell r="DP225" t="str">
            <v/>
          </cell>
          <cell r="DQ225" t="str">
            <v/>
          </cell>
          <cell r="DR225" t="str">
            <v/>
          </cell>
          <cell r="DS225" t="str">
            <v/>
          </cell>
          <cell r="DT225" t="str">
            <v/>
          </cell>
          <cell r="DU225" t="str">
            <v/>
          </cell>
          <cell r="DV225" t="str">
            <v/>
          </cell>
          <cell r="DW225" t="str">
            <v/>
          </cell>
          <cell r="DX225" t="str">
            <v/>
          </cell>
          <cell r="DY225" t="str">
            <v/>
          </cell>
          <cell r="DZ225" t="str">
            <v/>
          </cell>
          <cell r="EA225" t="str">
            <v/>
          </cell>
          <cell r="EB225" t="str">
            <v/>
          </cell>
          <cell r="EC225" t="str">
            <v/>
          </cell>
          <cell r="ED225" t="str">
            <v/>
          </cell>
          <cell r="EE225" t="str">
            <v/>
          </cell>
          <cell r="EF225" t="str">
            <v/>
          </cell>
          <cell r="EH225" t="str">
            <v/>
          </cell>
          <cell r="EI225" t="str">
            <v/>
          </cell>
          <cell r="EJ225" t="str">
            <v/>
          </cell>
          <cell r="EL225" t="str">
            <v/>
          </cell>
          <cell r="EM225" t="str">
            <v/>
          </cell>
          <cell r="EN225" t="str">
            <v/>
          </cell>
          <cell r="EO225" t="str">
            <v/>
          </cell>
          <cell r="EP225" t="str">
            <v/>
          </cell>
          <cell r="EQ225" t="str">
            <v/>
          </cell>
          <cell r="ER225" t="str">
            <v/>
          </cell>
          <cell r="ES225" t="str">
            <v/>
          </cell>
          <cell r="ET225" t="str">
            <v/>
          </cell>
        </row>
        <row r="226">
          <cell r="DO226">
            <v>147</v>
          </cell>
          <cell r="DP226" t="str">
            <v/>
          </cell>
          <cell r="DQ226" t="str">
            <v/>
          </cell>
          <cell r="DR226" t="str">
            <v/>
          </cell>
          <cell r="DS226" t="str">
            <v/>
          </cell>
          <cell r="DT226" t="str">
            <v/>
          </cell>
          <cell r="DU226" t="str">
            <v/>
          </cell>
          <cell r="DV226" t="str">
            <v/>
          </cell>
          <cell r="DW226" t="str">
            <v/>
          </cell>
          <cell r="DX226" t="str">
            <v/>
          </cell>
          <cell r="DY226" t="str">
            <v/>
          </cell>
          <cell r="DZ226" t="str">
            <v/>
          </cell>
          <cell r="EA226" t="str">
            <v/>
          </cell>
          <cell r="EB226" t="str">
            <v/>
          </cell>
          <cell r="EC226" t="str">
            <v/>
          </cell>
          <cell r="ED226" t="str">
            <v/>
          </cell>
          <cell r="EE226" t="str">
            <v/>
          </cell>
          <cell r="EF226" t="str">
            <v/>
          </cell>
          <cell r="EH226" t="str">
            <v/>
          </cell>
          <cell r="EI226" t="str">
            <v/>
          </cell>
          <cell r="EJ226" t="str">
            <v/>
          </cell>
          <cell r="EL226" t="str">
            <v/>
          </cell>
          <cell r="EM226" t="str">
            <v/>
          </cell>
          <cell r="EN226" t="str">
            <v/>
          </cell>
          <cell r="EO226" t="str">
            <v/>
          </cell>
          <cell r="EP226" t="str">
            <v/>
          </cell>
          <cell r="EQ226" t="str">
            <v/>
          </cell>
          <cell r="ER226" t="str">
            <v/>
          </cell>
          <cell r="ES226" t="str">
            <v/>
          </cell>
          <cell r="ET226" t="str">
            <v/>
          </cell>
        </row>
        <row r="227">
          <cell r="DO227">
            <v>148</v>
          </cell>
          <cell r="DP227" t="str">
            <v/>
          </cell>
          <cell r="DQ227" t="str">
            <v/>
          </cell>
          <cell r="DR227" t="str">
            <v/>
          </cell>
          <cell r="DS227" t="str">
            <v/>
          </cell>
          <cell r="DT227" t="str">
            <v/>
          </cell>
          <cell r="DU227" t="str">
            <v/>
          </cell>
          <cell r="DV227" t="str">
            <v/>
          </cell>
          <cell r="DW227" t="str">
            <v/>
          </cell>
          <cell r="DX227" t="str">
            <v/>
          </cell>
          <cell r="DY227" t="str">
            <v/>
          </cell>
          <cell r="DZ227" t="str">
            <v/>
          </cell>
          <cell r="EA227" t="str">
            <v/>
          </cell>
          <cell r="EB227" t="str">
            <v/>
          </cell>
          <cell r="EC227" t="str">
            <v/>
          </cell>
          <cell r="ED227" t="str">
            <v/>
          </cell>
          <cell r="EE227" t="str">
            <v/>
          </cell>
          <cell r="EF227" t="str">
            <v/>
          </cell>
          <cell r="EH227" t="str">
            <v/>
          </cell>
          <cell r="EI227" t="str">
            <v/>
          </cell>
          <cell r="EJ227" t="str">
            <v/>
          </cell>
          <cell r="EL227" t="str">
            <v/>
          </cell>
          <cell r="EM227" t="str">
            <v/>
          </cell>
          <cell r="EN227" t="str">
            <v/>
          </cell>
          <cell r="EO227" t="str">
            <v/>
          </cell>
          <cell r="EP227" t="str">
            <v/>
          </cell>
          <cell r="EQ227" t="str">
            <v/>
          </cell>
          <cell r="ER227" t="str">
            <v/>
          </cell>
          <cell r="ES227" t="str">
            <v/>
          </cell>
          <cell r="ET227" t="str">
            <v/>
          </cell>
        </row>
        <row r="228">
          <cell r="DO228">
            <v>149</v>
          </cell>
          <cell r="DP228" t="str">
            <v/>
          </cell>
          <cell r="DQ228" t="str">
            <v/>
          </cell>
          <cell r="DR228" t="str">
            <v/>
          </cell>
          <cell r="DS228" t="str">
            <v/>
          </cell>
          <cell r="DT228" t="str">
            <v/>
          </cell>
          <cell r="DU228" t="str">
            <v/>
          </cell>
          <cell r="DV228" t="str">
            <v/>
          </cell>
          <cell r="DW228" t="str">
            <v/>
          </cell>
          <cell r="DX228" t="str">
            <v/>
          </cell>
          <cell r="DY228" t="str">
            <v/>
          </cell>
          <cell r="DZ228" t="str">
            <v/>
          </cell>
          <cell r="EA228" t="str">
            <v/>
          </cell>
          <cell r="EB228" t="str">
            <v/>
          </cell>
          <cell r="EC228" t="str">
            <v/>
          </cell>
          <cell r="ED228" t="str">
            <v/>
          </cell>
          <cell r="EE228" t="str">
            <v/>
          </cell>
          <cell r="EF228" t="str">
            <v/>
          </cell>
          <cell r="EH228" t="str">
            <v/>
          </cell>
          <cell r="EI228" t="str">
            <v/>
          </cell>
          <cell r="EJ228" t="str">
            <v/>
          </cell>
          <cell r="EL228" t="str">
            <v/>
          </cell>
          <cell r="EM228" t="str">
            <v/>
          </cell>
          <cell r="EN228" t="str">
            <v/>
          </cell>
          <cell r="EO228" t="str">
            <v/>
          </cell>
          <cell r="EP228" t="str">
            <v/>
          </cell>
          <cell r="EQ228" t="str">
            <v/>
          </cell>
          <cell r="ER228" t="str">
            <v/>
          </cell>
          <cell r="ES228" t="str">
            <v/>
          </cell>
          <cell r="ET228" t="str">
            <v/>
          </cell>
        </row>
        <row r="229">
          <cell r="DO229">
            <v>150</v>
          </cell>
          <cell r="DP229" t="str">
            <v/>
          </cell>
          <cell r="DQ229" t="str">
            <v/>
          </cell>
          <cell r="DR229" t="str">
            <v/>
          </cell>
          <cell r="DS229" t="str">
            <v/>
          </cell>
          <cell r="DT229" t="str">
            <v/>
          </cell>
          <cell r="DU229" t="str">
            <v/>
          </cell>
          <cell r="DV229" t="str">
            <v/>
          </cell>
          <cell r="DW229" t="str">
            <v/>
          </cell>
          <cell r="DX229" t="str">
            <v/>
          </cell>
          <cell r="DY229" t="str">
            <v/>
          </cell>
          <cell r="DZ229" t="str">
            <v/>
          </cell>
          <cell r="EA229" t="str">
            <v/>
          </cell>
          <cell r="EB229" t="str">
            <v/>
          </cell>
          <cell r="EC229" t="str">
            <v/>
          </cell>
          <cell r="ED229" t="str">
            <v/>
          </cell>
          <cell r="EE229" t="str">
            <v/>
          </cell>
          <cell r="EF229" t="str">
            <v/>
          </cell>
          <cell r="EH229" t="str">
            <v/>
          </cell>
          <cell r="EI229" t="str">
            <v/>
          </cell>
          <cell r="EJ229" t="str">
            <v/>
          </cell>
          <cell r="EL229" t="str">
            <v/>
          </cell>
          <cell r="EM229" t="str">
            <v/>
          </cell>
          <cell r="EN229" t="str">
            <v/>
          </cell>
          <cell r="EO229" t="str">
            <v/>
          </cell>
          <cell r="EP229" t="str">
            <v/>
          </cell>
          <cell r="EQ229" t="str">
            <v/>
          </cell>
          <cell r="ER229" t="str">
            <v/>
          </cell>
          <cell r="ES229" t="str">
            <v/>
          </cell>
          <cell r="ET229" t="str">
            <v/>
          </cell>
        </row>
        <row r="230">
          <cell r="DO230">
            <v>151</v>
          </cell>
          <cell r="DP230" t="str">
            <v/>
          </cell>
          <cell r="DQ230" t="str">
            <v/>
          </cell>
          <cell r="DR230" t="str">
            <v/>
          </cell>
          <cell r="DS230" t="str">
            <v/>
          </cell>
          <cell r="DT230" t="str">
            <v/>
          </cell>
          <cell r="DU230" t="str">
            <v/>
          </cell>
          <cell r="DV230" t="str">
            <v/>
          </cell>
          <cell r="DW230" t="str">
            <v/>
          </cell>
          <cell r="DX230" t="str">
            <v/>
          </cell>
          <cell r="DY230" t="str">
            <v/>
          </cell>
          <cell r="DZ230" t="str">
            <v/>
          </cell>
          <cell r="EA230" t="str">
            <v/>
          </cell>
          <cell r="EB230" t="str">
            <v/>
          </cell>
          <cell r="EC230" t="str">
            <v/>
          </cell>
          <cell r="ED230" t="str">
            <v/>
          </cell>
          <cell r="EE230" t="str">
            <v/>
          </cell>
          <cell r="EF230" t="str">
            <v/>
          </cell>
          <cell r="EH230" t="str">
            <v/>
          </cell>
          <cell r="EI230" t="str">
            <v/>
          </cell>
          <cell r="EJ230" t="str">
            <v/>
          </cell>
          <cell r="EL230" t="str">
            <v/>
          </cell>
          <cell r="EM230" t="str">
            <v/>
          </cell>
          <cell r="EN230" t="str">
            <v/>
          </cell>
          <cell r="EO230" t="str">
            <v/>
          </cell>
          <cell r="EP230" t="str">
            <v/>
          </cell>
          <cell r="EQ230" t="str">
            <v/>
          </cell>
          <cell r="ER230" t="str">
            <v/>
          </cell>
          <cell r="ES230" t="str">
            <v/>
          </cell>
          <cell r="ET230" t="str">
            <v/>
          </cell>
        </row>
        <row r="231">
          <cell r="DO231">
            <v>152</v>
          </cell>
          <cell r="DP231" t="str">
            <v/>
          </cell>
          <cell r="DQ231" t="str">
            <v/>
          </cell>
          <cell r="DR231" t="str">
            <v/>
          </cell>
          <cell r="DS231" t="str">
            <v/>
          </cell>
          <cell r="DT231" t="str">
            <v/>
          </cell>
          <cell r="DU231" t="str">
            <v/>
          </cell>
          <cell r="DV231" t="str">
            <v/>
          </cell>
          <cell r="DW231" t="str">
            <v/>
          </cell>
          <cell r="DX231" t="str">
            <v/>
          </cell>
          <cell r="DY231" t="str">
            <v/>
          </cell>
          <cell r="DZ231" t="str">
            <v/>
          </cell>
          <cell r="EA231" t="str">
            <v/>
          </cell>
          <cell r="EB231" t="str">
            <v/>
          </cell>
          <cell r="EC231" t="str">
            <v/>
          </cell>
          <cell r="ED231" t="str">
            <v/>
          </cell>
          <cell r="EE231" t="str">
            <v/>
          </cell>
          <cell r="EF231" t="str">
            <v/>
          </cell>
          <cell r="EH231" t="str">
            <v/>
          </cell>
          <cell r="EI231" t="str">
            <v/>
          </cell>
          <cell r="EJ231" t="str">
            <v/>
          </cell>
          <cell r="EL231" t="str">
            <v/>
          </cell>
          <cell r="EM231" t="str">
            <v/>
          </cell>
          <cell r="EN231" t="str">
            <v/>
          </cell>
          <cell r="EO231" t="str">
            <v/>
          </cell>
          <cell r="EP231" t="str">
            <v/>
          </cell>
          <cell r="EQ231" t="str">
            <v/>
          </cell>
          <cell r="ER231" t="str">
            <v/>
          </cell>
          <cell r="ES231" t="str">
            <v/>
          </cell>
          <cell r="ET231" t="str">
            <v/>
          </cell>
        </row>
        <row r="232">
          <cell r="DO232">
            <v>153</v>
          </cell>
          <cell r="DP232" t="str">
            <v/>
          </cell>
          <cell r="DQ232" t="str">
            <v/>
          </cell>
          <cell r="DR232" t="str">
            <v/>
          </cell>
          <cell r="DS232" t="str">
            <v/>
          </cell>
          <cell r="DT232" t="str">
            <v/>
          </cell>
          <cell r="DU232" t="str">
            <v/>
          </cell>
          <cell r="DV232" t="str">
            <v/>
          </cell>
          <cell r="DW232" t="str">
            <v/>
          </cell>
          <cell r="DX232" t="str">
            <v/>
          </cell>
          <cell r="DY232" t="str">
            <v/>
          </cell>
          <cell r="DZ232" t="str">
            <v/>
          </cell>
          <cell r="EA232" t="str">
            <v/>
          </cell>
          <cell r="EB232" t="str">
            <v/>
          </cell>
          <cell r="EC232" t="str">
            <v/>
          </cell>
          <cell r="ED232" t="str">
            <v/>
          </cell>
          <cell r="EE232" t="str">
            <v/>
          </cell>
          <cell r="EF232" t="str">
            <v/>
          </cell>
          <cell r="EH232" t="str">
            <v/>
          </cell>
          <cell r="EI232" t="str">
            <v/>
          </cell>
          <cell r="EJ232" t="str">
            <v/>
          </cell>
          <cell r="EL232" t="str">
            <v/>
          </cell>
          <cell r="EM232" t="str">
            <v/>
          </cell>
          <cell r="EN232" t="str">
            <v/>
          </cell>
          <cell r="EO232" t="str">
            <v/>
          </cell>
          <cell r="EP232" t="str">
            <v/>
          </cell>
          <cell r="EQ232" t="str">
            <v/>
          </cell>
          <cell r="ER232" t="str">
            <v/>
          </cell>
          <cell r="ES232" t="str">
            <v/>
          </cell>
          <cell r="ET232" t="str">
            <v/>
          </cell>
        </row>
        <row r="233">
          <cell r="DO233">
            <v>154</v>
          </cell>
          <cell r="DP233" t="str">
            <v/>
          </cell>
          <cell r="DQ233" t="str">
            <v/>
          </cell>
          <cell r="DR233" t="str">
            <v/>
          </cell>
          <cell r="DS233" t="str">
            <v/>
          </cell>
          <cell r="DT233" t="str">
            <v/>
          </cell>
          <cell r="DU233" t="str">
            <v/>
          </cell>
          <cell r="DV233" t="str">
            <v/>
          </cell>
          <cell r="DW233" t="str">
            <v/>
          </cell>
          <cell r="DX233" t="str">
            <v/>
          </cell>
          <cell r="DY233" t="str">
            <v/>
          </cell>
          <cell r="DZ233" t="str">
            <v/>
          </cell>
          <cell r="EA233" t="str">
            <v/>
          </cell>
          <cell r="EB233" t="str">
            <v/>
          </cell>
          <cell r="EC233" t="str">
            <v/>
          </cell>
          <cell r="ED233" t="str">
            <v/>
          </cell>
          <cell r="EE233" t="str">
            <v/>
          </cell>
          <cell r="EF233" t="str">
            <v/>
          </cell>
          <cell r="EH233" t="str">
            <v/>
          </cell>
          <cell r="EI233" t="str">
            <v/>
          </cell>
          <cell r="EJ233" t="str">
            <v/>
          </cell>
          <cell r="EL233" t="str">
            <v/>
          </cell>
          <cell r="EM233" t="str">
            <v/>
          </cell>
          <cell r="EN233" t="str">
            <v/>
          </cell>
          <cell r="EO233" t="str">
            <v/>
          </cell>
          <cell r="EP233" t="str">
            <v/>
          </cell>
          <cell r="EQ233" t="str">
            <v/>
          </cell>
          <cell r="ER233" t="str">
            <v/>
          </cell>
          <cell r="ES233" t="str">
            <v/>
          </cell>
          <cell r="ET233" t="str">
            <v/>
          </cell>
        </row>
        <row r="234">
          <cell r="DO234">
            <v>155</v>
          </cell>
          <cell r="DP234" t="str">
            <v/>
          </cell>
          <cell r="DQ234" t="str">
            <v/>
          </cell>
          <cell r="DR234" t="str">
            <v/>
          </cell>
          <cell r="DS234" t="str">
            <v/>
          </cell>
          <cell r="DT234" t="str">
            <v/>
          </cell>
          <cell r="DU234" t="str">
            <v/>
          </cell>
          <cell r="DV234" t="str">
            <v/>
          </cell>
          <cell r="DW234" t="str">
            <v/>
          </cell>
          <cell r="DX234" t="str">
            <v/>
          </cell>
          <cell r="DY234" t="str">
            <v/>
          </cell>
          <cell r="DZ234" t="str">
            <v/>
          </cell>
          <cell r="EA234" t="str">
            <v/>
          </cell>
          <cell r="EB234" t="str">
            <v/>
          </cell>
          <cell r="EC234" t="str">
            <v/>
          </cell>
          <cell r="ED234" t="str">
            <v/>
          </cell>
          <cell r="EE234" t="str">
            <v/>
          </cell>
          <cell r="EF234" t="str">
            <v/>
          </cell>
          <cell r="EH234" t="str">
            <v/>
          </cell>
          <cell r="EI234" t="str">
            <v/>
          </cell>
          <cell r="EJ234" t="str">
            <v/>
          </cell>
          <cell r="EL234" t="str">
            <v/>
          </cell>
          <cell r="EM234" t="str">
            <v/>
          </cell>
          <cell r="EN234" t="str">
            <v/>
          </cell>
          <cell r="EO234" t="str">
            <v/>
          </cell>
          <cell r="EP234" t="str">
            <v/>
          </cell>
          <cell r="EQ234" t="str">
            <v/>
          </cell>
          <cell r="ER234" t="str">
            <v/>
          </cell>
          <cell r="ES234" t="str">
            <v/>
          </cell>
          <cell r="ET234" t="str">
            <v/>
          </cell>
        </row>
        <row r="235">
          <cell r="DO235">
            <v>156</v>
          </cell>
          <cell r="DP235" t="str">
            <v/>
          </cell>
          <cell r="DQ235" t="str">
            <v/>
          </cell>
          <cell r="DR235" t="str">
            <v/>
          </cell>
          <cell r="DS235" t="str">
            <v/>
          </cell>
          <cell r="DT235" t="str">
            <v/>
          </cell>
          <cell r="DU235" t="str">
            <v/>
          </cell>
          <cell r="DV235" t="str">
            <v/>
          </cell>
          <cell r="DW235" t="str">
            <v/>
          </cell>
          <cell r="DX235" t="str">
            <v/>
          </cell>
          <cell r="DY235" t="str">
            <v/>
          </cell>
          <cell r="DZ235" t="str">
            <v/>
          </cell>
          <cell r="EA235" t="str">
            <v/>
          </cell>
          <cell r="EB235" t="str">
            <v/>
          </cell>
          <cell r="EC235" t="str">
            <v/>
          </cell>
          <cell r="ED235" t="str">
            <v/>
          </cell>
          <cell r="EE235" t="str">
            <v/>
          </cell>
          <cell r="EF235" t="str">
            <v/>
          </cell>
          <cell r="EH235" t="str">
            <v/>
          </cell>
          <cell r="EI235" t="str">
            <v/>
          </cell>
          <cell r="EJ235" t="str">
            <v/>
          </cell>
          <cell r="EL235" t="str">
            <v/>
          </cell>
          <cell r="EM235" t="str">
            <v/>
          </cell>
          <cell r="EN235" t="str">
            <v/>
          </cell>
          <cell r="EO235" t="str">
            <v/>
          </cell>
          <cell r="EP235" t="str">
            <v/>
          </cell>
          <cell r="EQ235" t="str">
            <v/>
          </cell>
          <cell r="ER235" t="str">
            <v/>
          </cell>
          <cell r="ES235" t="str">
            <v/>
          </cell>
          <cell r="ET235" t="str">
            <v/>
          </cell>
        </row>
        <row r="236">
          <cell r="DO236">
            <v>157</v>
          </cell>
          <cell r="DP236" t="str">
            <v/>
          </cell>
          <cell r="DQ236" t="str">
            <v/>
          </cell>
          <cell r="DR236" t="str">
            <v/>
          </cell>
          <cell r="DS236" t="str">
            <v/>
          </cell>
          <cell r="DT236" t="str">
            <v/>
          </cell>
          <cell r="DU236" t="str">
            <v/>
          </cell>
          <cell r="DV236" t="str">
            <v/>
          </cell>
          <cell r="DW236" t="str">
            <v/>
          </cell>
          <cell r="DX236" t="str">
            <v/>
          </cell>
          <cell r="DY236" t="str">
            <v/>
          </cell>
          <cell r="DZ236" t="str">
            <v/>
          </cell>
          <cell r="EA236" t="str">
            <v/>
          </cell>
          <cell r="EB236" t="str">
            <v/>
          </cell>
          <cell r="EC236" t="str">
            <v/>
          </cell>
          <cell r="ED236" t="str">
            <v/>
          </cell>
          <cell r="EE236" t="str">
            <v/>
          </cell>
          <cell r="EF236" t="str">
            <v/>
          </cell>
          <cell r="EH236" t="str">
            <v/>
          </cell>
          <cell r="EI236" t="str">
            <v/>
          </cell>
          <cell r="EJ236" t="str">
            <v/>
          </cell>
          <cell r="EL236" t="str">
            <v/>
          </cell>
          <cell r="EM236" t="str">
            <v/>
          </cell>
          <cell r="EN236" t="str">
            <v/>
          </cell>
          <cell r="EO236" t="str">
            <v/>
          </cell>
          <cell r="EP236" t="str">
            <v/>
          </cell>
          <cell r="EQ236" t="str">
            <v/>
          </cell>
          <cell r="ER236" t="str">
            <v/>
          </cell>
          <cell r="ES236" t="str">
            <v/>
          </cell>
          <cell r="ET236" t="str">
            <v/>
          </cell>
        </row>
        <row r="237">
          <cell r="DO237">
            <v>158</v>
          </cell>
          <cell r="DP237" t="str">
            <v/>
          </cell>
          <cell r="DQ237" t="str">
            <v/>
          </cell>
          <cell r="DR237" t="str">
            <v/>
          </cell>
          <cell r="DS237" t="str">
            <v/>
          </cell>
          <cell r="DT237" t="str">
            <v/>
          </cell>
          <cell r="DU237" t="str">
            <v/>
          </cell>
          <cell r="DV237" t="str">
            <v/>
          </cell>
          <cell r="DW237" t="str">
            <v/>
          </cell>
          <cell r="DX237" t="str">
            <v/>
          </cell>
          <cell r="DY237" t="str">
            <v/>
          </cell>
          <cell r="DZ237" t="str">
            <v/>
          </cell>
          <cell r="EA237" t="str">
            <v/>
          </cell>
          <cell r="EB237" t="str">
            <v/>
          </cell>
          <cell r="EC237" t="str">
            <v/>
          </cell>
          <cell r="ED237" t="str">
            <v/>
          </cell>
          <cell r="EE237" t="str">
            <v/>
          </cell>
          <cell r="EF237" t="str">
            <v/>
          </cell>
          <cell r="EH237" t="str">
            <v/>
          </cell>
          <cell r="EI237" t="str">
            <v/>
          </cell>
          <cell r="EJ237" t="str">
            <v/>
          </cell>
          <cell r="EL237" t="str">
            <v/>
          </cell>
          <cell r="EM237" t="str">
            <v/>
          </cell>
          <cell r="EN237" t="str">
            <v/>
          </cell>
          <cell r="EO237" t="str">
            <v/>
          </cell>
          <cell r="EP237" t="str">
            <v/>
          </cell>
          <cell r="EQ237" t="str">
            <v/>
          </cell>
          <cell r="ER237" t="str">
            <v/>
          </cell>
          <cell r="ES237" t="str">
            <v/>
          </cell>
          <cell r="ET237" t="str">
            <v/>
          </cell>
        </row>
        <row r="238">
          <cell r="DO238">
            <v>159</v>
          </cell>
          <cell r="DP238" t="str">
            <v/>
          </cell>
          <cell r="DQ238" t="str">
            <v/>
          </cell>
          <cell r="DR238" t="str">
            <v/>
          </cell>
          <cell r="DS238" t="str">
            <v/>
          </cell>
          <cell r="DT238" t="str">
            <v/>
          </cell>
          <cell r="DU238" t="str">
            <v/>
          </cell>
          <cell r="DV238" t="str">
            <v/>
          </cell>
          <cell r="DW238" t="str">
            <v/>
          </cell>
          <cell r="DX238" t="str">
            <v/>
          </cell>
          <cell r="DY238" t="str">
            <v/>
          </cell>
          <cell r="DZ238" t="str">
            <v/>
          </cell>
          <cell r="EA238" t="str">
            <v/>
          </cell>
          <cell r="EB238" t="str">
            <v/>
          </cell>
          <cell r="EC238" t="str">
            <v/>
          </cell>
          <cell r="ED238" t="str">
            <v/>
          </cell>
          <cell r="EE238" t="str">
            <v/>
          </cell>
          <cell r="EF238" t="str">
            <v/>
          </cell>
          <cell r="EH238" t="str">
            <v/>
          </cell>
          <cell r="EI238" t="str">
            <v/>
          </cell>
          <cell r="EJ238" t="str">
            <v/>
          </cell>
          <cell r="EL238" t="str">
            <v/>
          </cell>
          <cell r="EM238" t="str">
            <v/>
          </cell>
          <cell r="EN238" t="str">
            <v/>
          </cell>
          <cell r="EO238" t="str">
            <v/>
          </cell>
          <cell r="EP238" t="str">
            <v/>
          </cell>
          <cell r="EQ238" t="str">
            <v/>
          </cell>
          <cell r="ER238" t="str">
            <v/>
          </cell>
          <cell r="ES238" t="str">
            <v/>
          </cell>
          <cell r="ET238" t="str">
            <v/>
          </cell>
        </row>
        <row r="239">
          <cell r="DO239">
            <v>160</v>
          </cell>
          <cell r="DP239" t="str">
            <v/>
          </cell>
          <cell r="DQ239" t="str">
            <v/>
          </cell>
          <cell r="DR239" t="str">
            <v/>
          </cell>
          <cell r="DS239" t="str">
            <v/>
          </cell>
          <cell r="DT239" t="str">
            <v/>
          </cell>
          <cell r="DU239" t="str">
            <v/>
          </cell>
          <cell r="DV239" t="str">
            <v/>
          </cell>
          <cell r="DW239" t="str">
            <v/>
          </cell>
          <cell r="DX239" t="str">
            <v/>
          </cell>
          <cell r="DY239" t="str">
            <v/>
          </cell>
          <cell r="DZ239" t="str">
            <v/>
          </cell>
          <cell r="EA239" t="str">
            <v/>
          </cell>
          <cell r="EB239" t="str">
            <v/>
          </cell>
          <cell r="EC239" t="str">
            <v/>
          </cell>
          <cell r="ED239" t="str">
            <v/>
          </cell>
          <cell r="EE239" t="str">
            <v/>
          </cell>
          <cell r="EF239" t="str">
            <v/>
          </cell>
          <cell r="EH239" t="str">
            <v/>
          </cell>
          <cell r="EI239" t="str">
            <v/>
          </cell>
          <cell r="EJ239" t="str">
            <v/>
          </cell>
          <cell r="EL239" t="str">
            <v/>
          </cell>
          <cell r="EM239" t="str">
            <v/>
          </cell>
          <cell r="EN239" t="str">
            <v/>
          </cell>
          <cell r="EO239" t="str">
            <v/>
          </cell>
          <cell r="EP239" t="str">
            <v/>
          </cell>
          <cell r="EQ239" t="str">
            <v/>
          </cell>
          <cell r="ER239" t="str">
            <v/>
          </cell>
          <cell r="ES239" t="str">
            <v/>
          </cell>
          <cell r="ET239" t="str">
            <v/>
          </cell>
        </row>
        <row r="240">
          <cell r="DO240">
            <v>161</v>
          </cell>
          <cell r="DP240" t="str">
            <v/>
          </cell>
          <cell r="DQ240" t="str">
            <v/>
          </cell>
          <cell r="DR240" t="str">
            <v/>
          </cell>
          <cell r="DS240" t="str">
            <v/>
          </cell>
          <cell r="DT240" t="str">
            <v/>
          </cell>
          <cell r="DU240" t="str">
            <v/>
          </cell>
          <cell r="DV240" t="str">
            <v/>
          </cell>
          <cell r="DW240" t="str">
            <v/>
          </cell>
          <cell r="DX240" t="str">
            <v/>
          </cell>
          <cell r="DY240" t="str">
            <v/>
          </cell>
          <cell r="DZ240" t="str">
            <v/>
          </cell>
          <cell r="EA240" t="str">
            <v/>
          </cell>
          <cell r="EB240" t="str">
            <v/>
          </cell>
          <cell r="EC240" t="str">
            <v/>
          </cell>
          <cell r="ED240" t="str">
            <v/>
          </cell>
          <cell r="EE240" t="str">
            <v/>
          </cell>
          <cell r="EF240" t="str">
            <v/>
          </cell>
          <cell r="EH240" t="str">
            <v/>
          </cell>
          <cell r="EI240" t="str">
            <v/>
          </cell>
          <cell r="EJ240" t="str">
            <v/>
          </cell>
          <cell r="EL240" t="str">
            <v/>
          </cell>
          <cell r="EM240" t="str">
            <v/>
          </cell>
          <cell r="EN240" t="str">
            <v/>
          </cell>
          <cell r="EO240" t="str">
            <v/>
          </cell>
          <cell r="EP240" t="str">
            <v/>
          </cell>
          <cell r="EQ240" t="str">
            <v/>
          </cell>
          <cell r="ER240" t="str">
            <v/>
          </cell>
          <cell r="ES240" t="str">
            <v/>
          </cell>
          <cell r="ET240" t="str">
            <v/>
          </cell>
        </row>
        <row r="241">
          <cell r="DO241">
            <v>162</v>
          </cell>
          <cell r="DP241" t="str">
            <v/>
          </cell>
          <cell r="DQ241" t="str">
            <v/>
          </cell>
          <cell r="DR241" t="str">
            <v/>
          </cell>
          <cell r="DS241" t="str">
            <v/>
          </cell>
          <cell r="DT241" t="str">
            <v/>
          </cell>
          <cell r="DU241" t="str">
            <v/>
          </cell>
          <cell r="DV241" t="str">
            <v/>
          </cell>
          <cell r="DW241" t="str">
            <v/>
          </cell>
          <cell r="DX241" t="str">
            <v/>
          </cell>
          <cell r="DY241" t="str">
            <v/>
          </cell>
          <cell r="DZ241" t="str">
            <v/>
          </cell>
          <cell r="EA241" t="str">
            <v/>
          </cell>
          <cell r="EB241" t="str">
            <v/>
          </cell>
          <cell r="EC241" t="str">
            <v/>
          </cell>
          <cell r="ED241" t="str">
            <v/>
          </cell>
          <cell r="EE241" t="str">
            <v/>
          </cell>
          <cell r="EF241" t="str">
            <v/>
          </cell>
          <cell r="EH241" t="str">
            <v/>
          </cell>
          <cell r="EI241" t="str">
            <v/>
          </cell>
          <cell r="EJ241" t="str">
            <v/>
          </cell>
          <cell r="EL241" t="str">
            <v/>
          </cell>
          <cell r="EM241" t="str">
            <v/>
          </cell>
          <cell r="EN241" t="str">
            <v/>
          </cell>
          <cell r="EO241" t="str">
            <v/>
          </cell>
          <cell r="EP241" t="str">
            <v/>
          </cell>
          <cell r="EQ241" t="str">
            <v/>
          </cell>
          <cell r="ER241" t="str">
            <v/>
          </cell>
          <cell r="ES241" t="str">
            <v/>
          </cell>
          <cell r="ET241" t="str">
            <v/>
          </cell>
        </row>
        <row r="242">
          <cell r="DO242">
            <v>163</v>
          </cell>
          <cell r="DP242" t="str">
            <v/>
          </cell>
          <cell r="DQ242" t="str">
            <v/>
          </cell>
          <cell r="DR242" t="str">
            <v/>
          </cell>
          <cell r="DS242" t="str">
            <v/>
          </cell>
          <cell r="DT242" t="str">
            <v/>
          </cell>
          <cell r="DU242" t="str">
            <v/>
          </cell>
          <cell r="DV242" t="str">
            <v/>
          </cell>
          <cell r="DW242" t="str">
            <v/>
          </cell>
          <cell r="DX242" t="str">
            <v/>
          </cell>
          <cell r="DY242" t="str">
            <v/>
          </cell>
          <cell r="DZ242" t="str">
            <v/>
          </cell>
          <cell r="EA242" t="str">
            <v/>
          </cell>
          <cell r="EB242" t="str">
            <v/>
          </cell>
          <cell r="EC242" t="str">
            <v/>
          </cell>
          <cell r="ED242" t="str">
            <v/>
          </cell>
          <cell r="EE242" t="str">
            <v/>
          </cell>
          <cell r="EF242" t="str">
            <v/>
          </cell>
          <cell r="EH242" t="str">
            <v/>
          </cell>
          <cell r="EI242" t="str">
            <v/>
          </cell>
          <cell r="EJ242" t="str">
            <v/>
          </cell>
          <cell r="EL242" t="str">
            <v/>
          </cell>
          <cell r="EM242" t="str">
            <v/>
          </cell>
          <cell r="EN242" t="str">
            <v/>
          </cell>
          <cell r="EO242" t="str">
            <v/>
          </cell>
          <cell r="EP242" t="str">
            <v/>
          </cell>
          <cell r="EQ242" t="str">
            <v/>
          </cell>
          <cell r="ER242" t="str">
            <v/>
          </cell>
          <cell r="ES242" t="str">
            <v/>
          </cell>
          <cell r="ET242" t="str">
            <v/>
          </cell>
        </row>
        <row r="243">
          <cell r="DO243">
            <v>164</v>
          </cell>
          <cell r="DP243" t="str">
            <v/>
          </cell>
          <cell r="DQ243" t="str">
            <v/>
          </cell>
          <cell r="DR243" t="str">
            <v/>
          </cell>
          <cell r="DS243" t="str">
            <v/>
          </cell>
          <cell r="DT243" t="str">
            <v/>
          </cell>
          <cell r="DU243" t="str">
            <v/>
          </cell>
          <cell r="DV243" t="str">
            <v/>
          </cell>
          <cell r="DW243" t="str">
            <v/>
          </cell>
          <cell r="DX243" t="str">
            <v/>
          </cell>
          <cell r="DY243" t="str">
            <v/>
          </cell>
          <cell r="DZ243" t="str">
            <v/>
          </cell>
          <cell r="EA243" t="str">
            <v/>
          </cell>
          <cell r="EB243" t="str">
            <v/>
          </cell>
          <cell r="EC243" t="str">
            <v/>
          </cell>
          <cell r="ED243" t="str">
            <v/>
          </cell>
          <cell r="EE243" t="str">
            <v/>
          </cell>
          <cell r="EF243" t="str">
            <v/>
          </cell>
          <cell r="EH243" t="str">
            <v/>
          </cell>
          <cell r="EI243" t="str">
            <v/>
          </cell>
          <cell r="EJ243" t="str">
            <v/>
          </cell>
          <cell r="EL243" t="str">
            <v/>
          </cell>
          <cell r="EM243" t="str">
            <v/>
          </cell>
          <cell r="EN243" t="str">
            <v/>
          </cell>
          <cell r="EO243" t="str">
            <v/>
          </cell>
          <cell r="EP243" t="str">
            <v/>
          </cell>
          <cell r="EQ243" t="str">
            <v/>
          </cell>
          <cell r="ER243" t="str">
            <v/>
          </cell>
          <cell r="ES243" t="str">
            <v/>
          </cell>
          <cell r="ET243" t="str">
            <v/>
          </cell>
        </row>
        <row r="244">
          <cell r="DO244">
            <v>165</v>
          </cell>
          <cell r="DP244" t="str">
            <v/>
          </cell>
          <cell r="DQ244" t="str">
            <v/>
          </cell>
          <cell r="DR244" t="str">
            <v/>
          </cell>
          <cell r="DS244" t="str">
            <v/>
          </cell>
          <cell r="DT244" t="str">
            <v/>
          </cell>
          <cell r="DU244" t="str">
            <v/>
          </cell>
          <cell r="DV244" t="str">
            <v/>
          </cell>
          <cell r="DW244" t="str">
            <v/>
          </cell>
          <cell r="DX244" t="str">
            <v/>
          </cell>
          <cell r="DY244" t="str">
            <v/>
          </cell>
          <cell r="DZ244" t="str">
            <v/>
          </cell>
          <cell r="EA244" t="str">
            <v/>
          </cell>
          <cell r="EB244" t="str">
            <v/>
          </cell>
          <cell r="EC244" t="str">
            <v/>
          </cell>
          <cell r="ED244" t="str">
            <v/>
          </cell>
          <cell r="EE244" t="str">
            <v/>
          </cell>
          <cell r="EF244" t="str">
            <v/>
          </cell>
          <cell r="EH244" t="str">
            <v/>
          </cell>
          <cell r="EI244" t="str">
            <v/>
          </cell>
          <cell r="EJ244" t="str">
            <v/>
          </cell>
          <cell r="EL244" t="str">
            <v/>
          </cell>
          <cell r="EM244" t="str">
            <v/>
          </cell>
          <cell r="EN244" t="str">
            <v/>
          </cell>
          <cell r="EO244" t="str">
            <v/>
          </cell>
          <cell r="EP244" t="str">
            <v/>
          </cell>
          <cell r="EQ244" t="str">
            <v/>
          </cell>
          <cell r="ER244" t="str">
            <v/>
          </cell>
          <cell r="ES244" t="str">
            <v/>
          </cell>
          <cell r="ET244" t="str">
            <v/>
          </cell>
        </row>
        <row r="245">
          <cell r="DO245">
            <v>166</v>
          </cell>
          <cell r="DP245" t="str">
            <v/>
          </cell>
          <cell r="DQ245" t="str">
            <v/>
          </cell>
          <cell r="DR245" t="str">
            <v/>
          </cell>
          <cell r="DS245" t="str">
            <v/>
          </cell>
          <cell r="DT245" t="str">
            <v/>
          </cell>
          <cell r="DU245" t="str">
            <v/>
          </cell>
          <cell r="DV245" t="str">
            <v/>
          </cell>
          <cell r="DW245" t="str">
            <v/>
          </cell>
          <cell r="DX245" t="str">
            <v/>
          </cell>
          <cell r="DY245" t="str">
            <v/>
          </cell>
          <cell r="DZ245" t="str">
            <v/>
          </cell>
          <cell r="EA245" t="str">
            <v/>
          </cell>
          <cell r="EB245" t="str">
            <v/>
          </cell>
          <cell r="EC245" t="str">
            <v/>
          </cell>
          <cell r="ED245" t="str">
            <v/>
          </cell>
          <cell r="EE245" t="str">
            <v/>
          </cell>
          <cell r="EF245" t="str">
            <v/>
          </cell>
          <cell r="EH245" t="str">
            <v/>
          </cell>
          <cell r="EI245" t="str">
            <v/>
          </cell>
          <cell r="EJ245" t="str">
            <v/>
          </cell>
          <cell r="EL245" t="str">
            <v/>
          </cell>
          <cell r="EM245" t="str">
            <v/>
          </cell>
          <cell r="EN245" t="str">
            <v/>
          </cell>
          <cell r="EO245" t="str">
            <v/>
          </cell>
          <cell r="EP245" t="str">
            <v/>
          </cell>
          <cell r="EQ245" t="str">
            <v/>
          </cell>
          <cell r="ER245" t="str">
            <v/>
          </cell>
          <cell r="ES245" t="str">
            <v/>
          </cell>
          <cell r="ET245" t="str">
            <v/>
          </cell>
        </row>
        <row r="246">
          <cell r="DO246">
            <v>167</v>
          </cell>
          <cell r="DP246" t="str">
            <v/>
          </cell>
          <cell r="DQ246" t="str">
            <v/>
          </cell>
          <cell r="DR246" t="str">
            <v/>
          </cell>
          <cell r="DS246" t="str">
            <v/>
          </cell>
          <cell r="DT246" t="str">
            <v/>
          </cell>
          <cell r="DU246" t="str">
            <v/>
          </cell>
          <cell r="DV246" t="str">
            <v/>
          </cell>
          <cell r="DW246" t="str">
            <v/>
          </cell>
          <cell r="DX246" t="str">
            <v/>
          </cell>
          <cell r="DY246" t="str">
            <v/>
          </cell>
          <cell r="DZ246" t="str">
            <v/>
          </cell>
          <cell r="EA246" t="str">
            <v/>
          </cell>
          <cell r="EB246" t="str">
            <v/>
          </cell>
          <cell r="EC246" t="str">
            <v/>
          </cell>
          <cell r="ED246" t="str">
            <v/>
          </cell>
          <cell r="EE246" t="str">
            <v/>
          </cell>
          <cell r="EF246" t="str">
            <v/>
          </cell>
          <cell r="EH246" t="str">
            <v/>
          </cell>
          <cell r="EI246" t="str">
            <v/>
          </cell>
          <cell r="EJ246" t="str">
            <v/>
          </cell>
          <cell r="EL246" t="str">
            <v/>
          </cell>
          <cell r="EM246" t="str">
            <v/>
          </cell>
          <cell r="EN246" t="str">
            <v/>
          </cell>
          <cell r="EO246" t="str">
            <v/>
          </cell>
          <cell r="EP246" t="str">
            <v/>
          </cell>
          <cell r="EQ246" t="str">
            <v/>
          </cell>
          <cell r="ER246" t="str">
            <v/>
          </cell>
          <cell r="ES246" t="str">
            <v/>
          </cell>
          <cell r="ET246" t="str">
            <v/>
          </cell>
        </row>
        <row r="247">
          <cell r="DO247">
            <v>168</v>
          </cell>
          <cell r="DP247" t="str">
            <v/>
          </cell>
          <cell r="DQ247" t="str">
            <v/>
          </cell>
          <cell r="DR247" t="str">
            <v/>
          </cell>
          <cell r="DS247" t="str">
            <v/>
          </cell>
          <cell r="DT247" t="str">
            <v/>
          </cell>
          <cell r="DU247" t="str">
            <v/>
          </cell>
          <cell r="DV247" t="str">
            <v/>
          </cell>
          <cell r="DW247" t="str">
            <v/>
          </cell>
          <cell r="DX247" t="str">
            <v/>
          </cell>
          <cell r="DY247" t="str">
            <v/>
          </cell>
          <cell r="DZ247" t="str">
            <v/>
          </cell>
          <cell r="EA247" t="str">
            <v/>
          </cell>
          <cell r="EB247" t="str">
            <v/>
          </cell>
          <cell r="EC247" t="str">
            <v/>
          </cell>
          <cell r="ED247" t="str">
            <v/>
          </cell>
          <cell r="EE247" t="str">
            <v/>
          </cell>
          <cell r="EF247" t="str">
            <v/>
          </cell>
          <cell r="EH247" t="str">
            <v/>
          </cell>
          <cell r="EI247" t="str">
            <v/>
          </cell>
          <cell r="EJ247" t="str">
            <v/>
          </cell>
          <cell r="EL247" t="str">
            <v/>
          </cell>
          <cell r="EM247" t="str">
            <v/>
          </cell>
          <cell r="EN247" t="str">
            <v/>
          </cell>
          <cell r="EO247" t="str">
            <v/>
          </cell>
          <cell r="EP247" t="str">
            <v/>
          </cell>
          <cell r="EQ247" t="str">
            <v/>
          </cell>
          <cell r="ER247" t="str">
            <v/>
          </cell>
          <cell r="ES247" t="str">
            <v/>
          </cell>
          <cell r="ET247" t="str">
            <v/>
          </cell>
        </row>
        <row r="248">
          <cell r="DO248">
            <v>169</v>
          </cell>
          <cell r="DP248" t="str">
            <v/>
          </cell>
          <cell r="DQ248" t="str">
            <v/>
          </cell>
          <cell r="DR248" t="str">
            <v/>
          </cell>
          <cell r="DS248" t="str">
            <v/>
          </cell>
          <cell r="DT248" t="str">
            <v/>
          </cell>
          <cell r="DU248" t="str">
            <v/>
          </cell>
          <cell r="DV248" t="str">
            <v/>
          </cell>
          <cell r="DW248" t="str">
            <v/>
          </cell>
          <cell r="DX248" t="str">
            <v/>
          </cell>
          <cell r="DY248" t="str">
            <v/>
          </cell>
          <cell r="DZ248" t="str">
            <v/>
          </cell>
          <cell r="EA248" t="str">
            <v/>
          </cell>
          <cell r="EB248" t="str">
            <v/>
          </cell>
          <cell r="EC248" t="str">
            <v/>
          </cell>
          <cell r="ED248" t="str">
            <v/>
          </cell>
          <cell r="EE248" t="str">
            <v/>
          </cell>
          <cell r="EF248" t="str">
            <v/>
          </cell>
          <cell r="EH248" t="str">
            <v/>
          </cell>
          <cell r="EI248" t="str">
            <v/>
          </cell>
          <cell r="EJ248" t="str">
            <v/>
          </cell>
          <cell r="EL248" t="str">
            <v/>
          </cell>
          <cell r="EM248" t="str">
            <v/>
          </cell>
          <cell r="EN248" t="str">
            <v/>
          </cell>
          <cell r="EO248" t="str">
            <v/>
          </cell>
          <cell r="EP248" t="str">
            <v/>
          </cell>
          <cell r="EQ248" t="str">
            <v/>
          </cell>
          <cell r="ER248" t="str">
            <v/>
          </cell>
          <cell r="ES248" t="str">
            <v/>
          </cell>
          <cell r="ET248" t="str">
            <v/>
          </cell>
        </row>
        <row r="249">
          <cell r="DO249">
            <v>170</v>
          </cell>
          <cell r="DP249" t="str">
            <v/>
          </cell>
          <cell r="DQ249" t="str">
            <v/>
          </cell>
          <cell r="DR249" t="str">
            <v/>
          </cell>
          <cell r="DS249" t="str">
            <v/>
          </cell>
          <cell r="DT249" t="str">
            <v/>
          </cell>
          <cell r="DU249" t="str">
            <v/>
          </cell>
          <cell r="DV249" t="str">
            <v/>
          </cell>
          <cell r="DW249" t="str">
            <v/>
          </cell>
          <cell r="DX249" t="str">
            <v/>
          </cell>
          <cell r="DY249" t="str">
            <v/>
          </cell>
          <cell r="DZ249" t="str">
            <v/>
          </cell>
          <cell r="EA249" t="str">
            <v/>
          </cell>
          <cell r="EB249" t="str">
            <v/>
          </cell>
          <cell r="EC249" t="str">
            <v/>
          </cell>
          <cell r="ED249" t="str">
            <v/>
          </cell>
          <cell r="EE249" t="str">
            <v/>
          </cell>
          <cell r="EF249" t="str">
            <v/>
          </cell>
          <cell r="EH249" t="str">
            <v/>
          </cell>
          <cell r="EI249" t="str">
            <v/>
          </cell>
          <cell r="EJ249" t="str">
            <v/>
          </cell>
          <cell r="EL249" t="str">
            <v/>
          </cell>
          <cell r="EM249" t="str">
            <v/>
          </cell>
          <cell r="EN249" t="str">
            <v/>
          </cell>
          <cell r="EO249" t="str">
            <v/>
          </cell>
          <cell r="EP249" t="str">
            <v/>
          </cell>
          <cell r="EQ249" t="str">
            <v/>
          </cell>
          <cell r="ER249" t="str">
            <v/>
          </cell>
          <cell r="ES249" t="str">
            <v/>
          </cell>
          <cell r="ET249" t="str">
            <v/>
          </cell>
        </row>
        <row r="250">
          <cell r="DO250">
            <v>171</v>
          </cell>
          <cell r="DP250" t="str">
            <v/>
          </cell>
          <cell r="DQ250" t="str">
            <v/>
          </cell>
          <cell r="DR250" t="str">
            <v/>
          </cell>
          <cell r="DS250" t="str">
            <v/>
          </cell>
          <cell r="DT250" t="str">
            <v/>
          </cell>
          <cell r="DU250" t="str">
            <v/>
          </cell>
          <cell r="DV250" t="str">
            <v/>
          </cell>
          <cell r="DW250" t="str">
            <v/>
          </cell>
          <cell r="DX250" t="str">
            <v/>
          </cell>
          <cell r="DY250" t="str">
            <v/>
          </cell>
          <cell r="DZ250" t="str">
            <v/>
          </cell>
          <cell r="EA250" t="str">
            <v/>
          </cell>
          <cell r="EB250" t="str">
            <v/>
          </cell>
          <cell r="EC250" t="str">
            <v/>
          </cell>
          <cell r="ED250" t="str">
            <v/>
          </cell>
          <cell r="EE250" t="str">
            <v/>
          </cell>
          <cell r="EF250" t="str">
            <v/>
          </cell>
          <cell r="EH250" t="str">
            <v/>
          </cell>
          <cell r="EI250" t="str">
            <v/>
          </cell>
          <cell r="EJ250" t="str">
            <v/>
          </cell>
          <cell r="EL250" t="str">
            <v/>
          </cell>
          <cell r="EM250" t="str">
            <v/>
          </cell>
          <cell r="EN250" t="str">
            <v/>
          </cell>
          <cell r="EO250" t="str">
            <v/>
          </cell>
          <cell r="EP250" t="str">
            <v/>
          </cell>
          <cell r="EQ250" t="str">
            <v/>
          </cell>
          <cell r="ER250" t="str">
            <v/>
          </cell>
          <cell r="ES250" t="str">
            <v/>
          </cell>
          <cell r="ET250" t="str">
            <v/>
          </cell>
        </row>
        <row r="251">
          <cell r="DO251">
            <v>172</v>
          </cell>
          <cell r="DP251" t="str">
            <v/>
          </cell>
          <cell r="DQ251" t="str">
            <v/>
          </cell>
          <cell r="DR251" t="str">
            <v/>
          </cell>
          <cell r="DS251" t="str">
            <v/>
          </cell>
          <cell r="DT251" t="str">
            <v/>
          </cell>
          <cell r="DU251" t="str">
            <v/>
          </cell>
          <cell r="DV251" t="str">
            <v/>
          </cell>
          <cell r="DW251" t="str">
            <v/>
          </cell>
          <cell r="DX251" t="str">
            <v/>
          </cell>
          <cell r="DY251" t="str">
            <v/>
          </cell>
          <cell r="DZ251" t="str">
            <v/>
          </cell>
          <cell r="EA251" t="str">
            <v/>
          </cell>
          <cell r="EB251" t="str">
            <v/>
          </cell>
          <cell r="EC251" t="str">
            <v/>
          </cell>
          <cell r="ED251" t="str">
            <v/>
          </cell>
          <cell r="EE251" t="str">
            <v/>
          </cell>
          <cell r="EF251" t="str">
            <v/>
          </cell>
          <cell r="EH251" t="str">
            <v/>
          </cell>
          <cell r="EI251" t="str">
            <v/>
          </cell>
          <cell r="EJ251" t="str">
            <v/>
          </cell>
          <cell r="EL251" t="str">
            <v/>
          </cell>
          <cell r="EM251" t="str">
            <v/>
          </cell>
          <cell r="EN251" t="str">
            <v/>
          </cell>
          <cell r="EO251" t="str">
            <v/>
          </cell>
          <cell r="EP251" t="str">
            <v/>
          </cell>
          <cell r="EQ251" t="str">
            <v/>
          </cell>
          <cell r="ER251" t="str">
            <v/>
          </cell>
          <cell r="ES251" t="str">
            <v/>
          </cell>
          <cell r="ET251" t="str">
            <v/>
          </cell>
        </row>
        <row r="252">
          <cell r="DO252">
            <v>173</v>
          </cell>
          <cell r="DP252" t="str">
            <v/>
          </cell>
          <cell r="DQ252" t="str">
            <v/>
          </cell>
          <cell r="DR252" t="str">
            <v/>
          </cell>
          <cell r="DS252" t="str">
            <v/>
          </cell>
          <cell r="DT252" t="str">
            <v/>
          </cell>
          <cell r="DU252" t="str">
            <v/>
          </cell>
          <cell r="DV252" t="str">
            <v/>
          </cell>
          <cell r="DW252" t="str">
            <v/>
          </cell>
          <cell r="DX252" t="str">
            <v/>
          </cell>
          <cell r="DY252" t="str">
            <v/>
          </cell>
          <cell r="DZ252" t="str">
            <v/>
          </cell>
          <cell r="EA252" t="str">
            <v/>
          </cell>
          <cell r="EB252" t="str">
            <v/>
          </cell>
          <cell r="EC252" t="str">
            <v/>
          </cell>
          <cell r="ED252" t="str">
            <v/>
          </cell>
          <cell r="EE252" t="str">
            <v/>
          </cell>
          <cell r="EF252" t="str">
            <v/>
          </cell>
          <cell r="EH252" t="str">
            <v/>
          </cell>
          <cell r="EI252" t="str">
            <v/>
          </cell>
          <cell r="EJ252" t="str">
            <v/>
          </cell>
          <cell r="EL252" t="str">
            <v/>
          </cell>
          <cell r="EM252" t="str">
            <v/>
          </cell>
          <cell r="EN252" t="str">
            <v/>
          </cell>
          <cell r="EO252" t="str">
            <v/>
          </cell>
          <cell r="EP252" t="str">
            <v/>
          </cell>
          <cell r="EQ252" t="str">
            <v/>
          </cell>
          <cell r="ER252" t="str">
            <v/>
          </cell>
          <cell r="ES252" t="str">
            <v/>
          </cell>
          <cell r="ET252" t="str">
            <v/>
          </cell>
        </row>
        <row r="253">
          <cell r="DO253">
            <v>174</v>
          </cell>
          <cell r="DP253" t="str">
            <v/>
          </cell>
          <cell r="DQ253" t="str">
            <v/>
          </cell>
          <cell r="DR253" t="str">
            <v/>
          </cell>
          <cell r="DS253" t="str">
            <v/>
          </cell>
          <cell r="DT253" t="str">
            <v/>
          </cell>
          <cell r="DU253" t="str">
            <v/>
          </cell>
          <cell r="DV253" t="str">
            <v/>
          </cell>
          <cell r="DW253" t="str">
            <v/>
          </cell>
          <cell r="DX253" t="str">
            <v/>
          </cell>
          <cell r="DY253" t="str">
            <v/>
          </cell>
          <cell r="DZ253" t="str">
            <v/>
          </cell>
          <cell r="EA253" t="str">
            <v/>
          </cell>
          <cell r="EB253" t="str">
            <v/>
          </cell>
          <cell r="EC253" t="str">
            <v/>
          </cell>
          <cell r="ED253" t="str">
            <v/>
          </cell>
          <cell r="EE253" t="str">
            <v/>
          </cell>
          <cell r="EF253" t="str">
            <v/>
          </cell>
          <cell r="EH253" t="str">
            <v/>
          </cell>
          <cell r="EI253" t="str">
            <v/>
          </cell>
          <cell r="EJ253" t="str">
            <v/>
          </cell>
          <cell r="EL253" t="str">
            <v/>
          </cell>
          <cell r="EM253" t="str">
            <v/>
          </cell>
          <cell r="EN253" t="str">
            <v/>
          </cell>
          <cell r="EO253" t="str">
            <v/>
          </cell>
          <cell r="EP253" t="str">
            <v/>
          </cell>
          <cell r="EQ253" t="str">
            <v/>
          </cell>
          <cell r="ER253" t="str">
            <v/>
          </cell>
          <cell r="ES253" t="str">
            <v/>
          </cell>
          <cell r="ET253" t="str">
            <v/>
          </cell>
        </row>
        <row r="254">
          <cell r="DO254">
            <v>175</v>
          </cell>
          <cell r="DP254" t="str">
            <v/>
          </cell>
          <cell r="DQ254" t="str">
            <v/>
          </cell>
          <cell r="DR254" t="str">
            <v/>
          </cell>
          <cell r="DS254" t="str">
            <v/>
          </cell>
          <cell r="DT254" t="str">
            <v/>
          </cell>
          <cell r="DU254" t="str">
            <v/>
          </cell>
          <cell r="DV254" t="str">
            <v/>
          </cell>
          <cell r="DW254" t="str">
            <v/>
          </cell>
          <cell r="DX254" t="str">
            <v/>
          </cell>
          <cell r="DY254" t="str">
            <v/>
          </cell>
          <cell r="DZ254" t="str">
            <v/>
          </cell>
          <cell r="EA254" t="str">
            <v/>
          </cell>
          <cell r="EB254" t="str">
            <v/>
          </cell>
          <cell r="EC254" t="str">
            <v/>
          </cell>
          <cell r="ED254" t="str">
            <v/>
          </cell>
          <cell r="EE254" t="str">
            <v/>
          </cell>
          <cell r="EF254" t="str">
            <v/>
          </cell>
          <cell r="EH254" t="str">
            <v/>
          </cell>
          <cell r="EI254" t="str">
            <v/>
          </cell>
          <cell r="EJ254" t="str">
            <v/>
          </cell>
          <cell r="EL254" t="str">
            <v/>
          </cell>
          <cell r="EM254" t="str">
            <v/>
          </cell>
          <cell r="EN254" t="str">
            <v/>
          </cell>
          <cell r="EO254" t="str">
            <v/>
          </cell>
          <cell r="EP254" t="str">
            <v/>
          </cell>
          <cell r="EQ254" t="str">
            <v/>
          </cell>
          <cell r="ER254" t="str">
            <v/>
          </cell>
          <cell r="ES254" t="str">
            <v/>
          </cell>
          <cell r="ET254" t="str">
            <v/>
          </cell>
        </row>
        <row r="255">
          <cell r="DO255">
            <v>176</v>
          </cell>
          <cell r="DP255" t="str">
            <v/>
          </cell>
          <cell r="DQ255" t="str">
            <v/>
          </cell>
          <cell r="DR255" t="str">
            <v/>
          </cell>
          <cell r="DS255" t="str">
            <v/>
          </cell>
          <cell r="DT255" t="str">
            <v/>
          </cell>
          <cell r="DU255" t="str">
            <v/>
          </cell>
          <cell r="DV255" t="str">
            <v/>
          </cell>
          <cell r="DW255" t="str">
            <v/>
          </cell>
          <cell r="DX255" t="str">
            <v/>
          </cell>
          <cell r="DY255" t="str">
            <v/>
          </cell>
          <cell r="DZ255" t="str">
            <v/>
          </cell>
          <cell r="EA255" t="str">
            <v/>
          </cell>
          <cell r="EB255" t="str">
            <v/>
          </cell>
          <cell r="EC255" t="str">
            <v/>
          </cell>
          <cell r="ED255" t="str">
            <v/>
          </cell>
          <cell r="EE255" t="str">
            <v/>
          </cell>
          <cell r="EF255" t="str">
            <v/>
          </cell>
          <cell r="EH255" t="str">
            <v/>
          </cell>
          <cell r="EI255" t="str">
            <v/>
          </cell>
          <cell r="EJ255" t="str">
            <v/>
          </cell>
          <cell r="EL255" t="str">
            <v/>
          </cell>
          <cell r="EM255" t="str">
            <v/>
          </cell>
          <cell r="EN255" t="str">
            <v/>
          </cell>
          <cell r="EO255" t="str">
            <v/>
          </cell>
          <cell r="EP255" t="str">
            <v/>
          </cell>
          <cell r="EQ255" t="str">
            <v/>
          </cell>
          <cell r="ER255" t="str">
            <v/>
          </cell>
          <cell r="ES255" t="str">
            <v/>
          </cell>
          <cell r="ET255" t="str">
            <v/>
          </cell>
        </row>
        <row r="256">
          <cell r="DO256">
            <v>177</v>
          </cell>
          <cell r="DP256" t="str">
            <v/>
          </cell>
          <cell r="DQ256" t="str">
            <v/>
          </cell>
          <cell r="DR256" t="str">
            <v/>
          </cell>
          <cell r="DS256" t="str">
            <v/>
          </cell>
          <cell r="DT256" t="str">
            <v/>
          </cell>
          <cell r="DU256" t="str">
            <v/>
          </cell>
          <cell r="DV256" t="str">
            <v/>
          </cell>
          <cell r="DW256" t="str">
            <v/>
          </cell>
          <cell r="DX256" t="str">
            <v/>
          </cell>
          <cell r="DY256" t="str">
            <v/>
          </cell>
          <cell r="DZ256" t="str">
            <v/>
          </cell>
          <cell r="EA256" t="str">
            <v/>
          </cell>
          <cell r="EB256" t="str">
            <v/>
          </cell>
          <cell r="EC256" t="str">
            <v/>
          </cell>
          <cell r="ED256" t="str">
            <v/>
          </cell>
          <cell r="EE256" t="str">
            <v/>
          </cell>
          <cell r="EF256" t="str">
            <v/>
          </cell>
          <cell r="EH256" t="str">
            <v/>
          </cell>
          <cell r="EI256" t="str">
            <v/>
          </cell>
          <cell r="EJ256" t="str">
            <v/>
          </cell>
          <cell r="EL256" t="str">
            <v/>
          </cell>
          <cell r="EM256" t="str">
            <v/>
          </cell>
          <cell r="EN256" t="str">
            <v/>
          </cell>
          <cell r="EO256" t="str">
            <v/>
          </cell>
          <cell r="EP256" t="str">
            <v/>
          </cell>
          <cell r="EQ256" t="str">
            <v/>
          </cell>
          <cell r="ER256" t="str">
            <v/>
          </cell>
          <cell r="ES256" t="str">
            <v/>
          </cell>
          <cell r="ET256" t="str">
            <v/>
          </cell>
        </row>
        <row r="257">
          <cell r="DO257">
            <v>178</v>
          </cell>
          <cell r="DP257" t="str">
            <v/>
          </cell>
          <cell r="DQ257" t="str">
            <v/>
          </cell>
          <cell r="DR257" t="str">
            <v/>
          </cell>
          <cell r="DS257" t="str">
            <v/>
          </cell>
          <cell r="DT257" t="str">
            <v/>
          </cell>
          <cell r="DU257" t="str">
            <v/>
          </cell>
          <cell r="DV257" t="str">
            <v/>
          </cell>
          <cell r="DW257" t="str">
            <v/>
          </cell>
          <cell r="DX257" t="str">
            <v/>
          </cell>
          <cell r="DY257" t="str">
            <v/>
          </cell>
          <cell r="DZ257" t="str">
            <v/>
          </cell>
          <cell r="EA257" t="str">
            <v/>
          </cell>
          <cell r="EB257" t="str">
            <v/>
          </cell>
          <cell r="EC257" t="str">
            <v/>
          </cell>
          <cell r="ED257" t="str">
            <v/>
          </cell>
          <cell r="EE257" t="str">
            <v/>
          </cell>
          <cell r="EF257" t="str">
            <v/>
          </cell>
          <cell r="EH257" t="str">
            <v/>
          </cell>
          <cell r="EI257" t="str">
            <v/>
          </cell>
          <cell r="EJ257" t="str">
            <v/>
          </cell>
          <cell r="EL257" t="str">
            <v/>
          </cell>
          <cell r="EM257" t="str">
            <v/>
          </cell>
          <cell r="EN257" t="str">
            <v/>
          </cell>
          <cell r="EO257" t="str">
            <v/>
          </cell>
          <cell r="EP257" t="str">
            <v/>
          </cell>
          <cell r="EQ257" t="str">
            <v/>
          </cell>
          <cell r="ER257" t="str">
            <v/>
          </cell>
          <cell r="ES257" t="str">
            <v/>
          </cell>
          <cell r="ET257" t="str">
            <v/>
          </cell>
        </row>
        <row r="258">
          <cell r="DO258">
            <v>179</v>
          </cell>
          <cell r="DP258" t="str">
            <v/>
          </cell>
          <cell r="DQ258" t="str">
            <v/>
          </cell>
          <cell r="DR258" t="str">
            <v/>
          </cell>
          <cell r="DS258" t="str">
            <v/>
          </cell>
          <cell r="DT258" t="str">
            <v/>
          </cell>
          <cell r="DU258" t="str">
            <v/>
          </cell>
          <cell r="DV258" t="str">
            <v/>
          </cell>
          <cell r="DW258" t="str">
            <v/>
          </cell>
          <cell r="DX258" t="str">
            <v/>
          </cell>
          <cell r="DY258" t="str">
            <v/>
          </cell>
          <cell r="DZ258" t="str">
            <v/>
          </cell>
          <cell r="EA258" t="str">
            <v/>
          </cell>
          <cell r="EB258" t="str">
            <v/>
          </cell>
          <cell r="EC258" t="str">
            <v/>
          </cell>
          <cell r="ED258" t="str">
            <v/>
          </cell>
          <cell r="EE258" t="str">
            <v/>
          </cell>
          <cell r="EF258" t="str">
            <v/>
          </cell>
          <cell r="EH258" t="str">
            <v/>
          </cell>
          <cell r="EI258" t="str">
            <v/>
          </cell>
          <cell r="EJ258" t="str">
            <v/>
          </cell>
          <cell r="EL258" t="str">
            <v/>
          </cell>
          <cell r="EM258" t="str">
            <v/>
          </cell>
          <cell r="EN258" t="str">
            <v/>
          </cell>
          <cell r="EO258" t="str">
            <v/>
          </cell>
          <cell r="EP258" t="str">
            <v/>
          </cell>
          <cell r="EQ258" t="str">
            <v/>
          </cell>
          <cell r="ER258" t="str">
            <v/>
          </cell>
          <cell r="ES258" t="str">
            <v/>
          </cell>
          <cell r="ET258" t="str">
            <v/>
          </cell>
        </row>
        <row r="259">
          <cell r="DO259">
            <v>180</v>
          </cell>
          <cell r="DP259" t="str">
            <v/>
          </cell>
          <cell r="DQ259" t="str">
            <v/>
          </cell>
          <cell r="DR259" t="str">
            <v/>
          </cell>
          <cell r="DS259" t="str">
            <v/>
          </cell>
          <cell r="DT259" t="str">
            <v/>
          </cell>
          <cell r="DU259" t="str">
            <v/>
          </cell>
          <cell r="DV259" t="str">
            <v/>
          </cell>
          <cell r="DW259" t="str">
            <v/>
          </cell>
          <cell r="DX259" t="str">
            <v/>
          </cell>
          <cell r="DY259" t="str">
            <v/>
          </cell>
          <cell r="DZ259" t="str">
            <v/>
          </cell>
          <cell r="EA259" t="str">
            <v/>
          </cell>
          <cell r="EB259" t="str">
            <v/>
          </cell>
          <cell r="EC259" t="str">
            <v/>
          </cell>
          <cell r="ED259" t="str">
            <v/>
          </cell>
          <cell r="EE259" t="str">
            <v/>
          </cell>
          <cell r="EF259" t="str">
            <v/>
          </cell>
          <cell r="EH259" t="str">
            <v/>
          </cell>
          <cell r="EI259" t="str">
            <v/>
          </cell>
          <cell r="EJ259" t="str">
            <v/>
          </cell>
          <cell r="EL259" t="str">
            <v/>
          </cell>
          <cell r="EM259" t="str">
            <v/>
          </cell>
          <cell r="EN259" t="str">
            <v/>
          </cell>
          <cell r="EO259" t="str">
            <v/>
          </cell>
          <cell r="EP259" t="str">
            <v/>
          </cell>
          <cell r="EQ259" t="str">
            <v/>
          </cell>
          <cell r="ER259" t="str">
            <v/>
          </cell>
          <cell r="ES259" t="str">
            <v/>
          </cell>
          <cell r="ET259" t="str">
            <v/>
          </cell>
        </row>
        <row r="260">
          <cell r="DO260">
            <v>181</v>
          </cell>
          <cell r="DP260" t="str">
            <v/>
          </cell>
          <cell r="DQ260" t="str">
            <v/>
          </cell>
          <cell r="DR260" t="str">
            <v/>
          </cell>
          <cell r="DS260" t="str">
            <v/>
          </cell>
          <cell r="DT260" t="str">
            <v/>
          </cell>
          <cell r="DU260" t="str">
            <v/>
          </cell>
          <cell r="DV260" t="str">
            <v/>
          </cell>
          <cell r="DW260" t="str">
            <v/>
          </cell>
          <cell r="DX260" t="str">
            <v/>
          </cell>
          <cell r="DY260" t="str">
            <v/>
          </cell>
          <cell r="DZ260" t="str">
            <v/>
          </cell>
          <cell r="EA260" t="str">
            <v/>
          </cell>
          <cell r="EB260" t="str">
            <v/>
          </cell>
          <cell r="EC260" t="str">
            <v/>
          </cell>
          <cell r="ED260" t="str">
            <v/>
          </cell>
          <cell r="EE260" t="str">
            <v/>
          </cell>
          <cell r="EF260" t="str">
            <v/>
          </cell>
          <cell r="EH260" t="str">
            <v/>
          </cell>
          <cell r="EI260" t="str">
            <v/>
          </cell>
          <cell r="EJ260" t="str">
            <v/>
          </cell>
          <cell r="EL260" t="str">
            <v/>
          </cell>
          <cell r="EM260" t="str">
            <v/>
          </cell>
          <cell r="EN260" t="str">
            <v/>
          </cell>
          <cell r="EO260" t="str">
            <v/>
          </cell>
          <cell r="EP260" t="str">
            <v/>
          </cell>
          <cell r="EQ260" t="str">
            <v/>
          </cell>
          <cell r="ER260" t="str">
            <v/>
          </cell>
          <cell r="ES260" t="str">
            <v/>
          </cell>
          <cell r="ET260" t="str">
            <v/>
          </cell>
        </row>
        <row r="261">
          <cell r="DO261">
            <v>182</v>
          </cell>
          <cell r="DP261" t="str">
            <v/>
          </cell>
          <cell r="DQ261" t="str">
            <v/>
          </cell>
          <cell r="DR261" t="str">
            <v/>
          </cell>
          <cell r="DS261" t="str">
            <v/>
          </cell>
          <cell r="DT261" t="str">
            <v/>
          </cell>
          <cell r="DU261" t="str">
            <v/>
          </cell>
          <cell r="DV261" t="str">
            <v/>
          </cell>
          <cell r="DW261" t="str">
            <v/>
          </cell>
          <cell r="DX261" t="str">
            <v/>
          </cell>
          <cell r="DY261" t="str">
            <v/>
          </cell>
          <cell r="DZ261" t="str">
            <v/>
          </cell>
          <cell r="EA261" t="str">
            <v/>
          </cell>
          <cell r="EB261" t="str">
            <v/>
          </cell>
          <cell r="EC261" t="str">
            <v/>
          </cell>
          <cell r="ED261" t="str">
            <v/>
          </cell>
          <cell r="EE261" t="str">
            <v/>
          </cell>
          <cell r="EF261" t="str">
            <v/>
          </cell>
          <cell r="EH261" t="str">
            <v/>
          </cell>
          <cell r="EI261" t="str">
            <v/>
          </cell>
          <cell r="EJ261" t="str">
            <v/>
          </cell>
          <cell r="EL261" t="str">
            <v/>
          </cell>
          <cell r="EM261" t="str">
            <v/>
          </cell>
          <cell r="EN261" t="str">
            <v/>
          </cell>
          <cell r="EO261" t="str">
            <v/>
          </cell>
          <cell r="EP261" t="str">
            <v/>
          </cell>
          <cell r="EQ261" t="str">
            <v/>
          </cell>
          <cell r="ER261" t="str">
            <v/>
          </cell>
          <cell r="ES261" t="str">
            <v/>
          </cell>
          <cell r="ET261" t="str">
            <v/>
          </cell>
        </row>
        <row r="262">
          <cell r="DO262">
            <v>183</v>
          </cell>
          <cell r="DP262" t="str">
            <v/>
          </cell>
          <cell r="DQ262" t="str">
            <v/>
          </cell>
          <cell r="DR262" t="str">
            <v/>
          </cell>
          <cell r="DS262" t="str">
            <v/>
          </cell>
          <cell r="DT262" t="str">
            <v/>
          </cell>
          <cell r="DU262" t="str">
            <v/>
          </cell>
          <cell r="DV262" t="str">
            <v/>
          </cell>
          <cell r="DW262" t="str">
            <v/>
          </cell>
          <cell r="DX262" t="str">
            <v/>
          </cell>
          <cell r="DY262" t="str">
            <v/>
          </cell>
          <cell r="DZ262" t="str">
            <v/>
          </cell>
          <cell r="EA262" t="str">
            <v/>
          </cell>
          <cell r="EB262" t="str">
            <v/>
          </cell>
          <cell r="EC262" t="str">
            <v/>
          </cell>
          <cell r="ED262" t="str">
            <v/>
          </cell>
          <cell r="EE262" t="str">
            <v/>
          </cell>
          <cell r="EF262" t="str">
            <v/>
          </cell>
          <cell r="EH262" t="str">
            <v/>
          </cell>
          <cell r="EI262" t="str">
            <v/>
          </cell>
          <cell r="EJ262" t="str">
            <v/>
          </cell>
          <cell r="EL262" t="str">
            <v/>
          </cell>
          <cell r="EM262" t="str">
            <v/>
          </cell>
          <cell r="EN262" t="str">
            <v/>
          </cell>
          <cell r="EO262" t="str">
            <v/>
          </cell>
          <cell r="EP262" t="str">
            <v/>
          </cell>
          <cell r="EQ262" t="str">
            <v/>
          </cell>
          <cell r="ER262" t="str">
            <v/>
          </cell>
          <cell r="ES262" t="str">
            <v/>
          </cell>
          <cell r="ET262" t="str">
            <v/>
          </cell>
        </row>
        <row r="263">
          <cell r="DO263">
            <v>184</v>
          </cell>
          <cell r="DP263" t="str">
            <v/>
          </cell>
          <cell r="DQ263" t="str">
            <v/>
          </cell>
          <cell r="DR263" t="str">
            <v/>
          </cell>
          <cell r="DS263" t="str">
            <v/>
          </cell>
          <cell r="DT263" t="str">
            <v/>
          </cell>
          <cell r="DU263" t="str">
            <v/>
          </cell>
          <cell r="DV263" t="str">
            <v/>
          </cell>
          <cell r="DW263" t="str">
            <v/>
          </cell>
          <cell r="DX263" t="str">
            <v/>
          </cell>
          <cell r="DY263" t="str">
            <v/>
          </cell>
          <cell r="DZ263" t="str">
            <v/>
          </cell>
          <cell r="EA263" t="str">
            <v/>
          </cell>
          <cell r="EB263" t="str">
            <v/>
          </cell>
          <cell r="EC263" t="str">
            <v/>
          </cell>
          <cell r="ED263" t="str">
            <v/>
          </cell>
          <cell r="EE263" t="str">
            <v/>
          </cell>
          <cell r="EF263" t="str">
            <v/>
          </cell>
          <cell r="EH263" t="str">
            <v/>
          </cell>
          <cell r="EI263" t="str">
            <v/>
          </cell>
          <cell r="EJ263" t="str">
            <v/>
          </cell>
          <cell r="EL263" t="str">
            <v/>
          </cell>
          <cell r="EM263" t="str">
            <v/>
          </cell>
          <cell r="EN263" t="str">
            <v/>
          </cell>
          <cell r="EO263" t="str">
            <v/>
          </cell>
          <cell r="EP263" t="str">
            <v/>
          </cell>
          <cell r="EQ263" t="str">
            <v/>
          </cell>
          <cell r="ER263" t="str">
            <v/>
          </cell>
          <cell r="ES263" t="str">
            <v/>
          </cell>
          <cell r="ET263" t="str">
            <v/>
          </cell>
        </row>
        <row r="264">
          <cell r="DO264">
            <v>185</v>
          </cell>
          <cell r="DP264" t="str">
            <v/>
          </cell>
          <cell r="DQ264" t="str">
            <v/>
          </cell>
          <cell r="DR264" t="str">
            <v/>
          </cell>
          <cell r="DS264" t="str">
            <v/>
          </cell>
          <cell r="DT264" t="str">
            <v/>
          </cell>
          <cell r="DU264" t="str">
            <v/>
          </cell>
          <cell r="DV264" t="str">
            <v/>
          </cell>
          <cell r="DW264" t="str">
            <v/>
          </cell>
          <cell r="DX264" t="str">
            <v/>
          </cell>
          <cell r="DY264" t="str">
            <v/>
          </cell>
          <cell r="DZ264" t="str">
            <v/>
          </cell>
          <cell r="EA264" t="str">
            <v/>
          </cell>
          <cell r="EB264" t="str">
            <v/>
          </cell>
          <cell r="EC264" t="str">
            <v/>
          </cell>
          <cell r="ED264" t="str">
            <v/>
          </cell>
          <cell r="EE264" t="str">
            <v/>
          </cell>
          <cell r="EF264" t="str">
            <v/>
          </cell>
          <cell r="EH264" t="str">
            <v/>
          </cell>
          <cell r="EI264" t="str">
            <v/>
          </cell>
          <cell r="EJ264" t="str">
            <v/>
          </cell>
          <cell r="EL264" t="str">
            <v/>
          </cell>
          <cell r="EM264" t="str">
            <v/>
          </cell>
          <cell r="EN264" t="str">
            <v/>
          </cell>
          <cell r="EO264" t="str">
            <v/>
          </cell>
          <cell r="EP264" t="str">
            <v/>
          </cell>
          <cell r="EQ264" t="str">
            <v/>
          </cell>
          <cell r="ER264" t="str">
            <v/>
          </cell>
          <cell r="ES264" t="str">
            <v/>
          </cell>
          <cell r="ET264" t="str">
            <v/>
          </cell>
        </row>
        <row r="265">
          <cell r="DO265">
            <v>186</v>
          </cell>
          <cell r="DP265" t="str">
            <v/>
          </cell>
          <cell r="DQ265" t="str">
            <v/>
          </cell>
          <cell r="DR265" t="str">
            <v/>
          </cell>
          <cell r="DS265" t="str">
            <v/>
          </cell>
          <cell r="DT265" t="str">
            <v/>
          </cell>
          <cell r="DU265" t="str">
            <v/>
          </cell>
          <cell r="DV265" t="str">
            <v/>
          </cell>
          <cell r="DW265" t="str">
            <v/>
          </cell>
          <cell r="DX265" t="str">
            <v/>
          </cell>
          <cell r="DY265" t="str">
            <v/>
          </cell>
          <cell r="DZ265" t="str">
            <v/>
          </cell>
          <cell r="EA265" t="str">
            <v/>
          </cell>
          <cell r="EB265" t="str">
            <v/>
          </cell>
          <cell r="EC265" t="str">
            <v/>
          </cell>
          <cell r="ED265" t="str">
            <v/>
          </cell>
          <cell r="EE265" t="str">
            <v/>
          </cell>
          <cell r="EF265" t="str">
            <v/>
          </cell>
          <cell r="EH265" t="str">
            <v/>
          </cell>
          <cell r="EI265" t="str">
            <v/>
          </cell>
          <cell r="EJ265" t="str">
            <v/>
          </cell>
          <cell r="EL265" t="str">
            <v/>
          </cell>
          <cell r="EM265" t="str">
            <v/>
          </cell>
          <cell r="EN265" t="str">
            <v/>
          </cell>
          <cell r="EO265" t="str">
            <v/>
          </cell>
          <cell r="EP265" t="str">
            <v/>
          </cell>
          <cell r="EQ265" t="str">
            <v/>
          </cell>
          <cell r="ER265" t="str">
            <v/>
          </cell>
          <cell r="ES265" t="str">
            <v/>
          </cell>
          <cell r="ET265" t="str">
            <v/>
          </cell>
        </row>
        <row r="266">
          <cell r="DO266">
            <v>187</v>
          </cell>
          <cell r="DP266" t="str">
            <v/>
          </cell>
          <cell r="DQ266" t="str">
            <v/>
          </cell>
          <cell r="DR266" t="str">
            <v/>
          </cell>
          <cell r="DS266" t="str">
            <v/>
          </cell>
          <cell r="DT266" t="str">
            <v/>
          </cell>
          <cell r="DU266" t="str">
            <v/>
          </cell>
          <cell r="DV266" t="str">
            <v/>
          </cell>
          <cell r="DW266" t="str">
            <v/>
          </cell>
          <cell r="DX266" t="str">
            <v/>
          </cell>
          <cell r="DY266" t="str">
            <v/>
          </cell>
          <cell r="DZ266" t="str">
            <v/>
          </cell>
          <cell r="EA266" t="str">
            <v/>
          </cell>
          <cell r="EB266" t="str">
            <v/>
          </cell>
          <cell r="EC266" t="str">
            <v/>
          </cell>
          <cell r="ED266" t="str">
            <v/>
          </cell>
          <cell r="EE266" t="str">
            <v/>
          </cell>
          <cell r="EF266" t="str">
            <v/>
          </cell>
          <cell r="EH266" t="str">
            <v/>
          </cell>
          <cell r="EI266" t="str">
            <v/>
          </cell>
          <cell r="EJ266" t="str">
            <v/>
          </cell>
          <cell r="EL266" t="str">
            <v/>
          </cell>
          <cell r="EM266" t="str">
            <v/>
          </cell>
          <cell r="EN266" t="str">
            <v/>
          </cell>
          <cell r="EO266" t="str">
            <v/>
          </cell>
          <cell r="EP266" t="str">
            <v/>
          </cell>
          <cell r="EQ266" t="str">
            <v/>
          </cell>
          <cell r="ER266" t="str">
            <v/>
          </cell>
          <cell r="ES266" t="str">
            <v/>
          </cell>
          <cell r="ET266" t="str">
            <v/>
          </cell>
        </row>
        <row r="267">
          <cell r="DO267">
            <v>188</v>
          </cell>
          <cell r="DP267" t="str">
            <v/>
          </cell>
          <cell r="DQ267" t="str">
            <v/>
          </cell>
          <cell r="DR267" t="str">
            <v/>
          </cell>
          <cell r="DS267" t="str">
            <v/>
          </cell>
          <cell r="DT267" t="str">
            <v/>
          </cell>
          <cell r="DU267" t="str">
            <v/>
          </cell>
          <cell r="DV267" t="str">
            <v/>
          </cell>
          <cell r="DW267" t="str">
            <v/>
          </cell>
          <cell r="DX267" t="str">
            <v/>
          </cell>
          <cell r="DY267" t="str">
            <v/>
          </cell>
          <cell r="DZ267" t="str">
            <v/>
          </cell>
          <cell r="EA267" t="str">
            <v/>
          </cell>
          <cell r="EB267" t="str">
            <v/>
          </cell>
          <cell r="EC267" t="str">
            <v/>
          </cell>
          <cell r="ED267" t="str">
            <v/>
          </cell>
          <cell r="EE267" t="str">
            <v/>
          </cell>
          <cell r="EF267" t="str">
            <v/>
          </cell>
          <cell r="EH267" t="str">
            <v/>
          </cell>
          <cell r="EI267" t="str">
            <v/>
          </cell>
          <cell r="EJ267" t="str">
            <v/>
          </cell>
          <cell r="EL267" t="str">
            <v/>
          </cell>
          <cell r="EM267" t="str">
            <v/>
          </cell>
          <cell r="EN267" t="str">
            <v/>
          </cell>
          <cell r="EO267" t="str">
            <v/>
          </cell>
          <cell r="EP267" t="str">
            <v/>
          </cell>
          <cell r="EQ267" t="str">
            <v/>
          </cell>
          <cell r="ER267" t="str">
            <v/>
          </cell>
          <cell r="ES267" t="str">
            <v/>
          </cell>
          <cell r="ET267" t="str">
            <v/>
          </cell>
        </row>
        <row r="268">
          <cell r="DO268">
            <v>189</v>
          </cell>
          <cell r="DP268" t="str">
            <v/>
          </cell>
          <cell r="DQ268" t="str">
            <v/>
          </cell>
          <cell r="DR268" t="str">
            <v/>
          </cell>
          <cell r="DS268" t="str">
            <v/>
          </cell>
          <cell r="DT268" t="str">
            <v/>
          </cell>
          <cell r="DU268" t="str">
            <v/>
          </cell>
          <cell r="DV268" t="str">
            <v/>
          </cell>
          <cell r="DW268" t="str">
            <v/>
          </cell>
          <cell r="DX268" t="str">
            <v/>
          </cell>
          <cell r="DY268" t="str">
            <v/>
          </cell>
          <cell r="DZ268" t="str">
            <v/>
          </cell>
          <cell r="EA268" t="str">
            <v/>
          </cell>
          <cell r="EB268" t="str">
            <v/>
          </cell>
          <cell r="EC268" t="str">
            <v/>
          </cell>
          <cell r="ED268" t="str">
            <v/>
          </cell>
          <cell r="EE268" t="str">
            <v/>
          </cell>
          <cell r="EF268" t="str">
            <v/>
          </cell>
          <cell r="EH268" t="str">
            <v/>
          </cell>
          <cell r="EI268" t="str">
            <v/>
          </cell>
          <cell r="EJ268" t="str">
            <v/>
          </cell>
          <cell r="EL268" t="str">
            <v/>
          </cell>
          <cell r="EM268" t="str">
            <v/>
          </cell>
          <cell r="EN268" t="str">
            <v/>
          </cell>
          <cell r="EO268" t="str">
            <v/>
          </cell>
          <cell r="EP268" t="str">
            <v/>
          </cell>
          <cell r="EQ268" t="str">
            <v/>
          </cell>
          <cell r="ER268" t="str">
            <v/>
          </cell>
          <cell r="ES268" t="str">
            <v/>
          </cell>
          <cell r="ET268" t="str">
            <v/>
          </cell>
        </row>
        <row r="269">
          <cell r="DO269">
            <v>190</v>
          </cell>
          <cell r="DP269" t="str">
            <v/>
          </cell>
          <cell r="DQ269" t="str">
            <v/>
          </cell>
          <cell r="DR269" t="str">
            <v/>
          </cell>
          <cell r="DS269" t="str">
            <v/>
          </cell>
          <cell r="DT269" t="str">
            <v/>
          </cell>
          <cell r="DU269" t="str">
            <v/>
          </cell>
          <cell r="DV269" t="str">
            <v/>
          </cell>
          <cell r="DW269" t="str">
            <v/>
          </cell>
          <cell r="DX269" t="str">
            <v/>
          </cell>
          <cell r="DY269" t="str">
            <v/>
          </cell>
          <cell r="DZ269" t="str">
            <v/>
          </cell>
          <cell r="EA269" t="str">
            <v/>
          </cell>
          <cell r="EB269" t="str">
            <v/>
          </cell>
          <cell r="EC269" t="str">
            <v/>
          </cell>
          <cell r="ED269" t="str">
            <v/>
          </cell>
          <cell r="EE269" t="str">
            <v/>
          </cell>
          <cell r="EF269" t="str">
            <v/>
          </cell>
          <cell r="EH269" t="str">
            <v/>
          </cell>
          <cell r="EI269" t="str">
            <v/>
          </cell>
          <cell r="EJ269" t="str">
            <v/>
          </cell>
          <cell r="EL269" t="str">
            <v/>
          </cell>
          <cell r="EM269" t="str">
            <v/>
          </cell>
          <cell r="EN269" t="str">
            <v/>
          </cell>
          <cell r="EO269" t="str">
            <v/>
          </cell>
          <cell r="EP269" t="str">
            <v/>
          </cell>
          <cell r="EQ269" t="str">
            <v/>
          </cell>
          <cell r="ER269" t="str">
            <v/>
          </cell>
          <cell r="ES269" t="str">
            <v/>
          </cell>
          <cell r="ET269" t="str">
            <v/>
          </cell>
        </row>
        <row r="270">
          <cell r="DO270">
            <v>191</v>
          </cell>
          <cell r="DP270" t="str">
            <v/>
          </cell>
          <cell r="DQ270" t="str">
            <v/>
          </cell>
          <cell r="DR270" t="str">
            <v/>
          </cell>
          <cell r="DS270" t="str">
            <v/>
          </cell>
          <cell r="DT270" t="str">
            <v/>
          </cell>
          <cell r="DU270" t="str">
            <v/>
          </cell>
          <cell r="DV270" t="str">
            <v/>
          </cell>
          <cell r="DW270" t="str">
            <v/>
          </cell>
          <cell r="DX270" t="str">
            <v/>
          </cell>
          <cell r="DY270" t="str">
            <v/>
          </cell>
          <cell r="DZ270" t="str">
            <v/>
          </cell>
          <cell r="EA270" t="str">
            <v/>
          </cell>
          <cell r="EB270" t="str">
            <v/>
          </cell>
          <cell r="EC270" t="str">
            <v/>
          </cell>
          <cell r="ED270" t="str">
            <v/>
          </cell>
          <cell r="EE270" t="str">
            <v/>
          </cell>
          <cell r="EF270" t="str">
            <v/>
          </cell>
          <cell r="EH270" t="str">
            <v/>
          </cell>
          <cell r="EI270" t="str">
            <v/>
          </cell>
          <cell r="EJ270" t="str">
            <v/>
          </cell>
          <cell r="EL270" t="str">
            <v/>
          </cell>
          <cell r="EM270" t="str">
            <v/>
          </cell>
          <cell r="EN270" t="str">
            <v/>
          </cell>
          <cell r="EO270" t="str">
            <v/>
          </cell>
          <cell r="EP270" t="str">
            <v/>
          </cell>
          <cell r="EQ270" t="str">
            <v/>
          </cell>
          <cell r="ER270" t="str">
            <v/>
          </cell>
          <cell r="ES270" t="str">
            <v/>
          </cell>
          <cell r="ET270" t="str">
            <v/>
          </cell>
        </row>
        <row r="271">
          <cell r="DO271">
            <v>192</v>
          </cell>
          <cell r="DP271" t="str">
            <v/>
          </cell>
          <cell r="DQ271" t="str">
            <v/>
          </cell>
          <cell r="DR271" t="str">
            <v/>
          </cell>
          <cell r="DS271" t="str">
            <v/>
          </cell>
          <cell r="DT271" t="str">
            <v/>
          </cell>
          <cell r="DU271" t="str">
            <v/>
          </cell>
          <cell r="DV271" t="str">
            <v/>
          </cell>
          <cell r="DW271" t="str">
            <v/>
          </cell>
          <cell r="DX271" t="str">
            <v/>
          </cell>
          <cell r="DY271" t="str">
            <v/>
          </cell>
          <cell r="DZ271" t="str">
            <v/>
          </cell>
          <cell r="EA271" t="str">
            <v/>
          </cell>
          <cell r="EB271" t="str">
            <v/>
          </cell>
          <cell r="EC271" t="str">
            <v/>
          </cell>
          <cell r="ED271" t="str">
            <v/>
          </cell>
          <cell r="EE271" t="str">
            <v/>
          </cell>
          <cell r="EF271" t="str">
            <v/>
          </cell>
          <cell r="EH271" t="str">
            <v/>
          </cell>
          <cell r="EI271" t="str">
            <v/>
          </cell>
          <cell r="EJ271" t="str">
            <v/>
          </cell>
          <cell r="EL271" t="str">
            <v/>
          </cell>
          <cell r="EM271" t="str">
            <v/>
          </cell>
          <cell r="EN271" t="str">
            <v/>
          </cell>
          <cell r="EO271" t="str">
            <v/>
          </cell>
          <cell r="EP271" t="str">
            <v/>
          </cell>
          <cell r="EQ271" t="str">
            <v/>
          </cell>
          <cell r="ER271" t="str">
            <v/>
          </cell>
          <cell r="ES271" t="str">
            <v/>
          </cell>
          <cell r="ET271" t="str">
            <v/>
          </cell>
        </row>
        <row r="272">
          <cell r="DO272">
            <v>193</v>
          </cell>
          <cell r="DP272" t="str">
            <v/>
          </cell>
          <cell r="DQ272" t="str">
            <v/>
          </cell>
          <cell r="DR272" t="str">
            <v/>
          </cell>
          <cell r="DS272" t="str">
            <v/>
          </cell>
          <cell r="DT272" t="str">
            <v/>
          </cell>
          <cell r="DU272" t="str">
            <v/>
          </cell>
          <cell r="DV272" t="str">
            <v/>
          </cell>
          <cell r="DW272" t="str">
            <v/>
          </cell>
          <cell r="DX272" t="str">
            <v/>
          </cell>
          <cell r="DY272" t="str">
            <v/>
          </cell>
          <cell r="DZ272" t="str">
            <v/>
          </cell>
          <cell r="EA272" t="str">
            <v/>
          </cell>
          <cell r="EB272" t="str">
            <v/>
          </cell>
          <cell r="EC272" t="str">
            <v/>
          </cell>
          <cell r="ED272" t="str">
            <v/>
          </cell>
          <cell r="EE272" t="str">
            <v/>
          </cell>
          <cell r="EF272" t="str">
            <v/>
          </cell>
          <cell r="EH272" t="str">
            <v/>
          </cell>
          <cell r="EI272" t="str">
            <v/>
          </cell>
          <cell r="EJ272" t="str">
            <v/>
          </cell>
          <cell r="EL272" t="str">
            <v/>
          </cell>
          <cell r="EM272" t="str">
            <v/>
          </cell>
          <cell r="EN272" t="str">
            <v/>
          </cell>
          <cell r="EO272" t="str">
            <v/>
          </cell>
          <cell r="EP272" t="str">
            <v/>
          </cell>
          <cell r="EQ272" t="str">
            <v/>
          </cell>
          <cell r="ER272" t="str">
            <v/>
          </cell>
          <cell r="ES272" t="str">
            <v/>
          </cell>
          <cell r="ET272" t="str">
            <v/>
          </cell>
        </row>
        <row r="273">
          <cell r="DO273">
            <v>194</v>
          </cell>
          <cell r="DP273" t="str">
            <v/>
          </cell>
          <cell r="DQ273" t="str">
            <v/>
          </cell>
          <cell r="DR273" t="str">
            <v/>
          </cell>
          <cell r="DS273" t="str">
            <v/>
          </cell>
          <cell r="DT273" t="str">
            <v/>
          </cell>
          <cell r="DU273" t="str">
            <v/>
          </cell>
          <cell r="DV273" t="str">
            <v/>
          </cell>
          <cell r="DW273" t="str">
            <v/>
          </cell>
          <cell r="DX273" t="str">
            <v/>
          </cell>
          <cell r="DY273" t="str">
            <v/>
          </cell>
          <cell r="DZ273" t="str">
            <v/>
          </cell>
          <cell r="EA273" t="str">
            <v/>
          </cell>
          <cell r="EB273" t="str">
            <v/>
          </cell>
          <cell r="EC273" t="str">
            <v/>
          </cell>
          <cell r="ED273" t="str">
            <v/>
          </cell>
          <cell r="EE273" t="str">
            <v/>
          </cell>
          <cell r="EF273" t="str">
            <v/>
          </cell>
          <cell r="EH273" t="str">
            <v/>
          </cell>
          <cell r="EI273" t="str">
            <v/>
          </cell>
          <cell r="EJ273" t="str">
            <v/>
          </cell>
          <cell r="EL273" t="str">
            <v/>
          </cell>
          <cell r="EM273" t="str">
            <v/>
          </cell>
          <cell r="EN273" t="str">
            <v/>
          </cell>
          <cell r="EO273" t="str">
            <v/>
          </cell>
          <cell r="EP273" t="str">
            <v/>
          </cell>
          <cell r="EQ273" t="str">
            <v/>
          </cell>
          <cell r="ER273" t="str">
            <v/>
          </cell>
          <cell r="ES273" t="str">
            <v/>
          </cell>
          <cell r="ET273" t="str">
            <v/>
          </cell>
        </row>
        <row r="274">
          <cell r="DO274">
            <v>195</v>
          </cell>
          <cell r="DP274" t="str">
            <v/>
          </cell>
          <cell r="DQ274" t="str">
            <v/>
          </cell>
          <cell r="DR274" t="str">
            <v/>
          </cell>
          <cell r="DS274" t="str">
            <v/>
          </cell>
          <cell r="DT274" t="str">
            <v/>
          </cell>
          <cell r="DU274" t="str">
            <v/>
          </cell>
          <cell r="DV274" t="str">
            <v/>
          </cell>
          <cell r="DW274" t="str">
            <v/>
          </cell>
          <cell r="DX274" t="str">
            <v/>
          </cell>
          <cell r="DY274" t="str">
            <v/>
          </cell>
          <cell r="DZ274" t="str">
            <v/>
          </cell>
          <cell r="EA274" t="str">
            <v/>
          </cell>
          <cell r="EB274" t="str">
            <v/>
          </cell>
          <cell r="EC274" t="str">
            <v/>
          </cell>
          <cell r="ED274" t="str">
            <v/>
          </cell>
          <cell r="EE274" t="str">
            <v/>
          </cell>
          <cell r="EF274" t="str">
            <v/>
          </cell>
          <cell r="EH274" t="str">
            <v/>
          </cell>
          <cell r="EI274" t="str">
            <v/>
          </cell>
          <cell r="EJ274" t="str">
            <v/>
          </cell>
          <cell r="EL274" t="str">
            <v/>
          </cell>
          <cell r="EM274" t="str">
            <v/>
          </cell>
          <cell r="EN274" t="str">
            <v/>
          </cell>
          <cell r="EO274" t="str">
            <v/>
          </cell>
          <cell r="EP274" t="str">
            <v/>
          </cell>
          <cell r="EQ274" t="str">
            <v/>
          </cell>
          <cell r="ER274" t="str">
            <v/>
          </cell>
          <cell r="ES274" t="str">
            <v/>
          </cell>
          <cell r="ET274" t="str">
            <v/>
          </cell>
        </row>
        <row r="275">
          <cell r="DO275">
            <v>196</v>
          </cell>
          <cell r="DP275" t="str">
            <v/>
          </cell>
          <cell r="DQ275" t="str">
            <v/>
          </cell>
          <cell r="DR275" t="str">
            <v/>
          </cell>
          <cell r="DS275" t="str">
            <v/>
          </cell>
          <cell r="DT275" t="str">
            <v/>
          </cell>
          <cell r="DU275" t="str">
            <v/>
          </cell>
          <cell r="DV275" t="str">
            <v/>
          </cell>
          <cell r="DW275" t="str">
            <v/>
          </cell>
          <cell r="DX275" t="str">
            <v/>
          </cell>
          <cell r="DY275" t="str">
            <v/>
          </cell>
          <cell r="DZ275" t="str">
            <v/>
          </cell>
          <cell r="EA275" t="str">
            <v/>
          </cell>
          <cell r="EB275" t="str">
            <v/>
          </cell>
          <cell r="EC275" t="str">
            <v/>
          </cell>
          <cell r="ED275" t="str">
            <v/>
          </cell>
          <cell r="EE275" t="str">
            <v/>
          </cell>
          <cell r="EF275" t="str">
            <v/>
          </cell>
          <cell r="EH275" t="str">
            <v/>
          </cell>
          <cell r="EI275" t="str">
            <v/>
          </cell>
          <cell r="EJ275" t="str">
            <v/>
          </cell>
          <cell r="EL275" t="str">
            <v/>
          </cell>
          <cell r="EM275" t="str">
            <v/>
          </cell>
          <cell r="EN275" t="str">
            <v/>
          </cell>
          <cell r="EO275" t="str">
            <v/>
          </cell>
          <cell r="EP275" t="str">
            <v/>
          </cell>
          <cell r="EQ275" t="str">
            <v/>
          </cell>
          <cell r="ER275" t="str">
            <v/>
          </cell>
          <cell r="ES275" t="str">
            <v/>
          </cell>
          <cell r="ET275" t="str">
            <v/>
          </cell>
        </row>
        <row r="276">
          <cell r="DO276">
            <v>197</v>
          </cell>
          <cell r="DP276" t="str">
            <v/>
          </cell>
          <cell r="DQ276" t="str">
            <v/>
          </cell>
          <cell r="DR276" t="str">
            <v/>
          </cell>
          <cell r="DS276" t="str">
            <v/>
          </cell>
          <cell r="DT276" t="str">
            <v/>
          </cell>
          <cell r="DU276" t="str">
            <v/>
          </cell>
          <cell r="DV276" t="str">
            <v/>
          </cell>
          <cell r="DW276" t="str">
            <v/>
          </cell>
          <cell r="DX276" t="str">
            <v/>
          </cell>
          <cell r="DY276" t="str">
            <v/>
          </cell>
          <cell r="DZ276" t="str">
            <v/>
          </cell>
          <cell r="EA276" t="str">
            <v/>
          </cell>
          <cell r="EB276" t="str">
            <v/>
          </cell>
          <cell r="EC276" t="str">
            <v/>
          </cell>
          <cell r="ED276" t="str">
            <v/>
          </cell>
          <cell r="EE276" t="str">
            <v/>
          </cell>
          <cell r="EF276" t="str">
            <v/>
          </cell>
          <cell r="EH276" t="str">
            <v/>
          </cell>
          <cell r="EI276" t="str">
            <v/>
          </cell>
          <cell r="EJ276" t="str">
            <v/>
          </cell>
          <cell r="EL276" t="str">
            <v/>
          </cell>
          <cell r="EM276" t="str">
            <v/>
          </cell>
          <cell r="EN276" t="str">
            <v/>
          </cell>
          <cell r="EO276" t="str">
            <v/>
          </cell>
          <cell r="EP276" t="str">
            <v/>
          </cell>
          <cell r="EQ276" t="str">
            <v/>
          </cell>
          <cell r="ER276" t="str">
            <v/>
          </cell>
          <cell r="ES276" t="str">
            <v/>
          </cell>
          <cell r="ET276" t="str">
            <v/>
          </cell>
        </row>
        <row r="277">
          <cell r="DO277">
            <v>198</v>
          </cell>
          <cell r="DP277" t="str">
            <v/>
          </cell>
          <cell r="DQ277" t="str">
            <v/>
          </cell>
          <cell r="DR277" t="str">
            <v/>
          </cell>
          <cell r="DS277" t="str">
            <v/>
          </cell>
          <cell r="DT277" t="str">
            <v/>
          </cell>
          <cell r="DU277" t="str">
            <v/>
          </cell>
          <cell r="DV277" t="str">
            <v/>
          </cell>
          <cell r="DW277" t="str">
            <v/>
          </cell>
          <cell r="DX277" t="str">
            <v/>
          </cell>
          <cell r="DY277" t="str">
            <v/>
          </cell>
          <cell r="DZ277" t="str">
            <v/>
          </cell>
          <cell r="EA277" t="str">
            <v/>
          </cell>
          <cell r="EB277" t="str">
            <v/>
          </cell>
          <cell r="EC277" t="str">
            <v/>
          </cell>
          <cell r="ED277" t="str">
            <v/>
          </cell>
          <cell r="EE277" t="str">
            <v/>
          </cell>
          <cell r="EF277" t="str">
            <v/>
          </cell>
          <cell r="EH277" t="str">
            <v/>
          </cell>
          <cell r="EI277" t="str">
            <v/>
          </cell>
          <cell r="EJ277" t="str">
            <v/>
          </cell>
          <cell r="EL277" t="str">
            <v/>
          </cell>
          <cell r="EM277" t="str">
            <v/>
          </cell>
          <cell r="EN277" t="str">
            <v/>
          </cell>
          <cell r="EO277" t="str">
            <v/>
          </cell>
          <cell r="EP277" t="str">
            <v/>
          </cell>
          <cell r="EQ277" t="str">
            <v/>
          </cell>
          <cell r="ER277" t="str">
            <v/>
          </cell>
          <cell r="ES277" t="str">
            <v/>
          </cell>
          <cell r="ET277" t="str">
            <v/>
          </cell>
        </row>
        <row r="278">
          <cell r="DO278">
            <v>199</v>
          </cell>
          <cell r="DP278" t="str">
            <v/>
          </cell>
          <cell r="DQ278" t="str">
            <v/>
          </cell>
          <cell r="DR278" t="str">
            <v/>
          </cell>
          <cell r="DS278" t="str">
            <v/>
          </cell>
          <cell r="DT278" t="str">
            <v/>
          </cell>
          <cell r="DU278" t="str">
            <v/>
          </cell>
          <cell r="DV278" t="str">
            <v/>
          </cell>
          <cell r="DW278" t="str">
            <v/>
          </cell>
          <cell r="DX278" t="str">
            <v/>
          </cell>
          <cell r="DY278" t="str">
            <v/>
          </cell>
          <cell r="DZ278" t="str">
            <v/>
          </cell>
          <cell r="EA278" t="str">
            <v/>
          </cell>
          <cell r="EB278" t="str">
            <v/>
          </cell>
          <cell r="EC278" t="str">
            <v/>
          </cell>
          <cell r="ED278" t="str">
            <v/>
          </cell>
          <cell r="EE278" t="str">
            <v/>
          </cell>
          <cell r="EF278" t="str">
            <v/>
          </cell>
          <cell r="EH278" t="str">
            <v/>
          </cell>
          <cell r="EI278" t="str">
            <v/>
          </cell>
          <cell r="EJ278" t="str">
            <v/>
          </cell>
          <cell r="EL278" t="str">
            <v/>
          </cell>
          <cell r="EM278" t="str">
            <v/>
          </cell>
          <cell r="EN278" t="str">
            <v/>
          </cell>
          <cell r="EO278" t="str">
            <v/>
          </cell>
          <cell r="EP278" t="str">
            <v/>
          </cell>
          <cell r="EQ278" t="str">
            <v/>
          </cell>
          <cell r="ER278" t="str">
            <v/>
          </cell>
          <cell r="ES278" t="str">
            <v/>
          </cell>
          <cell r="ET278" t="str">
            <v/>
          </cell>
        </row>
        <row r="279">
          <cell r="DO279">
            <v>200</v>
          </cell>
          <cell r="DP279" t="str">
            <v/>
          </cell>
          <cell r="DQ279" t="str">
            <v/>
          </cell>
          <cell r="DR279" t="str">
            <v/>
          </cell>
          <cell r="DS279" t="str">
            <v/>
          </cell>
          <cell r="DT279" t="str">
            <v/>
          </cell>
          <cell r="DU279" t="str">
            <v/>
          </cell>
          <cell r="DV279" t="str">
            <v/>
          </cell>
          <cell r="DW279" t="str">
            <v/>
          </cell>
          <cell r="DX279" t="str">
            <v/>
          </cell>
          <cell r="DY279" t="str">
            <v/>
          </cell>
          <cell r="DZ279" t="str">
            <v/>
          </cell>
          <cell r="EA279" t="str">
            <v/>
          </cell>
          <cell r="EB279" t="str">
            <v/>
          </cell>
          <cell r="EC279" t="str">
            <v/>
          </cell>
          <cell r="ED279" t="str">
            <v/>
          </cell>
          <cell r="EE279" t="str">
            <v/>
          </cell>
          <cell r="EF279" t="str">
            <v/>
          </cell>
          <cell r="EH279" t="str">
            <v/>
          </cell>
          <cell r="EI279" t="str">
            <v/>
          </cell>
          <cell r="EJ279" t="str">
            <v/>
          </cell>
          <cell r="EL279" t="str">
            <v/>
          </cell>
          <cell r="EM279" t="str">
            <v/>
          </cell>
          <cell r="EN279" t="str">
            <v/>
          </cell>
          <cell r="EO279" t="str">
            <v/>
          </cell>
          <cell r="EP279" t="str">
            <v/>
          </cell>
          <cell r="EQ279" t="str">
            <v/>
          </cell>
          <cell r="ER279" t="str">
            <v/>
          </cell>
          <cell r="ES279" t="str">
            <v/>
          </cell>
          <cell r="ET279" t="str">
            <v/>
          </cell>
        </row>
        <row r="280">
          <cell r="DO280">
            <v>201</v>
          </cell>
          <cell r="DP280" t="str">
            <v/>
          </cell>
          <cell r="DQ280" t="str">
            <v/>
          </cell>
          <cell r="DR280" t="str">
            <v/>
          </cell>
          <cell r="DS280" t="str">
            <v/>
          </cell>
          <cell r="DT280" t="str">
            <v/>
          </cell>
          <cell r="DU280" t="str">
            <v/>
          </cell>
          <cell r="DV280" t="str">
            <v/>
          </cell>
          <cell r="DW280" t="str">
            <v/>
          </cell>
          <cell r="DX280" t="str">
            <v/>
          </cell>
          <cell r="DY280" t="str">
            <v/>
          </cell>
          <cell r="DZ280" t="str">
            <v/>
          </cell>
          <cell r="EA280" t="str">
            <v/>
          </cell>
          <cell r="EB280" t="str">
            <v/>
          </cell>
          <cell r="EC280" t="str">
            <v/>
          </cell>
          <cell r="ED280" t="str">
            <v/>
          </cell>
          <cell r="EE280" t="str">
            <v/>
          </cell>
          <cell r="EF280" t="str">
            <v/>
          </cell>
          <cell r="EH280" t="str">
            <v/>
          </cell>
          <cell r="EI280" t="str">
            <v/>
          </cell>
          <cell r="EJ280" t="str">
            <v/>
          </cell>
          <cell r="EL280" t="str">
            <v/>
          </cell>
          <cell r="EM280" t="str">
            <v/>
          </cell>
          <cell r="EN280" t="str">
            <v/>
          </cell>
          <cell r="EO280" t="str">
            <v/>
          </cell>
          <cell r="EP280" t="str">
            <v/>
          </cell>
          <cell r="EQ280" t="str">
            <v/>
          </cell>
          <cell r="ER280" t="str">
            <v/>
          </cell>
          <cell r="ES280" t="str">
            <v/>
          </cell>
          <cell r="ET280" t="str">
            <v/>
          </cell>
        </row>
        <row r="281">
          <cell r="DO281">
            <v>202</v>
          </cell>
          <cell r="DP281" t="str">
            <v/>
          </cell>
          <cell r="DQ281" t="str">
            <v/>
          </cell>
          <cell r="DR281" t="str">
            <v/>
          </cell>
          <cell r="DS281" t="str">
            <v/>
          </cell>
          <cell r="DT281" t="str">
            <v/>
          </cell>
          <cell r="DU281" t="str">
            <v/>
          </cell>
          <cell r="DV281" t="str">
            <v/>
          </cell>
          <cell r="DW281" t="str">
            <v/>
          </cell>
          <cell r="DX281" t="str">
            <v/>
          </cell>
          <cell r="DY281" t="str">
            <v/>
          </cell>
          <cell r="DZ281" t="str">
            <v/>
          </cell>
          <cell r="EA281" t="str">
            <v/>
          </cell>
          <cell r="EB281" t="str">
            <v/>
          </cell>
          <cell r="EC281" t="str">
            <v/>
          </cell>
          <cell r="ED281" t="str">
            <v/>
          </cell>
          <cell r="EE281" t="str">
            <v/>
          </cell>
          <cell r="EF281" t="str">
            <v/>
          </cell>
          <cell r="EH281" t="str">
            <v/>
          </cell>
          <cell r="EI281" t="str">
            <v/>
          </cell>
          <cell r="EJ281" t="str">
            <v/>
          </cell>
          <cell r="EL281" t="str">
            <v/>
          </cell>
          <cell r="EM281" t="str">
            <v/>
          </cell>
          <cell r="EN281" t="str">
            <v/>
          </cell>
          <cell r="EO281" t="str">
            <v/>
          </cell>
          <cell r="EP281" t="str">
            <v/>
          </cell>
          <cell r="EQ281" t="str">
            <v/>
          </cell>
          <cell r="ER281" t="str">
            <v/>
          </cell>
          <cell r="ES281" t="str">
            <v/>
          </cell>
          <cell r="ET281" t="str">
            <v/>
          </cell>
        </row>
        <row r="282">
          <cell r="DO282">
            <v>203</v>
          </cell>
          <cell r="DP282" t="str">
            <v/>
          </cell>
          <cell r="DQ282" t="str">
            <v/>
          </cell>
          <cell r="DR282" t="str">
            <v/>
          </cell>
          <cell r="DS282" t="str">
            <v/>
          </cell>
          <cell r="DT282" t="str">
            <v/>
          </cell>
          <cell r="DU282" t="str">
            <v/>
          </cell>
          <cell r="DV282" t="str">
            <v/>
          </cell>
          <cell r="DW282" t="str">
            <v/>
          </cell>
          <cell r="DX282" t="str">
            <v/>
          </cell>
          <cell r="DY282" t="str">
            <v/>
          </cell>
          <cell r="DZ282" t="str">
            <v/>
          </cell>
          <cell r="EA282" t="str">
            <v/>
          </cell>
          <cell r="EB282" t="str">
            <v/>
          </cell>
          <cell r="EC282" t="str">
            <v/>
          </cell>
          <cell r="ED282" t="str">
            <v/>
          </cell>
          <cell r="EE282" t="str">
            <v/>
          </cell>
          <cell r="EF282" t="str">
            <v/>
          </cell>
          <cell r="EH282" t="str">
            <v/>
          </cell>
          <cell r="EI282" t="str">
            <v/>
          </cell>
          <cell r="EJ282" t="str">
            <v/>
          </cell>
          <cell r="EL282" t="str">
            <v/>
          </cell>
          <cell r="EM282" t="str">
            <v/>
          </cell>
          <cell r="EN282" t="str">
            <v/>
          </cell>
          <cell r="EO282" t="str">
            <v/>
          </cell>
          <cell r="EP282" t="str">
            <v/>
          </cell>
          <cell r="EQ282" t="str">
            <v/>
          </cell>
          <cell r="ER282" t="str">
            <v/>
          </cell>
          <cell r="ES282" t="str">
            <v/>
          </cell>
          <cell r="ET282" t="str">
            <v/>
          </cell>
        </row>
        <row r="283">
          <cell r="DO283">
            <v>204</v>
          </cell>
          <cell r="DP283" t="str">
            <v/>
          </cell>
          <cell r="DQ283" t="str">
            <v/>
          </cell>
          <cell r="DR283" t="str">
            <v/>
          </cell>
          <cell r="DS283" t="str">
            <v/>
          </cell>
          <cell r="DT283" t="str">
            <v/>
          </cell>
          <cell r="DU283" t="str">
            <v/>
          </cell>
          <cell r="DV283" t="str">
            <v/>
          </cell>
          <cell r="DW283" t="str">
            <v/>
          </cell>
          <cell r="DX283" t="str">
            <v/>
          </cell>
          <cell r="DY283" t="str">
            <v/>
          </cell>
          <cell r="DZ283" t="str">
            <v/>
          </cell>
          <cell r="EA283" t="str">
            <v/>
          </cell>
          <cell r="EB283" t="str">
            <v/>
          </cell>
          <cell r="EC283" t="str">
            <v/>
          </cell>
          <cell r="ED283" t="str">
            <v/>
          </cell>
          <cell r="EE283" t="str">
            <v/>
          </cell>
          <cell r="EF283" t="str">
            <v/>
          </cell>
          <cell r="EH283" t="str">
            <v/>
          </cell>
          <cell r="EI283" t="str">
            <v/>
          </cell>
          <cell r="EJ283" t="str">
            <v/>
          </cell>
          <cell r="EL283" t="str">
            <v/>
          </cell>
          <cell r="EM283" t="str">
            <v/>
          </cell>
          <cell r="EN283" t="str">
            <v/>
          </cell>
          <cell r="EO283" t="str">
            <v/>
          </cell>
          <cell r="EP283" t="str">
            <v/>
          </cell>
          <cell r="EQ283" t="str">
            <v/>
          </cell>
          <cell r="ER283" t="str">
            <v/>
          </cell>
          <cell r="ES283" t="str">
            <v/>
          </cell>
          <cell r="ET283" t="str">
            <v/>
          </cell>
        </row>
        <row r="284">
          <cell r="DO284">
            <v>205</v>
          </cell>
          <cell r="DP284" t="str">
            <v/>
          </cell>
          <cell r="DQ284" t="str">
            <v/>
          </cell>
          <cell r="DR284" t="str">
            <v/>
          </cell>
          <cell r="DS284" t="str">
            <v/>
          </cell>
          <cell r="DT284" t="str">
            <v/>
          </cell>
          <cell r="DU284" t="str">
            <v/>
          </cell>
          <cell r="DV284" t="str">
            <v/>
          </cell>
          <cell r="DW284" t="str">
            <v/>
          </cell>
          <cell r="DX284" t="str">
            <v/>
          </cell>
          <cell r="DY284" t="str">
            <v/>
          </cell>
          <cell r="DZ284" t="str">
            <v/>
          </cell>
          <cell r="EA284" t="str">
            <v/>
          </cell>
          <cell r="EB284" t="str">
            <v/>
          </cell>
          <cell r="EC284" t="str">
            <v/>
          </cell>
          <cell r="ED284" t="str">
            <v/>
          </cell>
          <cell r="EE284" t="str">
            <v/>
          </cell>
          <cell r="EF284" t="str">
            <v/>
          </cell>
          <cell r="EH284" t="str">
            <v/>
          </cell>
          <cell r="EI284" t="str">
            <v/>
          </cell>
          <cell r="EJ284" t="str">
            <v/>
          </cell>
          <cell r="EL284" t="str">
            <v/>
          </cell>
          <cell r="EM284" t="str">
            <v/>
          </cell>
          <cell r="EN284" t="str">
            <v/>
          </cell>
          <cell r="EO284" t="str">
            <v/>
          </cell>
          <cell r="EP284" t="str">
            <v/>
          </cell>
          <cell r="EQ284" t="str">
            <v/>
          </cell>
          <cell r="ER284" t="str">
            <v/>
          </cell>
          <cell r="ES284" t="str">
            <v/>
          </cell>
          <cell r="ET284" t="str">
            <v/>
          </cell>
        </row>
        <row r="285">
          <cell r="DO285">
            <v>206</v>
          </cell>
          <cell r="DP285" t="str">
            <v/>
          </cell>
          <cell r="DQ285" t="str">
            <v/>
          </cell>
          <cell r="DR285" t="str">
            <v/>
          </cell>
          <cell r="DS285" t="str">
            <v/>
          </cell>
          <cell r="DT285" t="str">
            <v/>
          </cell>
          <cell r="DU285" t="str">
            <v/>
          </cell>
          <cell r="DV285" t="str">
            <v/>
          </cell>
          <cell r="DW285" t="str">
            <v/>
          </cell>
          <cell r="DX285" t="str">
            <v/>
          </cell>
          <cell r="DY285" t="str">
            <v/>
          </cell>
          <cell r="DZ285" t="str">
            <v/>
          </cell>
          <cell r="EA285" t="str">
            <v/>
          </cell>
          <cell r="EB285" t="str">
            <v/>
          </cell>
          <cell r="EC285" t="str">
            <v/>
          </cell>
          <cell r="ED285" t="str">
            <v/>
          </cell>
          <cell r="EE285" t="str">
            <v/>
          </cell>
          <cell r="EF285" t="str">
            <v/>
          </cell>
          <cell r="EH285" t="str">
            <v/>
          </cell>
          <cell r="EI285" t="str">
            <v/>
          </cell>
          <cell r="EJ285" t="str">
            <v/>
          </cell>
          <cell r="EL285" t="str">
            <v/>
          </cell>
          <cell r="EM285" t="str">
            <v/>
          </cell>
          <cell r="EN285" t="str">
            <v/>
          </cell>
          <cell r="EO285" t="str">
            <v/>
          </cell>
          <cell r="EP285" t="str">
            <v/>
          </cell>
          <cell r="EQ285" t="str">
            <v/>
          </cell>
          <cell r="ER285" t="str">
            <v/>
          </cell>
          <cell r="ES285" t="str">
            <v/>
          </cell>
          <cell r="ET285" t="str">
            <v/>
          </cell>
        </row>
        <row r="286">
          <cell r="DO286">
            <v>207</v>
          </cell>
          <cell r="DP286" t="str">
            <v/>
          </cell>
          <cell r="DQ286" t="str">
            <v/>
          </cell>
          <cell r="DR286" t="str">
            <v/>
          </cell>
          <cell r="DS286" t="str">
            <v/>
          </cell>
          <cell r="DT286" t="str">
            <v/>
          </cell>
          <cell r="DU286" t="str">
            <v/>
          </cell>
          <cell r="DV286" t="str">
            <v/>
          </cell>
          <cell r="DW286" t="str">
            <v/>
          </cell>
          <cell r="DX286" t="str">
            <v/>
          </cell>
          <cell r="DY286" t="str">
            <v/>
          </cell>
          <cell r="DZ286" t="str">
            <v/>
          </cell>
          <cell r="EA286" t="str">
            <v/>
          </cell>
          <cell r="EB286" t="str">
            <v/>
          </cell>
          <cell r="EC286" t="str">
            <v/>
          </cell>
          <cell r="ED286" t="str">
            <v/>
          </cell>
          <cell r="EE286" t="str">
            <v/>
          </cell>
          <cell r="EF286" t="str">
            <v/>
          </cell>
          <cell r="EH286" t="str">
            <v/>
          </cell>
          <cell r="EI286" t="str">
            <v/>
          </cell>
          <cell r="EJ286" t="str">
            <v/>
          </cell>
          <cell r="EL286" t="str">
            <v/>
          </cell>
          <cell r="EM286" t="str">
            <v/>
          </cell>
          <cell r="EN286" t="str">
            <v/>
          </cell>
          <cell r="EO286" t="str">
            <v/>
          </cell>
          <cell r="EP286" t="str">
            <v/>
          </cell>
          <cell r="EQ286" t="str">
            <v/>
          </cell>
          <cell r="ER286" t="str">
            <v/>
          </cell>
          <cell r="ES286" t="str">
            <v/>
          </cell>
          <cell r="ET286" t="str">
            <v/>
          </cell>
        </row>
        <row r="287">
          <cell r="DO287">
            <v>208</v>
          </cell>
          <cell r="DP287" t="str">
            <v/>
          </cell>
          <cell r="DQ287" t="str">
            <v/>
          </cell>
          <cell r="DR287" t="str">
            <v/>
          </cell>
          <cell r="DS287" t="str">
            <v/>
          </cell>
          <cell r="DT287" t="str">
            <v/>
          </cell>
          <cell r="DU287" t="str">
            <v/>
          </cell>
          <cell r="DV287" t="str">
            <v/>
          </cell>
          <cell r="DW287" t="str">
            <v/>
          </cell>
          <cell r="DX287" t="str">
            <v/>
          </cell>
          <cell r="DY287" t="str">
            <v/>
          </cell>
          <cell r="DZ287" t="str">
            <v/>
          </cell>
          <cell r="EA287" t="str">
            <v/>
          </cell>
          <cell r="EB287" t="str">
            <v/>
          </cell>
          <cell r="EC287" t="str">
            <v/>
          </cell>
          <cell r="ED287" t="str">
            <v/>
          </cell>
          <cell r="EE287" t="str">
            <v/>
          </cell>
          <cell r="EF287" t="str">
            <v/>
          </cell>
          <cell r="EH287" t="str">
            <v/>
          </cell>
          <cell r="EI287" t="str">
            <v/>
          </cell>
          <cell r="EJ287" t="str">
            <v/>
          </cell>
          <cell r="EL287" t="str">
            <v/>
          </cell>
          <cell r="EM287" t="str">
            <v/>
          </cell>
          <cell r="EN287" t="str">
            <v/>
          </cell>
          <cell r="EO287" t="str">
            <v/>
          </cell>
          <cell r="EP287" t="str">
            <v/>
          </cell>
          <cell r="EQ287" t="str">
            <v/>
          </cell>
          <cell r="ER287" t="str">
            <v/>
          </cell>
          <cell r="ES287" t="str">
            <v/>
          </cell>
          <cell r="ET287" t="str">
            <v/>
          </cell>
        </row>
        <row r="288">
          <cell r="DO288">
            <v>209</v>
          </cell>
          <cell r="DP288" t="str">
            <v/>
          </cell>
          <cell r="DQ288" t="str">
            <v/>
          </cell>
          <cell r="DR288" t="str">
            <v/>
          </cell>
          <cell r="DS288" t="str">
            <v/>
          </cell>
          <cell r="DT288" t="str">
            <v/>
          </cell>
          <cell r="DU288" t="str">
            <v/>
          </cell>
          <cell r="DV288" t="str">
            <v/>
          </cell>
          <cell r="DW288" t="str">
            <v/>
          </cell>
          <cell r="DX288" t="str">
            <v/>
          </cell>
          <cell r="DY288" t="str">
            <v/>
          </cell>
          <cell r="DZ288" t="str">
            <v/>
          </cell>
          <cell r="EA288" t="str">
            <v/>
          </cell>
          <cell r="EB288" t="str">
            <v/>
          </cell>
          <cell r="EC288" t="str">
            <v/>
          </cell>
          <cell r="ED288" t="str">
            <v/>
          </cell>
          <cell r="EE288" t="str">
            <v/>
          </cell>
          <cell r="EF288" t="str">
            <v/>
          </cell>
          <cell r="EH288" t="str">
            <v/>
          </cell>
          <cell r="EI288" t="str">
            <v/>
          </cell>
          <cell r="EJ288" t="str">
            <v/>
          </cell>
          <cell r="EL288" t="str">
            <v/>
          </cell>
          <cell r="EM288" t="str">
            <v/>
          </cell>
          <cell r="EN288" t="str">
            <v/>
          </cell>
          <cell r="EO288" t="str">
            <v/>
          </cell>
          <cell r="EP288" t="str">
            <v/>
          </cell>
          <cell r="EQ288" t="str">
            <v/>
          </cell>
          <cell r="ER288" t="str">
            <v/>
          </cell>
          <cell r="ES288" t="str">
            <v/>
          </cell>
          <cell r="ET288" t="str">
            <v/>
          </cell>
        </row>
        <row r="289">
          <cell r="DO289">
            <v>210</v>
          </cell>
          <cell r="DP289" t="str">
            <v/>
          </cell>
          <cell r="DQ289" t="str">
            <v/>
          </cell>
          <cell r="DR289" t="str">
            <v/>
          </cell>
          <cell r="DS289" t="str">
            <v/>
          </cell>
          <cell r="DT289" t="str">
            <v/>
          </cell>
          <cell r="DU289" t="str">
            <v/>
          </cell>
          <cell r="DV289" t="str">
            <v/>
          </cell>
          <cell r="DW289" t="str">
            <v/>
          </cell>
          <cell r="DX289" t="str">
            <v/>
          </cell>
          <cell r="DY289" t="str">
            <v/>
          </cell>
          <cell r="DZ289" t="str">
            <v/>
          </cell>
          <cell r="EA289" t="str">
            <v/>
          </cell>
          <cell r="EB289" t="str">
            <v/>
          </cell>
          <cell r="EC289" t="str">
            <v/>
          </cell>
          <cell r="ED289" t="str">
            <v/>
          </cell>
          <cell r="EE289" t="str">
            <v/>
          </cell>
          <cell r="EF289" t="str">
            <v/>
          </cell>
          <cell r="EH289" t="str">
            <v/>
          </cell>
          <cell r="EI289" t="str">
            <v/>
          </cell>
          <cell r="EJ289" t="str">
            <v/>
          </cell>
          <cell r="EL289" t="str">
            <v/>
          </cell>
          <cell r="EM289" t="str">
            <v/>
          </cell>
          <cell r="EN289" t="str">
            <v/>
          </cell>
          <cell r="EO289" t="str">
            <v/>
          </cell>
          <cell r="EP289" t="str">
            <v/>
          </cell>
          <cell r="EQ289" t="str">
            <v/>
          </cell>
          <cell r="ER289" t="str">
            <v/>
          </cell>
          <cell r="ES289" t="str">
            <v/>
          </cell>
          <cell r="ET289" t="str">
            <v/>
          </cell>
        </row>
        <row r="290">
          <cell r="DO290">
            <v>211</v>
          </cell>
          <cell r="DP290" t="str">
            <v/>
          </cell>
          <cell r="DQ290" t="str">
            <v/>
          </cell>
          <cell r="DR290" t="str">
            <v/>
          </cell>
          <cell r="DS290" t="str">
            <v/>
          </cell>
          <cell r="DT290" t="str">
            <v/>
          </cell>
          <cell r="DU290" t="str">
            <v/>
          </cell>
          <cell r="DV290" t="str">
            <v/>
          </cell>
          <cell r="DW290" t="str">
            <v/>
          </cell>
          <cell r="DX290" t="str">
            <v/>
          </cell>
          <cell r="DY290" t="str">
            <v/>
          </cell>
          <cell r="DZ290" t="str">
            <v/>
          </cell>
          <cell r="EA290" t="str">
            <v/>
          </cell>
          <cell r="EB290" t="str">
            <v/>
          </cell>
          <cell r="EC290" t="str">
            <v/>
          </cell>
          <cell r="ED290" t="str">
            <v/>
          </cell>
          <cell r="EE290" t="str">
            <v/>
          </cell>
          <cell r="EF290" t="str">
            <v/>
          </cell>
          <cell r="EH290" t="str">
            <v/>
          </cell>
          <cell r="EI290" t="str">
            <v/>
          </cell>
          <cell r="EJ290" t="str">
            <v/>
          </cell>
          <cell r="EL290" t="str">
            <v/>
          </cell>
          <cell r="EM290" t="str">
            <v/>
          </cell>
          <cell r="EN290" t="str">
            <v/>
          </cell>
          <cell r="EO290" t="str">
            <v/>
          </cell>
          <cell r="EP290" t="str">
            <v/>
          </cell>
          <cell r="EQ290" t="str">
            <v/>
          </cell>
          <cell r="ER290" t="str">
            <v/>
          </cell>
          <cell r="ES290" t="str">
            <v/>
          </cell>
          <cell r="ET290" t="str">
            <v/>
          </cell>
        </row>
        <row r="291">
          <cell r="DO291">
            <v>212</v>
          </cell>
          <cell r="DP291" t="str">
            <v/>
          </cell>
          <cell r="DQ291" t="str">
            <v/>
          </cell>
          <cell r="DR291" t="str">
            <v/>
          </cell>
          <cell r="DS291" t="str">
            <v/>
          </cell>
          <cell r="DT291" t="str">
            <v/>
          </cell>
          <cell r="DU291" t="str">
            <v/>
          </cell>
          <cell r="DV291" t="str">
            <v/>
          </cell>
          <cell r="DW291" t="str">
            <v/>
          </cell>
          <cell r="DX291" t="str">
            <v/>
          </cell>
          <cell r="DY291" t="str">
            <v/>
          </cell>
          <cell r="DZ291" t="str">
            <v/>
          </cell>
          <cell r="EA291" t="str">
            <v/>
          </cell>
          <cell r="EB291" t="str">
            <v/>
          </cell>
          <cell r="EC291" t="str">
            <v/>
          </cell>
          <cell r="ED291" t="str">
            <v/>
          </cell>
          <cell r="EE291" t="str">
            <v/>
          </cell>
          <cell r="EF291" t="str">
            <v/>
          </cell>
          <cell r="EH291" t="str">
            <v/>
          </cell>
          <cell r="EI291" t="str">
            <v/>
          </cell>
          <cell r="EJ291" t="str">
            <v/>
          </cell>
          <cell r="EL291" t="str">
            <v/>
          </cell>
          <cell r="EM291" t="str">
            <v/>
          </cell>
          <cell r="EN291" t="str">
            <v/>
          </cell>
          <cell r="EO291" t="str">
            <v/>
          </cell>
          <cell r="EP291" t="str">
            <v/>
          </cell>
          <cell r="EQ291" t="str">
            <v/>
          </cell>
          <cell r="ER291" t="str">
            <v/>
          </cell>
          <cell r="ES291" t="str">
            <v/>
          </cell>
          <cell r="ET291" t="str">
            <v/>
          </cell>
        </row>
        <row r="292">
          <cell r="DO292">
            <v>213</v>
          </cell>
          <cell r="DP292" t="str">
            <v/>
          </cell>
          <cell r="DQ292" t="str">
            <v/>
          </cell>
          <cell r="DR292" t="str">
            <v/>
          </cell>
          <cell r="DS292" t="str">
            <v/>
          </cell>
          <cell r="DT292" t="str">
            <v/>
          </cell>
          <cell r="DU292" t="str">
            <v/>
          </cell>
          <cell r="DV292" t="str">
            <v/>
          </cell>
          <cell r="DW292" t="str">
            <v/>
          </cell>
          <cell r="DX292" t="str">
            <v/>
          </cell>
          <cell r="DY292" t="str">
            <v/>
          </cell>
          <cell r="DZ292" t="str">
            <v/>
          </cell>
          <cell r="EA292" t="str">
            <v/>
          </cell>
          <cell r="EB292" t="str">
            <v/>
          </cell>
          <cell r="EC292" t="str">
            <v/>
          </cell>
          <cell r="ED292" t="str">
            <v/>
          </cell>
          <cell r="EE292" t="str">
            <v/>
          </cell>
          <cell r="EF292" t="str">
            <v/>
          </cell>
          <cell r="EH292" t="str">
            <v/>
          </cell>
          <cell r="EI292" t="str">
            <v/>
          </cell>
          <cell r="EJ292" t="str">
            <v/>
          </cell>
          <cell r="EL292" t="str">
            <v/>
          </cell>
          <cell r="EM292" t="str">
            <v/>
          </cell>
          <cell r="EN292" t="str">
            <v/>
          </cell>
          <cell r="EO292" t="str">
            <v/>
          </cell>
          <cell r="EP292" t="str">
            <v/>
          </cell>
          <cell r="EQ292" t="str">
            <v/>
          </cell>
          <cell r="ER292" t="str">
            <v/>
          </cell>
          <cell r="ES292" t="str">
            <v/>
          </cell>
          <cell r="ET292" t="str">
            <v/>
          </cell>
        </row>
        <row r="293">
          <cell r="DO293">
            <v>214</v>
          </cell>
          <cell r="DP293" t="str">
            <v/>
          </cell>
          <cell r="DQ293" t="str">
            <v/>
          </cell>
          <cell r="DR293" t="str">
            <v/>
          </cell>
          <cell r="DS293" t="str">
            <v/>
          </cell>
          <cell r="DT293" t="str">
            <v/>
          </cell>
          <cell r="DU293" t="str">
            <v/>
          </cell>
          <cell r="DV293" t="str">
            <v/>
          </cell>
          <cell r="DW293" t="str">
            <v/>
          </cell>
          <cell r="DX293" t="str">
            <v/>
          </cell>
          <cell r="DY293" t="str">
            <v/>
          </cell>
          <cell r="DZ293" t="str">
            <v/>
          </cell>
          <cell r="EA293" t="str">
            <v/>
          </cell>
          <cell r="EB293" t="str">
            <v/>
          </cell>
          <cell r="EC293" t="str">
            <v/>
          </cell>
          <cell r="ED293" t="str">
            <v/>
          </cell>
          <cell r="EE293" t="str">
            <v/>
          </cell>
          <cell r="EF293" t="str">
            <v/>
          </cell>
          <cell r="EH293" t="str">
            <v/>
          </cell>
          <cell r="EI293" t="str">
            <v/>
          </cell>
          <cell r="EJ293" t="str">
            <v/>
          </cell>
          <cell r="EL293" t="str">
            <v/>
          </cell>
          <cell r="EM293" t="str">
            <v/>
          </cell>
          <cell r="EN293" t="str">
            <v/>
          </cell>
          <cell r="EO293" t="str">
            <v/>
          </cell>
          <cell r="EP293" t="str">
            <v/>
          </cell>
          <cell r="EQ293" t="str">
            <v/>
          </cell>
          <cell r="ER293" t="str">
            <v/>
          </cell>
          <cell r="ES293" t="str">
            <v/>
          </cell>
          <cell r="ET293" t="str">
            <v/>
          </cell>
        </row>
        <row r="294">
          <cell r="DO294">
            <v>215</v>
          </cell>
          <cell r="DP294" t="str">
            <v/>
          </cell>
          <cell r="DQ294" t="str">
            <v/>
          </cell>
          <cell r="DR294" t="str">
            <v/>
          </cell>
          <cell r="DS294" t="str">
            <v/>
          </cell>
          <cell r="DT294" t="str">
            <v/>
          </cell>
          <cell r="DU294" t="str">
            <v/>
          </cell>
          <cell r="DV294" t="str">
            <v/>
          </cell>
          <cell r="DW294" t="str">
            <v/>
          </cell>
          <cell r="DX294" t="str">
            <v/>
          </cell>
          <cell r="DY294" t="str">
            <v/>
          </cell>
          <cell r="DZ294" t="str">
            <v/>
          </cell>
          <cell r="EA294" t="str">
            <v/>
          </cell>
          <cell r="EB294" t="str">
            <v/>
          </cell>
          <cell r="EC294" t="str">
            <v/>
          </cell>
          <cell r="ED294" t="str">
            <v/>
          </cell>
          <cell r="EE294" t="str">
            <v/>
          </cell>
          <cell r="EF294" t="str">
            <v/>
          </cell>
          <cell r="EH294" t="str">
            <v/>
          </cell>
          <cell r="EI294" t="str">
            <v/>
          </cell>
          <cell r="EJ294" t="str">
            <v/>
          </cell>
          <cell r="EL294" t="str">
            <v/>
          </cell>
          <cell r="EM294" t="str">
            <v/>
          </cell>
          <cell r="EN294" t="str">
            <v/>
          </cell>
          <cell r="EO294" t="str">
            <v/>
          </cell>
          <cell r="EP294" t="str">
            <v/>
          </cell>
          <cell r="EQ294" t="str">
            <v/>
          </cell>
          <cell r="ER294" t="str">
            <v/>
          </cell>
          <cell r="ES294" t="str">
            <v/>
          </cell>
          <cell r="ET294" t="str">
            <v/>
          </cell>
        </row>
        <row r="295">
          <cell r="DO295">
            <v>216</v>
          </cell>
          <cell r="DP295" t="str">
            <v/>
          </cell>
          <cell r="DQ295" t="str">
            <v/>
          </cell>
          <cell r="DR295" t="str">
            <v/>
          </cell>
          <cell r="DS295" t="str">
            <v/>
          </cell>
          <cell r="DT295" t="str">
            <v/>
          </cell>
          <cell r="DU295" t="str">
            <v/>
          </cell>
          <cell r="DV295" t="str">
            <v/>
          </cell>
          <cell r="DW295" t="str">
            <v/>
          </cell>
          <cell r="DX295" t="str">
            <v/>
          </cell>
          <cell r="DY295" t="str">
            <v/>
          </cell>
          <cell r="DZ295" t="str">
            <v/>
          </cell>
          <cell r="EA295" t="str">
            <v/>
          </cell>
          <cell r="EB295" t="str">
            <v/>
          </cell>
          <cell r="EC295" t="str">
            <v/>
          </cell>
          <cell r="ED295" t="str">
            <v/>
          </cell>
          <cell r="EE295" t="str">
            <v/>
          </cell>
          <cell r="EF295" t="str">
            <v/>
          </cell>
          <cell r="EH295" t="str">
            <v/>
          </cell>
          <cell r="EI295" t="str">
            <v/>
          </cell>
          <cell r="EJ295" t="str">
            <v/>
          </cell>
          <cell r="EL295" t="str">
            <v/>
          </cell>
          <cell r="EM295" t="str">
            <v/>
          </cell>
          <cell r="EN295" t="str">
            <v/>
          </cell>
          <cell r="EO295" t="str">
            <v/>
          </cell>
          <cell r="EP295" t="str">
            <v/>
          </cell>
          <cell r="EQ295" t="str">
            <v/>
          </cell>
          <cell r="ER295" t="str">
            <v/>
          </cell>
          <cell r="ES295" t="str">
            <v/>
          </cell>
          <cell r="ET295" t="str">
            <v/>
          </cell>
        </row>
        <row r="296">
          <cell r="DO296">
            <v>217</v>
          </cell>
          <cell r="DP296" t="str">
            <v/>
          </cell>
          <cell r="DQ296" t="str">
            <v/>
          </cell>
          <cell r="DR296" t="str">
            <v/>
          </cell>
          <cell r="DS296" t="str">
            <v/>
          </cell>
          <cell r="DT296" t="str">
            <v/>
          </cell>
          <cell r="DU296" t="str">
            <v/>
          </cell>
          <cell r="DV296" t="str">
            <v/>
          </cell>
          <cell r="DW296" t="str">
            <v/>
          </cell>
          <cell r="DX296" t="str">
            <v/>
          </cell>
          <cell r="DY296" t="str">
            <v/>
          </cell>
          <cell r="DZ296" t="str">
            <v/>
          </cell>
          <cell r="EA296" t="str">
            <v/>
          </cell>
          <cell r="EB296" t="str">
            <v/>
          </cell>
          <cell r="EC296" t="str">
            <v/>
          </cell>
          <cell r="ED296" t="str">
            <v/>
          </cell>
          <cell r="EE296" t="str">
            <v/>
          </cell>
          <cell r="EF296" t="str">
            <v/>
          </cell>
          <cell r="EH296" t="str">
            <v/>
          </cell>
          <cell r="EI296" t="str">
            <v/>
          </cell>
          <cell r="EJ296" t="str">
            <v/>
          </cell>
          <cell r="EL296" t="str">
            <v/>
          </cell>
          <cell r="EM296" t="str">
            <v/>
          </cell>
          <cell r="EN296" t="str">
            <v/>
          </cell>
          <cell r="EO296" t="str">
            <v/>
          </cell>
          <cell r="EP296" t="str">
            <v/>
          </cell>
          <cell r="EQ296" t="str">
            <v/>
          </cell>
          <cell r="ER296" t="str">
            <v/>
          </cell>
          <cell r="ES296" t="str">
            <v/>
          </cell>
          <cell r="ET296" t="str">
            <v/>
          </cell>
        </row>
        <row r="297">
          <cell r="DO297">
            <v>218</v>
          </cell>
          <cell r="DP297" t="str">
            <v/>
          </cell>
          <cell r="DQ297" t="str">
            <v/>
          </cell>
          <cell r="DR297" t="str">
            <v/>
          </cell>
          <cell r="DS297" t="str">
            <v/>
          </cell>
          <cell r="DT297" t="str">
            <v/>
          </cell>
          <cell r="DU297" t="str">
            <v/>
          </cell>
          <cell r="DV297" t="str">
            <v/>
          </cell>
          <cell r="DW297" t="str">
            <v/>
          </cell>
          <cell r="DX297" t="str">
            <v/>
          </cell>
          <cell r="DY297" t="str">
            <v/>
          </cell>
          <cell r="DZ297" t="str">
            <v/>
          </cell>
          <cell r="EA297" t="str">
            <v/>
          </cell>
          <cell r="EB297" t="str">
            <v/>
          </cell>
          <cell r="EC297" t="str">
            <v/>
          </cell>
          <cell r="ED297" t="str">
            <v/>
          </cell>
          <cell r="EE297" t="str">
            <v/>
          </cell>
          <cell r="EF297" t="str">
            <v/>
          </cell>
          <cell r="EH297" t="str">
            <v/>
          </cell>
          <cell r="EI297" t="str">
            <v/>
          </cell>
          <cell r="EJ297" t="str">
            <v/>
          </cell>
          <cell r="EL297" t="str">
            <v/>
          </cell>
          <cell r="EM297" t="str">
            <v/>
          </cell>
          <cell r="EN297" t="str">
            <v/>
          </cell>
          <cell r="EO297" t="str">
            <v/>
          </cell>
          <cell r="EP297" t="str">
            <v/>
          </cell>
          <cell r="EQ297" t="str">
            <v/>
          </cell>
          <cell r="ER297" t="str">
            <v/>
          </cell>
          <cell r="ES297" t="str">
            <v/>
          </cell>
          <cell r="ET297" t="str">
            <v/>
          </cell>
        </row>
        <row r="298">
          <cell r="DO298">
            <v>219</v>
          </cell>
          <cell r="DP298" t="str">
            <v/>
          </cell>
          <cell r="DQ298" t="str">
            <v/>
          </cell>
          <cell r="DR298" t="str">
            <v/>
          </cell>
          <cell r="DS298" t="str">
            <v/>
          </cell>
          <cell r="DT298" t="str">
            <v/>
          </cell>
          <cell r="DU298" t="str">
            <v/>
          </cell>
          <cell r="DV298" t="str">
            <v/>
          </cell>
          <cell r="DW298" t="str">
            <v/>
          </cell>
          <cell r="DX298" t="str">
            <v/>
          </cell>
          <cell r="DY298" t="str">
            <v/>
          </cell>
          <cell r="DZ298" t="str">
            <v/>
          </cell>
          <cell r="EA298" t="str">
            <v/>
          </cell>
          <cell r="EB298" t="str">
            <v/>
          </cell>
          <cell r="EC298" t="str">
            <v/>
          </cell>
          <cell r="ED298" t="str">
            <v/>
          </cell>
          <cell r="EE298" t="str">
            <v/>
          </cell>
          <cell r="EF298" t="str">
            <v/>
          </cell>
          <cell r="EH298" t="str">
            <v/>
          </cell>
          <cell r="EI298" t="str">
            <v/>
          </cell>
          <cell r="EJ298" t="str">
            <v/>
          </cell>
          <cell r="EL298" t="str">
            <v/>
          </cell>
          <cell r="EM298" t="str">
            <v/>
          </cell>
          <cell r="EN298" t="str">
            <v/>
          </cell>
          <cell r="EO298" t="str">
            <v/>
          </cell>
          <cell r="EP298" t="str">
            <v/>
          </cell>
          <cell r="EQ298" t="str">
            <v/>
          </cell>
          <cell r="ER298" t="str">
            <v/>
          </cell>
          <cell r="ES298" t="str">
            <v/>
          </cell>
          <cell r="ET298" t="str">
            <v/>
          </cell>
        </row>
        <row r="299">
          <cell r="DO299">
            <v>220</v>
          </cell>
          <cell r="DP299" t="str">
            <v/>
          </cell>
          <cell r="DQ299" t="str">
            <v/>
          </cell>
          <cell r="DR299" t="str">
            <v/>
          </cell>
          <cell r="DS299" t="str">
            <v/>
          </cell>
          <cell r="DT299" t="str">
            <v/>
          </cell>
          <cell r="DU299" t="str">
            <v/>
          </cell>
          <cell r="DV299" t="str">
            <v/>
          </cell>
          <cell r="DW299" t="str">
            <v/>
          </cell>
          <cell r="DX299" t="str">
            <v/>
          </cell>
          <cell r="DY299" t="str">
            <v/>
          </cell>
          <cell r="DZ299" t="str">
            <v/>
          </cell>
          <cell r="EA299" t="str">
            <v/>
          </cell>
          <cell r="EB299" t="str">
            <v/>
          </cell>
          <cell r="EC299" t="str">
            <v/>
          </cell>
          <cell r="ED299" t="str">
            <v/>
          </cell>
          <cell r="EE299" t="str">
            <v/>
          </cell>
          <cell r="EF299" t="str">
            <v/>
          </cell>
          <cell r="EH299" t="str">
            <v/>
          </cell>
          <cell r="EI299" t="str">
            <v/>
          </cell>
          <cell r="EJ299" t="str">
            <v/>
          </cell>
          <cell r="EL299" t="str">
            <v/>
          </cell>
          <cell r="EM299" t="str">
            <v/>
          </cell>
          <cell r="EN299" t="str">
            <v/>
          </cell>
          <cell r="EO299" t="str">
            <v/>
          </cell>
          <cell r="EP299" t="str">
            <v/>
          </cell>
          <cell r="EQ299" t="str">
            <v/>
          </cell>
          <cell r="ER299" t="str">
            <v/>
          </cell>
          <cell r="ES299" t="str">
            <v/>
          </cell>
          <cell r="ET299" t="str">
            <v/>
          </cell>
        </row>
        <row r="300">
          <cell r="DO300">
            <v>221</v>
          </cell>
          <cell r="DP300" t="str">
            <v/>
          </cell>
          <cell r="DQ300" t="str">
            <v/>
          </cell>
          <cell r="DR300" t="str">
            <v/>
          </cell>
          <cell r="DS300" t="str">
            <v/>
          </cell>
          <cell r="DT300" t="str">
            <v/>
          </cell>
          <cell r="DU300" t="str">
            <v/>
          </cell>
          <cell r="DV300" t="str">
            <v/>
          </cell>
          <cell r="DW300" t="str">
            <v/>
          </cell>
          <cell r="DX300" t="str">
            <v/>
          </cell>
          <cell r="DY300" t="str">
            <v/>
          </cell>
          <cell r="DZ300" t="str">
            <v/>
          </cell>
          <cell r="EA300" t="str">
            <v/>
          </cell>
          <cell r="EB300" t="str">
            <v/>
          </cell>
          <cell r="EC300" t="str">
            <v/>
          </cell>
          <cell r="ED300" t="str">
            <v/>
          </cell>
          <cell r="EE300" t="str">
            <v/>
          </cell>
          <cell r="EF300" t="str">
            <v/>
          </cell>
          <cell r="EH300" t="str">
            <v/>
          </cell>
          <cell r="EI300" t="str">
            <v/>
          </cell>
          <cell r="EJ300" t="str">
            <v/>
          </cell>
          <cell r="EL300" t="str">
            <v/>
          </cell>
          <cell r="EM300" t="str">
            <v/>
          </cell>
          <cell r="EN300" t="str">
            <v/>
          </cell>
          <cell r="EO300" t="str">
            <v/>
          </cell>
          <cell r="EP300" t="str">
            <v/>
          </cell>
          <cell r="EQ300" t="str">
            <v/>
          </cell>
          <cell r="ER300" t="str">
            <v/>
          </cell>
          <cell r="ES300" t="str">
            <v/>
          </cell>
          <cell r="ET300" t="str">
            <v/>
          </cell>
        </row>
        <row r="301">
          <cell r="DO301">
            <v>222</v>
          </cell>
          <cell r="DP301" t="str">
            <v/>
          </cell>
          <cell r="DQ301" t="str">
            <v/>
          </cell>
          <cell r="DR301" t="str">
            <v/>
          </cell>
          <cell r="DS301" t="str">
            <v/>
          </cell>
          <cell r="DT301" t="str">
            <v/>
          </cell>
          <cell r="DU301" t="str">
            <v/>
          </cell>
          <cell r="DV301" t="str">
            <v/>
          </cell>
          <cell r="DW301" t="str">
            <v/>
          </cell>
          <cell r="DX301" t="str">
            <v/>
          </cell>
          <cell r="DY301" t="str">
            <v/>
          </cell>
          <cell r="DZ301" t="str">
            <v/>
          </cell>
          <cell r="EA301" t="str">
            <v/>
          </cell>
          <cell r="EB301" t="str">
            <v/>
          </cell>
          <cell r="EC301" t="str">
            <v/>
          </cell>
          <cell r="ED301" t="str">
            <v/>
          </cell>
          <cell r="EE301" t="str">
            <v/>
          </cell>
          <cell r="EF301" t="str">
            <v/>
          </cell>
          <cell r="EH301" t="str">
            <v/>
          </cell>
          <cell r="EI301" t="str">
            <v/>
          </cell>
          <cell r="EJ301" t="str">
            <v/>
          </cell>
          <cell r="EL301" t="str">
            <v/>
          </cell>
          <cell r="EM301" t="str">
            <v/>
          </cell>
          <cell r="EN301" t="str">
            <v/>
          </cell>
          <cell r="EO301" t="str">
            <v/>
          </cell>
          <cell r="EP301" t="str">
            <v/>
          </cell>
          <cell r="EQ301" t="str">
            <v/>
          </cell>
          <cell r="ER301" t="str">
            <v/>
          </cell>
          <cell r="ES301" t="str">
            <v/>
          </cell>
          <cell r="ET301" t="str">
            <v/>
          </cell>
        </row>
        <row r="302">
          <cell r="DO302">
            <v>223</v>
          </cell>
          <cell r="DP302" t="str">
            <v/>
          </cell>
          <cell r="DQ302" t="str">
            <v/>
          </cell>
          <cell r="DR302" t="str">
            <v/>
          </cell>
          <cell r="DS302" t="str">
            <v/>
          </cell>
          <cell r="DT302" t="str">
            <v/>
          </cell>
          <cell r="DU302" t="str">
            <v/>
          </cell>
          <cell r="DV302" t="str">
            <v/>
          </cell>
          <cell r="DW302" t="str">
            <v/>
          </cell>
          <cell r="DX302" t="str">
            <v/>
          </cell>
          <cell r="DY302" t="str">
            <v/>
          </cell>
          <cell r="DZ302" t="str">
            <v/>
          </cell>
          <cell r="EA302" t="str">
            <v/>
          </cell>
          <cell r="EB302" t="str">
            <v/>
          </cell>
          <cell r="EC302" t="str">
            <v/>
          </cell>
          <cell r="ED302" t="str">
            <v/>
          </cell>
          <cell r="EE302" t="str">
            <v/>
          </cell>
          <cell r="EF302" t="str">
            <v/>
          </cell>
          <cell r="EH302" t="str">
            <v/>
          </cell>
          <cell r="EI302" t="str">
            <v/>
          </cell>
          <cell r="EJ302" t="str">
            <v/>
          </cell>
          <cell r="EL302" t="str">
            <v/>
          </cell>
          <cell r="EM302" t="str">
            <v/>
          </cell>
          <cell r="EN302" t="str">
            <v/>
          </cell>
          <cell r="EO302" t="str">
            <v/>
          </cell>
          <cell r="EP302" t="str">
            <v/>
          </cell>
          <cell r="EQ302" t="str">
            <v/>
          </cell>
          <cell r="ER302" t="str">
            <v/>
          </cell>
          <cell r="ES302" t="str">
            <v/>
          </cell>
          <cell r="ET302" t="str">
            <v/>
          </cell>
        </row>
        <row r="303">
          <cell r="DO303">
            <v>224</v>
          </cell>
          <cell r="DP303" t="str">
            <v/>
          </cell>
          <cell r="DQ303" t="str">
            <v/>
          </cell>
          <cell r="DR303" t="str">
            <v/>
          </cell>
          <cell r="DS303" t="str">
            <v/>
          </cell>
          <cell r="DT303" t="str">
            <v/>
          </cell>
          <cell r="DU303" t="str">
            <v/>
          </cell>
          <cell r="DV303" t="str">
            <v/>
          </cell>
          <cell r="DW303" t="str">
            <v/>
          </cell>
          <cell r="DX303" t="str">
            <v/>
          </cell>
          <cell r="DY303" t="str">
            <v/>
          </cell>
          <cell r="DZ303" t="str">
            <v/>
          </cell>
          <cell r="EA303" t="str">
            <v/>
          </cell>
          <cell r="EB303" t="str">
            <v/>
          </cell>
          <cell r="EC303" t="str">
            <v/>
          </cell>
          <cell r="ED303" t="str">
            <v/>
          </cell>
          <cell r="EE303" t="str">
            <v/>
          </cell>
          <cell r="EF303" t="str">
            <v/>
          </cell>
          <cell r="EH303" t="str">
            <v/>
          </cell>
          <cell r="EI303" t="str">
            <v/>
          </cell>
          <cell r="EJ303" t="str">
            <v/>
          </cell>
          <cell r="EL303" t="str">
            <v/>
          </cell>
          <cell r="EM303" t="str">
            <v/>
          </cell>
          <cell r="EN303" t="str">
            <v/>
          </cell>
          <cell r="EO303" t="str">
            <v/>
          </cell>
          <cell r="EP303" t="str">
            <v/>
          </cell>
          <cell r="EQ303" t="str">
            <v/>
          </cell>
          <cell r="ER303" t="str">
            <v/>
          </cell>
          <cell r="ES303" t="str">
            <v/>
          </cell>
          <cell r="ET303" t="str">
            <v/>
          </cell>
        </row>
        <row r="304">
          <cell r="DO304">
            <v>225</v>
          </cell>
          <cell r="DP304" t="str">
            <v/>
          </cell>
          <cell r="DQ304" t="str">
            <v/>
          </cell>
          <cell r="DR304" t="str">
            <v/>
          </cell>
          <cell r="DS304" t="str">
            <v/>
          </cell>
          <cell r="DT304" t="str">
            <v/>
          </cell>
          <cell r="DU304" t="str">
            <v/>
          </cell>
          <cell r="DV304" t="str">
            <v/>
          </cell>
          <cell r="DW304" t="str">
            <v/>
          </cell>
          <cell r="DX304" t="str">
            <v/>
          </cell>
          <cell r="DY304" t="str">
            <v/>
          </cell>
          <cell r="DZ304" t="str">
            <v/>
          </cell>
          <cell r="EA304" t="str">
            <v/>
          </cell>
          <cell r="EB304" t="str">
            <v/>
          </cell>
          <cell r="EC304" t="str">
            <v/>
          </cell>
          <cell r="ED304" t="str">
            <v/>
          </cell>
          <cell r="EE304" t="str">
            <v/>
          </cell>
          <cell r="EF304" t="str">
            <v/>
          </cell>
          <cell r="EH304" t="str">
            <v/>
          </cell>
          <cell r="EI304" t="str">
            <v/>
          </cell>
          <cell r="EJ304" t="str">
            <v/>
          </cell>
          <cell r="EL304" t="str">
            <v/>
          </cell>
          <cell r="EM304" t="str">
            <v/>
          </cell>
          <cell r="EN304" t="str">
            <v/>
          </cell>
          <cell r="EO304" t="str">
            <v/>
          </cell>
          <cell r="EP304" t="str">
            <v/>
          </cell>
          <cell r="EQ304" t="str">
            <v/>
          </cell>
          <cell r="ER304" t="str">
            <v/>
          </cell>
          <cell r="ES304" t="str">
            <v/>
          </cell>
          <cell r="ET304" t="str">
            <v/>
          </cell>
        </row>
        <row r="305">
          <cell r="DO305">
            <v>226</v>
          </cell>
          <cell r="DP305" t="str">
            <v/>
          </cell>
          <cell r="DQ305" t="str">
            <v/>
          </cell>
          <cell r="DR305" t="str">
            <v/>
          </cell>
          <cell r="DS305" t="str">
            <v/>
          </cell>
          <cell r="DT305" t="str">
            <v/>
          </cell>
          <cell r="DU305" t="str">
            <v/>
          </cell>
          <cell r="DV305" t="str">
            <v/>
          </cell>
          <cell r="DW305" t="str">
            <v/>
          </cell>
          <cell r="DX305" t="str">
            <v/>
          </cell>
          <cell r="DY305" t="str">
            <v/>
          </cell>
          <cell r="DZ305" t="str">
            <v/>
          </cell>
          <cell r="EA305" t="str">
            <v/>
          </cell>
          <cell r="EB305" t="str">
            <v/>
          </cell>
          <cell r="EC305" t="str">
            <v/>
          </cell>
          <cell r="ED305" t="str">
            <v/>
          </cell>
          <cell r="EE305" t="str">
            <v/>
          </cell>
          <cell r="EF305" t="str">
            <v/>
          </cell>
          <cell r="EH305" t="str">
            <v/>
          </cell>
          <cell r="EI305" t="str">
            <v/>
          </cell>
          <cell r="EJ305" t="str">
            <v/>
          </cell>
          <cell r="EL305" t="str">
            <v/>
          </cell>
          <cell r="EM305" t="str">
            <v/>
          </cell>
          <cell r="EN305" t="str">
            <v/>
          </cell>
          <cell r="EO305" t="str">
            <v/>
          </cell>
          <cell r="EP305" t="str">
            <v/>
          </cell>
          <cell r="EQ305" t="str">
            <v/>
          </cell>
          <cell r="ER305" t="str">
            <v/>
          </cell>
          <cell r="ES305" t="str">
            <v/>
          </cell>
          <cell r="ET305" t="str">
            <v/>
          </cell>
        </row>
        <row r="306">
          <cell r="DO306">
            <v>227</v>
          </cell>
          <cell r="DP306" t="str">
            <v/>
          </cell>
          <cell r="DQ306" t="str">
            <v/>
          </cell>
          <cell r="DR306" t="str">
            <v/>
          </cell>
          <cell r="DS306" t="str">
            <v/>
          </cell>
          <cell r="DT306" t="str">
            <v/>
          </cell>
          <cell r="DU306" t="str">
            <v/>
          </cell>
          <cell r="DV306" t="str">
            <v/>
          </cell>
          <cell r="DW306" t="str">
            <v/>
          </cell>
          <cell r="DX306" t="str">
            <v/>
          </cell>
          <cell r="DY306" t="str">
            <v/>
          </cell>
          <cell r="DZ306" t="str">
            <v/>
          </cell>
          <cell r="EA306" t="str">
            <v/>
          </cell>
          <cell r="EB306" t="str">
            <v/>
          </cell>
          <cell r="EC306" t="str">
            <v/>
          </cell>
          <cell r="ED306" t="str">
            <v/>
          </cell>
          <cell r="EE306" t="str">
            <v/>
          </cell>
          <cell r="EF306" t="str">
            <v/>
          </cell>
          <cell r="EH306" t="str">
            <v/>
          </cell>
          <cell r="EI306" t="str">
            <v/>
          </cell>
          <cell r="EJ306" t="str">
            <v/>
          </cell>
          <cell r="EL306" t="str">
            <v/>
          </cell>
          <cell r="EM306" t="str">
            <v/>
          </cell>
          <cell r="EN306" t="str">
            <v/>
          </cell>
          <cell r="EO306" t="str">
            <v/>
          </cell>
          <cell r="EP306" t="str">
            <v/>
          </cell>
          <cell r="EQ306" t="str">
            <v/>
          </cell>
          <cell r="ER306" t="str">
            <v/>
          </cell>
          <cell r="ES306" t="str">
            <v/>
          </cell>
          <cell r="ET306" t="str">
            <v/>
          </cell>
        </row>
        <row r="307">
          <cell r="DO307">
            <v>228</v>
          </cell>
          <cell r="DP307" t="str">
            <v/>
          </cell>
          <cell r="DQ307" t="str">
            <v/>
          </cell>
          <cell r="DR307" t="str">
            <v/>
          </cell>
          <cell r="DS307" t="str">
            <v/>
          </cell>
          <cell r="DT307" t="str">
            <v/>
          </cell>
          <cell r="DU307" t="str">
            <v/>
          </cell>
          <cell r="DV307" t="str">
            <v/>
          </cell>
          <cell r="DW307" t="str">
            <v/>
          </cell>
          <cell r="DX307" t="str">
            <v/>
          </cell>
          <cell r="DY307" t="str">
            <v/>
          </cell>
          <cell r="DZ307" t="str">
            <v/>
          </cell>
          <cell r="EA307" t="str">
            <v/>
          </cell>
          <cell r="EB307" t="str">
            <v/>
          </cell>
          <cell r="EC307" t="str">
            <v/>
          </cell>
          <cell r="ED307" t="str">
            <v/>
          </cell>
          <cell r="EE307" t="str">
            <v/>
          </cell>
          <cell r="EF307" t="str">
            <v/>
          </cell>
          <cell r="EH307" t="str">
            <v/>
          </cell>
          <cell r="EI307" t="str">
            <v/>
          </cell>
          <cell r="EJ307" t="str">
            <v/>
          </cell>
          <cell r="EL307" t="str">
            <v/>
          </cell>
          <cell r="EM307" t="str">
            <v/>
          </cell>
          <cell r="EN307" t="str">
            <v/>
          </cell>
          <cell r="EO307" t="str">
            <v/>
          </cell>
          <cell r="EP307" t="str">
            <v/>
          </cell>
          <cell r="EQ307" t="str">
            <v/>
          </cell>
          <cell r="ER307" t="str">
            <v/>
          </cell>
          <cell r="ES307" t="str">
            <v/>
          </cell>
          <cell r="ET307" t="str">
            <v/>
          </cell>
        </row>
        <row r="308">
          <cell r="DO308">
            <v>229</v>
          </cell>
          <cell r="DP308" t="str">
            <v/>
          </cell>
          <cell r="DQ308" t="str">
            <v/>
          </cell>
          <cell r="DR308" t="str">
            <v/>
          </cell>
          <cell r="DS308" t="str">
            <v/>
          </cell>
          <cell r="DT308" t="str">
            <v/>
          </cell>
          <cell r="DU308" t="str">
            <v/>
          </cell>
          <cell r="DV308" t="str">
            <v/>
          </cell>
          <cell r="DW308" t="str">
            <v/>
          </cell>
          <cell r="DX308" t="str">
            <v/>
          </cell>
          <cell r="DY308" t="str">
            <v/>
          </cell>
          <cell r="DZ308" t="str">
            <v/>
          </cell>
          <cell r="EA308" t="str">
            <v/>
          </cell>
          <cell r="EB308" t="str">
            <v/>
          </cell>
          <cell r="EC308" t="str">
            <v/>
          </cell>
          <cell r="ED308" t="str">
            <v/>
          </cell>
          <cell r="EE308" t="str">
            <v/>
          </cell>
          <cell r="EF308" t="str">
            <v/>
          </cell>
          <cell r="EH308" t="str">
            <v/>
          </cell>
          <cell r="EI308" t="str">
            <v/>
          </cell>
          <cell r="EJ308" t="str">
            <v/>
          </cell>
          <cell r="EL308" t="str">
            <v/>
          </cell>
          <cell r="EM308" t="str">
            <v/>
          </cell>
          <cell r="EN308" t="str">
            <v/>
          </cell>
          <cell r="EO308" t="str">
            <v/>
          </cell>
          <cell r="EP308" t="str">
            <v/>
          </cell>
          <cell r="EQ308" t="str">
            <v/>
          </cell>
          <cell r="ER308" t="str">
            <v/>
          </cell>
          <cell r="ES308" t="str">
            <v/>
          </cell>
          <cell r="ET308" t="str">
            <v/>
          </cell>
        </row>
        <row r="309">
          <cell r="DO309">
            <v>230</v>
          </cell>
          <cell r="DP309" t="str">
            <v/>
          </cell>
          <cell r="DQ309" t="str">
            <v/>
          </cell>
          <cell r="DR309" t="str">
            <v/>
          </cell>
          <cell r="DS309" t="str">
            <v/>
          </cell>
          <cell r="DT309" t="str">
            <v/>
          </cell>
          <cell r="DU309" t="str">
            <v/>
          </cell>
          <cell r="DV309" t="str">
            <v/>
          </cell>
          <cell r="DW309" t="str">
            <v/>
          </cell>
          <cell r="DX309" t="str">
            <v/>
          </cell>
          <cell r="DY309" t="str">
            <v/>
          </cell>
          <cell r="DZ309" t="str">
            <v/>
          </cell>
          <cell r="EA309" t="str">
            <v/>
          </cell>
          <cell r="EB309" t="str">
            <v/>
          </cell>
          <cell r="EC309" t="str">
            <v/>
          </cell>
          <cell r="ED309" t="str">
            <v/>
          </cell>
          <cell r="EE309" t="str">
            <v/>
          </cell>
          <cell r="EF309" t="str">
            <v/>
          </cell>
          <cell r="EH309" t="str">
            <v/>
          </cell>
          <cell r="EI309" t="str">
            <v/>
          </cell>
          <cell r="EJ309" t="str">
            <v/>
          </cell>
          <cell r="EL309" t="str">
            <v/>
          </cell>
          <cell r="EM309" t="str">
            <v/>
          </cell>
          <cell r="EN309" t="str">
            <v/>
          </cell>
          <cell r="EO309" t="str">
            <v/>
          </cell>
          <cell r="EP309" t="str">
            <v/>
          </cell>
          <cell r="EQ309" t="str">
            <v/>
          </cell>
          <cell r="ER309" t="str">
            <v/>
          </cell>
          <cell r="ES309" t="str">
            <v/>
          </cell>
          <cell r="ET309" t="str">
            <v/>
          </cell>
        </row>
        <row r="310">
          <cell r="DO310">
            <v>231</v>
          </cell>
          <cell r="DP310" t="str">
            <v/>
          </cell>
          <cell r="DQ310" t="str">
            <v/>
          </cell>
          <cell r="DR310" t="str">
            <v/>
          </cell>
          <cell r="DS310" t="str">
            <v/>
          </cell>
          <cell r="DT310" t="str">
            <v/>
          </cell>
          <cell r="DU310" t="str">
            <v/>
          </cell>
          <cell r="DV310" t="str">
            <v/>
          </cell>
          <cell r="DW310" t="str">
            <v/>
          </cell>
          <cell r="DX310" t="str">
            <v/>
          </cell>
          <cell r="DY310" t="str">
            <v/>
          </cell>
          <cell r="DZ310" t="str">
            <v/>
          </cell>
          <cell r="EA310" t="str">
            <v/>
          </cell>
          <cell r="EB310" t="str">
            <v/>
          </cell>
          <cell r="EC310" t="str">
            <v/>
          </cell>
          <cell r="ED310" t="str">
            <v/>
          </cell>
          <cell r="EE310" t="str">
            <v/>
          </cell>
          <cell r="EF310" t="str">
            <v/>
          </cell>
          <cell r="EH310" t="str">
            <v/>
          </cell>
          <cell r="EI310" t="str">
            <v/>
          </cell>
          <cell r="EJ310" t="str">
            <v/>
          </cell>
          <cell r="EL310" t="str">
            <v/>
          </cell>
          <cell r="EM310" t="str">
            <v/>
          </cell>
          <cell r="EN310" t="str">
            <v/>
          </cell>
          <cell r="EO310" t="str">
            <v/>
          </cell>
          <cell r="EP310" t="str">
            <v/>
          </cell>
          <cell r="EQ310" t="str">
            <v/>
          </cell>
          <cell r="ER310" t="str">
            <v/>
          </cell>
          <cell r="ES310" t="str">
            <v/>
          </cell>
          <cell r="ET310" t="str">
            <v/>
          </cell>
        </row>
        <row r="311">
          <cell r="DO311">
            <v>232</v>
          </cell>
          <cell r="DP311" t="str">
            <v/>
          </cell>
          <cell r="DQ311" t="str">
            <v/>
          </cell>
          <cell r="DR311" t="str">
            <v/>
          </cell>
          <cell r="DS311" t="str">
            <v/>
          </cell>
          <cell r="DT311" t="str">
            <v/>
          </cell>
          <cell r="DU311" t="str">
            <v/>
          </cell>
          <cell r="DV311" t="str">
            <v/>
          </cell>
          <cell r="DW311" t="str">
            <v/>
          </cell>
          <cell r="DX311" t="str">
            <v/>
          </cell>
          <cell r="DY311" t="str">
            <v/>
          </cell>
          <cell r="DZ311" t="str">
            <v/>
          </cell>
          <cell r="EA311" t="str">
            <v/>
          </cell>
          <cell r="EB311" t="str">
            <v/>
          </cell>
          <cell r="EC311" t="str">
            <v/>
          </cell>
          <cell r="ED311" t="str">
            <v/>
          </cell>
          <cell r="EE311" t="str">
            <v/>
          </cell>
          <cell r="EF311" t="str">
            <v/>
          </cell>
          <cell r="EH311" t="str">
            <v/>
          </cell>
          <cell r="EI311" t="str">
            <v/>
          </cell>
          <cell r="EJ311" t="str">
            <v/>
          </cell>
          <cell r="EL311" t="str">
            <v/>
          </cell>
          <cell r="EM311" t="str">
            <v/>
          </cell>
          <cell r="EN311" t="str">
            <v/>
          </cell>
          <cell r="EO311" t="str">
            <v/>
          </cell>
          <cell r="EP311" t="str">
            <v/>
          </cell>
          <cell r="EQ311" t="str">
            <v/>
          </cell>
          <cell r="ER311" t="str">
            <v/>
          </cell>
          <cell r="ES311" t="str">
            <v/>
          </cell>
          <cell r="ET311" t="str">
            <v/>
          </cell>
        </row>
        <row r="312">
          <cell r="DO312">
            <v>233</v>
          </cell>
          <cell r="DP312" t="str">
            <v/>
          </cell>
          <cell r="DQ312" t="str">
            <v/>
          </cell>
          <cell r="DR312" t="str">
            <v/>
          </cell>
          <cell r="DS312" t="str">
            <v/>
          </cell>
          <cell r="DT312" t="str">
            <v/>
          </cell>
          <cell r="DU312" t="str">
            <v/>
          </cell>
          <cell r="DV312" t="str">
            <v/>
          </cell>
          <cell r="DW312" t="str">
            <v/>
          </cell>
          <cell r="DX312" t="str">
            <v/>
          </cell>
          <cell r="DY312" t="str">
            <v/>
          </cell>
          <cell r="DZ312" t="str">
            <v/>
          </cell>
          <cell r="EA312" t="str">
            <v/>
          </cell>
          <cell r="EB312" t="str">
            <v/>
          </cell>
          <cell r="EC312" t="str">
            <v/>
          </cell>
          <cell r="ED312" t="str">
            <v/>
          </cell>
          <cell r="EE312" t="str">
            <v/>
          </cell>
          <cell r="EF312" t="str">
            <v/>
          </cell>
          <cell r="EH312" t="str">
            <v/>
          </cell>
          <cell r="EI312" t="str">
            <v/>
          </cell>
          <cell r="EJ312" t="str">
            <v/>
          </cell>
          <cell r="EL312" t="str">
            <v/>
          </cell>
          <cell r="EM312" t="str">
            <v/>
          </cell>
          <cell r="EN312" t="str">
            <v/>
          </cell>
          <cell r="EO312" t="str">
            <v/>
          </cell>
          <cell r="EP312" t="str">
            <v/>
          </cell>
          <cell r="EQ312" t="str">
            <v/>
          </cell>
          <cell r="ER312" t="str">
            <v/>
          </cell>
          <cell r="ES312" t="str">
            <v/>
          </cell>
          <cell r="ET312" t="str">
            <v/>
          </cell>
        </row>
        <row r="313">
          <cell r="DO313">
            <v>234</v>
          </cell>
          <cell r="DP313" t="str">
            <v/>
          </cell>
          <cell r="DQ313" t="str">
            <v/>
          </cell>
          <cell r="DR313" t="str">
            <v/>
          </cell>
          <cell r="DS313" t="str">
            <v/>
          </cell>
          <cell r="DT313" t="str">
            <v/>
          </cell>
          <cell r="DU313" t="str">
            <v/>
          </cell>
          <cell r="DV313" t="str">
            <v/>
          </cell>
          <cell r="DW313" t="str">
            <v/>
          </cell>
          <cell r="DX313" t="str">
            <v/>
          </cell>
          <cell r="DY313" t="str">
            <v/>
          </cell>
          <cell r="DZ313" t="str">
            <v/>
          </cell>
          <cell r="EA313" t="str">
            <v/>
          </cell>
          <cell r="EB313" t="str">
            <v/>
          </cell>
          <cell r="EC313" t="str">
            <v/>
          </cell>
          <cell r="ED313" t="str">
            <v/>
          </cell>
          <cell r="EE313" t="str">
            <v/>
          </cell>
          <cell r="EF313" t="str">
            <v/>
          </cell>
          <cell r="EH313" t="str">
            <v/>
          </cell>
          <cell r="EI313" t="str">
            <v/>
          </cell>
          <cell r="EJ313" t="str">
            <v/>
          </cell>
          <cell r="EL313" t="str">
            <v/>
          </cell>
          <cell r="EM313" t="str">
            <v/>
          </cell>
          <cell r="EN313" t="str">
            <v/>
          </cell>
          <cell r="EO313" t="str">
            <v/>
          </cell>
          <cell r="EP313" t="str">
            <v/>
          </cell>
          <cell r="EQ313" t="str">
            <v/>
          </cell>
          <cell r="ER313" t="str">
            <v/>
          </cell>
          <cell r="ES313" t="str">
            <v/>
          </cell>
          <cell r="ET313" t="str">
            <v/>
          </cell>
        </row>
        <row r="314">
          <cell r="DO314">
            <v>235</v>
          </cell>
          <cell r="DP314" t="str">
            <v/>
          </cell>
          <cell r="DQ314" t="str">
            <v/>
          </cell>
          <cell r="DR314" t="str">
            <v/>
          </cell>
          <cell r="DS314" t="str">
            <v/>
          </cell>
          <cell r="DT314" t="str">
            <v/>
          </cell>
          <cell r="DU314" t="str">
            <v/>
          </cell>
          <cell r="DV314" t="str">
            <v/>
          </cell>
          <cell r="DW314" t="str">
            <v/>
          </cell>
          <cell r="DX314" t="str">
            <v/>
          </cell>
          <cell r="DY314" t="str">
            <v/>
          </cell>
          <cell r="DZ314" t="str">
            <v/>
          </cell>
          <cell r="EA314" t="str">
            <v/>
          </cell>
          <cell r="EB314" t="str">
            <v/>
          </cell>
          <cell r="EC314" t="str">
            <v/>
          </cell>
          <cell r="ED314" t="str">
            <v/>
          </cell>
          <cell r="EE314" t="str">
            <v/>
          </cell>
          <cell r="EF314" t="str">
            <v/>
          </cell>
          <cell r="EH314" t="str">
            <v/>
          </cell>
          <cell r="EI314" t="str">
            <v/>
          </cell>
          <cell r="EJ314" t="str">
            <v/>
          </cell>
          <cell r="EL314" t="str">
            <v/>
          </cell>
          <cell r="EM314" t="str">
            <v/>
          </cell>
          <cell r="EN314" t="str">
            <v/>
          </cell>
          <cell r="EO314" t="str">
            <v/>
          </cell>
          <cell r="EP314" t="str">
            <v/>
          </cell>
          <cell r="EQ314" t="str">
            <v/>
          </cell>
          <cell r="ER314" t="str">
            <v/>
          </cell>
          <cell r="ES314" t="str">
            <v/>
          </cell>
          <cell r="ET314" t="str">
            <v/>
          </cell>
        </row>
        <row r="315">
          <cell r="DO315">
            <v>236</v>
          </cell>
          <cell r="DP315" t="str">
            <v/>
          </cell>
          <cell r="DQ315" t="str">
            <v/>
          </cell>
          <cell r="DR315" t="str">
            <v/>
          </cell>
          <cell r="DS315" t="str">
            <v/>
          </cell>
          <cell r="DT315" t="str">
            <v/>
          </cell>
          <cell r="DU315" t="str">
            <v/>
          </cell>
          <cell r="DV315" t="str">
            <v/>
          </cell>
          <cell r="DW315" t="str">
            <v/>
          </cell>
          <cell r="DX315" t="str">
            <v/>
          </cell>
          <cell r="DY315" t="str">
            <v/>
          </cell>
          <cell r="DZ315" t="str">
            <v/>
          </cell>
          <cell r="EA315" t="str">
            <v/>
          </cell>
          <cell r="EB315" t="str">
            <v/>
          </cell>
          <cell r="EC315" t="str">
            <v/>
          </cell>
          <cell r="ED315" t="str">
            <v/>
          </cell>
          <cell r="EE315" t="str">
            <v/>
          </cell>
          <cell r="EF315" t="str">
            <v/>
          </cell>
          <cell r="EH315" t="str">
            <v/>
          </cell>
          <cell r="EI315" t="str">
            <v/>
          </cell>
          <cell r="EJ315" t="str">
            <v/>
          </cell>
          <cell r="EL315" t="str">
            <v/>
          </cell>
          <cell r="EM315" t="str">
            <v/>
          </cell>
          <cell r="EN315" t="str">
            <v/>
          </cell>
          <cell r="EO315" t="str">
            <v/>
          </cell>
          <cell r="EP315" t="str">
            <v/>
          </cell>
          <cell r="EQ315" t="str">
            <v/>
          </cell>
          <cell r="ER315" t="str">
            <v/>
          </cell>
          <cell r="ES315" t="str">
            <v/>
          </cell>
          <cell r="ET315" t="str">
            <v/>
          </cell>
        </row>
        <row r="316">
          <cell r="DO316">
            <v>237</v>
          </cell>
          <cell r="DP316" t="str">
            <v/>
          </cell>
          <cell r="DQ316" t="str">
            <v/>
          </cell>
          <cell r="DR316" t="str">
            <v/>
          </cell>
          <cell r="DS316" t="str">
            <v/>
          </cell>
          <cell r="DT316" t="str">
            <v/>
          </cell>
          <cell r="DU316" t="str">
            <v/>
          </cell>
          <cell r="DV316" t="str">
            <v/>
          </cell>
          <cell r="DW316" t="str">
            <v/>
          </cell>
          <cell r="DX316" t="str">
            <v/>
          </cell>
          <cell r="DY316" t="str">
            <v/>
          </cell>
          <cell r="DZ316" t="str">
            <v/>
          </cell>
          <cell r="EA316" t="str">
            <v/>
          </cell>
          <cell r="EB316" t="str">
            <v/>
          </cell>
          <cell r="EC316" t="str">
            <v/>
          </cell>
          <cell r="ED316" t="str">
            <v/>
          </cell>
          <cell r="EE316" t="str">
            <v/>
          </cell>
          <cell r="EF316" t="str">
            <v/>
          </cell>
          <cell r="EH316" t="str">
            <v/>
          </cell>
          <cell r="EI316" t="str">
            <v/>
          </cell>
          <cell r="EJ316" t="str">
            <v/>
          </cell>
          <cell r="EL316" t="str">
            <v/>
          </cell>
          <cell r="EM316" t="str">
            <v/>
          </cell>
          <cell r="EN316" t="str">
            <v/>
          </cell>
          <cell r="EO316" t="str">
            <v/>
          </cell>
          <cell r="EP316" t="str">
            <v/>
          </cell>
          <cell r="EQ316" t="str">
            <v/>
          </cell>
          <cell r="ER316" t="str">
            <v/>
          </cell>
          <cell r="ES316" t="str">
            <v/>
          </cell>
          <cell r="ET316" t="str">
            <v/>
          </cell>
        </row>
        <row r="317">
          <cell r="DO317">
            <v>238</v>
          </cell>
          <cell r="DP317" t="str">
            <v/>
          </cell>
          <cell r="DQ317" t="str">
            <v/>
          </cell>
          <cell r="DR317" t="str">
            <v/>
          </cell>
          <cell r="DS317" t="str">
            <v/>
          </cell>
          <cell r="DT317" t="str">
            <v/>
          </cell>
          <cell r="DU317" t="str">
            <v/>
          </cell>
          <cell r="DV317" t="str">
            <v/>
          </cell>
          <cell r="DW317" t="str">
            <v/>
          </cell>
          <cell r="DX317" t="str">
            <v/>
          </cell>
          <cell r="DY317" t="str">
            <v/>
          </cell>
          <cell r="DZ317" t="str">
            <v/>
          </cell>
          <cell r="EA317" t="str">
            <v/>
          </cell>
          <cell r="EB317" t="str">
            <v/>
          </cell>
          <cell r="EC317" t="str">
            <v/>
          </cell>
          <cell r="ED317" t="str">
            <v/>
          </cell>
          <cell r="EE317" t="str">
            <v/>
          </cell>
          <cell r="EF317" t="str">
            <v/>
          </cell>
          <cell r="EH317" t="str">
            <v/>
          </cell>
          <cell r="EI317" t="str">
            <v/>
          </cell>
          <cell r="EJ317" t="str">
            <v/>
          </cell>
          <cell r="EL317" t="str">
            <v/>
          </cell>
          <cell r="EM317" t="str">
            <v/>
          </cell>
          <cell r="EN317" t="str">
            <v/>
          </cell>
          <cell r="EO317" t="str">
            <v/>
          </cell>
          <cell r="EP317" t="str">
            <v/>
          </cell>
          <cell r="EQ317" t="str">
            <v/>
          </cell>
          <cell r="ER317" t="str">
            <v/>
          </cell>
          <cell r="ES317" t="str">
            <v/>
          </cell>
          <cell r="ET317" t="str">
            <v/>
          </cell>
        </row>
        <row r="318">
          <cell r="DO318">
            <v>239</v>
          </cell>
          <cell r="DP318" t="str">
            <v/>
          </cell>
          <cell r="DQ318" t="str">
            <v/>
          </cell>
          <cell r="DR318" t="str">
            <v/>
          </cell>
          <cell r="DS318" t="str">
            <v/>
          </cell>
          <cell r="DT318" t="str">
            <v/>
          </cell>
          <cell r="DU318" t="str">
            <v/>
          </cell>
          <cell r="DV318" t="str">
            <v/>
          </cell>
          <cell r="DW318" t="str">
            <v/>
          </cell>
          <cell r="DX318" t="str">
            <v/>
          </cell>
          <cell r="DY318" t="str">
            <v/>
          </cell>
          <cell r="DZ318" t="str">
            <v/>
          </cell>
          <cell r="EA318" t="str">
            <v/>
          </cell>
          <cell r="EB318" t="str">
            <v/>
          </cell>
          <cell r="EC318" t="str">
            <v/>
          </cell>
          <cell r="ED318" t="str">
            <v/>
          </cell>
          <cell r="EE318" t="str">
            <v/>
          </cell>
          <cell r="EF318" t="str">
            <v/>
          </cell>
          <cell r="EH318" t="str">
            <v/>
          </cell>
          <cell r="EI318" t="str">
            <v/>
          </cell>
          <cell r="EJ318" t="str">
            <v/>
          </cell>
          <cell r="EL318" t="str">
            <v/>
          </cell>
          <cell r="EM318" t="str">
            <v/>
          </cell>
          <cell r="EN318" t="str">
            <v/>
          </cell>
          <cell r="EO318" t="str">
            <v/>
          </cell>
          <cell r="EP318" t="str">
            <v/>
          </cell>
          <cell r="EQ318" t="str">
            <v/>
          </cell>
          <cell r="ER318" t="str">
            <v/>
          </cell>
          <cell r="ES318" t="str">
            <v/>
          </cell>
          <cell r="ET318" t="str">
            <v/>
          </cell>
        </row>
        <row r="319">
          <cell r="DO319">
            <v>240</v>
          </cell>
          <cell r="DP319" t="str">
            <v/>
          </cell>
          <cell r="DQ319" t="str">
            <v/>
          </cell>
          <cell r="DR319" t="str">
            <v/>
          </cell>
          <cell r="DS319" t="str">
            <v/>
          </cell>
          <cell r="DT319" t="str">
            <v/>
          </cell>
          <cell r="DU319" t="str">
            <v/>
          </cell>
          <cell r="DV319" t="str">
            <v/>
          </cell>
          <cell r="DW319" t="str">
            <v/>
          </cell>
          <cell r="DX319" t="str">
            <v/>
          </cell>
          <cell r="DY319" t="str">
            <v/>
          </cell>
          <cell r="DZ319" t="str">
            <v/>
          </cell>
          <cell r="EA319" t="str">
            <v/>
          </cell>
          <cell r="EB319" t="str">
            <v/>
          </cell>
          <cell r="EC319" t="str">
            <v/>
          </cell>
          <cell r="ED319" t="str">
            <v/>
          </cell>
          <cell r="EE319" t="str">
            <v/>
          </cell>
          <cell r="EF319" t="str">
            <v/>
          </cell>
          <cell r="EH319" t="str">
            <v/>
          </cell>
          <cell r="EI319" t="str">
            <v/>
          </cell>
          <cell r="EJ319" t="str">
            <v/>
          </cell>
          <cell r="EL319" t="str">
            <v/>
          </cell>
          <cell r="EM319" t="str">
            <v/>
          </cell>
          <cell r="EN319" t="str">
            <v/>
          </cell>
          <cell r="EO319" t="str">
            <v/>
          </cell>
          <cell r="EP319" t="str">
            <v/>
          </cell>
          <cell r="EQ319" t="str">
            <v/>
          </cell>
          <cell r="ER319" t="str">
            <v/>
          </cell>
          <cell r="ES319" t="str">
            <v/>
          </cell>
          <cell r="ET319" t="str">
            <v/>
          </cell>
        </row>
        <row r="320">
          <cell r="DO320">
            <v>241</v>
          </cell>
          <cell r="DP320" t="str">
            <v/>
          </cell>
          <cell r="DQ320" t="str">
            <v/>
          </cell>
          <cell r="DR320" t="str">
            <v/>
          </cell>
          <cell r="DS320" t="str">
            <v/>
          </cell>
          <cell r="DT320" t="str">
            <v/>
          </cell>
          <cell r="DU320" t="str">
            <v/>
          </cell>
          <cell r="DV320" t="str">
            <v/>
          </cell>
          <cell r="DW320" t="str">
            <v/>
          </cell>
          <cell r="DX320" t="str">
            <v/>
          </cell>
          <cell r="DY320" t="str">
            <v/>
          </cell>
          <cell r="DZ320" t="str">
            <v/>
          </cell>
          <cell r="EA320" t="str">
            <v/>
          </cell>
          <cell r="EB320" t="str">
            <v/>
          </cell>
          <cell r="EC320" t="str">
            <v/>
          </cell>
          <cell r="ED320" t="str">
            <v/>
          </cell>
          <cell r="EE320" t="str">
            <v/>
          </cell>
          <cell r="EF320" t="str">
            <v/>
          </cell>
          <cell r="EH320" t="str">
            <v/>
          </cell>
          <cell r="EI320" t="str">
            <v/>
          </cell>
          <cell r="EJ320" t="str">
            <v/>
          </cell>
          <cell r="EL320" t="str">
            <v/>
          </cell>
          <cell r="EM320" t="str">
            <v/>
          </cell>
          <cell r="EN320" t="str">
            <v/>
          </cell>
          <cell r="EO320" t="str">
            <v/>
          </cell>
          <cell r="EP320" t="str">
            <v/>
          </cell>
          <cell r="EQ320" t="str">
            <v/>
          </cell>
          <cell r="ER320" t="str">
            <v/>
          </cell>
          <cell r="ES320" t="str">
            <v/>
          </cell>
          <cell r="ET320" t="str">
            <v/>
          </cell>
        </row>
        <row r="321">
          <cell r="DO321">
            <v>242</v>
          </cell>
          <cell r="DP321" t="str">
            <v/>
          </cell>
          <cell r="DQ321" t="str">
            <v/>
          </cell>
          <cell r="DR321" t="str">
            <v/>
          </cell>
          <cell r="DS321" t="str">
            <v/>
          </cell>
          <cell r="DT321" t="str">
            <v/>
          </cell>
          <cell r="DU321" t="str">
            <v/>
          </cell>
          <cell r="DV321" t="str">
            <v/>
          </cell>
          <cell r="DW321" t="str">
            <v/>
          </cell>
          <cell r="DX321" t="str">
            <v/>
          </cell>
          <cell r="DY321" t="str">
            <v/>
          </cell>
          <cell r="DZ321" t="str">
            <v/>
          </cell>
          <cell r="EA321" t="str">
            <v/>
          </cell>
          <cell r="EB321" t="str">
            <v/>
          </cell>
          <cell r="EC321" t="str">
            <v/>
          </cell>
          <cell r="ED321" t="str">
            <v/>
          </cell>
          <cell r="EE321" t="str">
            <v/>
          </cell>
          <cell r="EF321" t="str">
            <v/>
          </cell>
          <cell r="EH321" t="str">
            <v/>
          </cell>
          <cell r="EI321" t="str">
            <v/>
          </cell>
          <cell r="EJ321" t="str">
            <v/>
          </cell>
          <cell r="EL321" t="str">
            <v/>
          </cell>
          <cell r="EM321" t="str">
            <v/>
          </cell>
          <cell r="EN321" t="str">
            <v/>
          </cell>
          <cell r="EO321" t="str">
            <v/>
          </cell>
          <cell r="EP321" t="str">
            <v/>
          </cell>
          <cell r="EQ321" t="str">
            <v/>
          </cell>
          <cell r="ER321" t="str">
            <v/>
          </cell>
          <cell r="ES321" t="str">
            <v/>
          </cell>
          <cell r="ET321" t="str">
            <v/>
          </cell>
        </row>
        <row r="322">
          <cell r="DO322">
            <v>243</v>
          </cell>
          <cell r="DP322" t="str">
            <v/>
          </cell>
          <cell r="DQ322" t="str">
            <v/>
          </cell>
          <cell r="DR322" t="str">
            <v/>
          </cell>
          <cell r="DS322" t="str">
            <v/>
          </cell>
          <cell r="DT322" t="str">
            <v/>
          </cell>
          <cell r="DU322" t="str">
            <v/>
          </cell>
          <cell r="DV322" t="str">
            <v/>
          </cell>
          <cell r="DW322" t="str">
            <v/>
          </cell>
          <cell r="DX322" t="str">
            <v/>
          </cell>
          <cell r="DY322" t="str">
            <v/>
          </cell>
          <cell r="DZ322" t="str">
            <v/>
          </cell>
          <cell r="EA322" t="str">
            <v/>
          </cell>
          <cell r="EB322" t="str">
            <v/>
          </cell>
          <cell r="EC322" t="str">
            <v/>
          </cell>
          <cell r="ED322" t="str">
            <v/>
          </cell>
          <cell r="EE322" t="str">
            <v/>
          </cell>
          <cell r="EF322" t="str">
            <v/>
          </cell>
          <cell r="EH322" t="str">
            <v/>
          </cell>
          <cell r="EI322" t="str">
            <v/>
          </cell>
          <cell r="EJ322" t="str">
            <v/>
          </cell>
          <cell r="EL322" t="str">
            <v/>
          </cell>
          <cell r="EM322" t="str">
            <v/>
          </cell>
          <cell r="EN322" t="str">
            <v/>
          </cell>
          <cell r="EO322" t="str">
            <v/>
          </cell>
          <cell r="EP322" t="str">
            <v/>
          </cell>
          <cell r="EQ322" t="str">
            <v/>
          </cell>
          <cell r="ER322" t="str">
            <v/>
          </cell>
          <cell r="ES322" t="str">
            <v/>
          </cell>
          <cell r="ET322" t="str">
            <v/>
          </cell>
        </row>
        <row r="323">
          <cell r="DO323">
            <v>244</v>
          </cell>
          <cell r="DP323" t="str">
            <v/>
          </cell>
          <cell r="DQ323" t="str">
            <v/>
          </cell>
          <cell r="DR323" t="str">
            <v/>
          </cell>
          <cell r="DS323" t="str">
            <v/>
          </cell>
          <cell r="DT323" t="str">
            <v/>
          </cell>
          <cell r="DU323" t="str">
            <v/>
          </cell>
          <cell r="DV323" t="str">
            <v/>
          </cell>
          <cell r="DW323" t="str">
            <v/>
          </cell>
          <cell r="DX323" t="str">
            <v/>
          </cell>
          <cell r="DY323" t="str">
            <v/>
          </cell>
          <cell r="DZ323" t="str">
            <v/>
          </cell>
          <cell r="EA323" t="str">
            <v/>
          </cell>
          <cell r="EB323" t="str">
            <v/>
          </cell>
          <cell r="EC323" t="str">
            <v/>
          </cell>
          <cell r="ED323" t="str">
            <v/>
          </cell>
          <cell r="EE323" t="str">
            <v/>
          </cell>
          <cell r="EF323" t="str">
            <v/>
          </cell>
          <cell r="EH323" t="str">
            <v/>
          </cell>
          <cell r="EI323" t="str">
            <v/>
          </cell>
          <cell r="EJ323" t="str">
            <v/>
          </cell>
          <cell r="EL323" t="str">
            <v/>
          </cell>
          <cell r="EM323" t="str">
            <v/>
          </cell>
          <cell r="EN323" t="str">
            <v/>
          </cell>
          <cell r="EO323" t="str">
            <v/>
          </cell>
          <cell r="EP323" t="str">
            <v/>
          </cell>
          <cell r="EQ323" t="str">
            <v/>
          </cell>
          <cell r="ER323" t="str">
            <v/>
          </cell>
          <cell r="ES323" t="str">
            <v/>
          </cell>
          <cell r="ET323" t="str">
            <v/>
          </cell>
        </row>
        <row r="324">
          <cell r="DO324">
            <v>245</v>
          </cell>
          <cell r="DP324" t="str">
            <v/>
          </cell>
          <cell r="DQ324" t="str">
            <v/>
          </cell>
          <cell r="DR324" t="str">
            <v/>
          </cell>
          <cell r="DS324" t="str">
            <v/>
          </cell>
          <cell r="DT324" t="str">
            <v/>
          </cell>
          <cell r="DU324" t="str">
            <v/>
          </cell>
          <cell r="DV324" t="str">
            <v/>
          </cell>
          <cell r="DW324" t="str">
            <v/>
          </cell>
          <cell r="DX324" t="str">
            <v/>
          </cell>
          <cell r="DY324" t="str">
            <v/>
          </cell>
          <cell r="DZ324" t="str">
            <v/>
          </cell>
          <cell r="EA324" t="str">
            <v/>
          </cell>
          <cell r="EB324" t="str">
            <v/>
          </cell>
          <cell r="EC324" t="str">
            <v/>
          </cell>
          <cell r="ED324" t="str">
            <v/>
          </cell>
          <cell r="EE324" t="str">
            <v/>
          </cell>
          <cell r="EF324" t="str">
            <v/>
          </cell>
          <cell r="EH324" t="str">
            <v/>
          </cell>
          <cell r="EI324" t="str">
            <v/>
          </cell>
          <cell r="EJ324" t="str">
            <v/>
          </cell>
          <cell r="EL324" t="str">
            <v/>
          </cell>
          <cell r="EM324" t="str">
            <v/>
          </cell>
          <cell r="EN324" t="str">
            <v/>
          </cell>
          <cell r="EO324" t="str">
            <v/>
          </cell>
          <cell r="EP324" t="str">
            <v/>
          </cell>
          <cell r="EQ324" t="str">
            <v/>
          </cell>
          <cell r="ER324" t="str">
            <v/>
          </cell>
          <cell r="ES324" t="str">
            <v/>
          </cell>
          <cell r="ET324" t="str">
            <v/>
          </cell>
        </row>
        <row r="325">
          <cell r="DO325">
            <v>246</v>
          </cell>
          <cell r="DP325" t="str">
            <v/>
          </cell>
          <cell r="DQ325" t="str">
            <v/>
          </cell>
          <cell r="DR325" t="str">
            <v/>
          </cell>
          <cell r="DS325" t="str">
            <v/>
          </cell>
          <cell r="DT325" t="str">
            <v/>
          </cell>
          <cell r="DU325" t="str">
            <v/>
          </cell>
          <cell r="DV325" t="str">
            <v/>
          </cell>
          <cell r="DW325" t="str">
            <v/>
          </cell>
          <cell r="DX325" t="str">
            <v/>
          </cell>
          <cell r="DY325" t="str">
            <v/>
          </cell>
          <cell r="DZ325" t="str">
            <v/>
          </cell>
          <cell r="EA325" t="str">
            <v/>
          </cell>
          <cell r="EB325" t="str">
            <v/>
          </cell>
          <cell r="EC325" t="str">
            <v/>
          </cell>
          <cell r="ED325" t="str">
            <v/>
          </cell>
          <cell r="EE325" t="str">
            <v/>
          </cell>
          <cell r="EF325" t="str">
            <v/>
          </cell>
          <cell r="EH325" t="str">
            <v/>
          </cell>
          <cell r="EI325" t="str">
            <v/>
          </cell>
          <cell r="EJ325" t="str">
            <v/>
          </cell>
          <cell r="EL325" t="str">
            <v/>
          </cell>
          <cell r="EM325" t="str">
            <v/>
          </cell>
          <cell r="EN325" t="str">
            <v/>
          </cell>
          <cell r="EO325" t="str">
            <v/>
          </cell>
          <cell r="EP325" t="str">
            <v/>
          </cell>
          <cell r="EQ325" t="str">
            <v/>
          </cell>
          <cell r="ER325" t="str">
            <v/>
          </cell>
          <cell r="ES325" t="str">
            <v/>
          </cell>
          <cell r="ET325" t="str">
            <v/>
          </cell>
        </row>
        <row r="326">
          <cell r="DO326">
            <v>247</v>
          </cell>
          <cell r="DP326" t="str">
            <v/>
          </cell>
          <cell r="DQ326" t="str">
            <v/>
          </cell>
          <cell r="DR326" t="str">
            <v/>
          </cell>
          <cell r="DS326" t="str">
            <v/>
          </cell>
          <cell r="DT326" t="str">
            <v/>
          </cell>
          <cell r="DU326" t="str">
            <v/>
          </cell>
          <cell r="DV326" t="str">
            <v/>
          </cell>
          <cell r="DW326" t="str">
            <v/>
          </cell>
          <cell r="DX326" t="str">
            <v/>
          </cell>
          <cell r="DY326" t="str">
            <v/>
          </cell>
          <cell r="DZ326" t="str">
            <v/>
          </cell>
          <cell r="EA326" t="str">
            <v/>
          </cell>
          <cell r="EB326" t="str">
            <v/>
          </cell>
          <cell r="EC326" t="str">
            <v/>
          </cell>
          <cell r="ED326" t="str">
            <v/>
          </cell>
          <cell r="EE326" t="str">
            <v/>
          </cell>
          <cell r="EF326" t="str">
            <v/>
          </cell>
          <cell r="EH326" t="str">
            <v/>
          </cell>
          <cell r="EI326" t="str">
            <v/>
          </cell>
          <cell r="EJ326" t="str">
            <v/>
          </cell>
          <cell r="EL326" t="str">
            <v/>
          </cell>
          <cell r="EM326" t="str">
            <v/>
          </cell>
          <cell r="EN326" t="str">
            <v/>
          </cell>
          <cell r="EO326" t="str">
            <v/>
          </cell>
          <cell r="EP326" t="str">
            <v/>
          </cell>
          <cell r="EQ326" t="str">
            <v/>
          </cell>
          <cell r="ER326" t="str">
            <v/>
          </cell>
          <cell r="ES326" t="str">
            <v/>
          </cell>
          <cell r="ET326" t="str">
            <v/>
          </cell>
        </row>
        <row r="327">
          <cell r="DO327">
            <v>248</v>
          </cell>
          <cell r="DP327" t="str">
            <v/>
          </cell>
          <cell r="DQ327" t="str">
            <v/>
          </cell>
          <cell r="DR327" t="str">
            <v/>
          </cell>
          <cell r="DS327" t="str">
            <v/>
          </cell>
          <cell r="DT327" t="str">
            <v/>
          </cell>
          <cell r="DU327" t="str">
            <v/>
          </cell>
          <cell r="DV327" t="str">
            <v/>
          </cell>
          <cell r="DW327" t="str">
            <v/>
          </cell>
          <cell r="DX327" t="str">
            <v/>
          </cell>
          <cell r="DY327" t="str">
            <v/>
          </cell>
          <cell r="DZ327" t="str">
            <v/>
          </cell>
          <cell r="EA327" t="str">
            <v/>
          </cell>
          <cell r="EB327" t="str">
            <v/>
          </cell>
          <cell r="EC327" t="str">
            <v/>
          </cell>
          <cell r="ED327" t="str">
            <v/>
          </cell>
          <cell r="EE327" t="str">
            <v/>
          </cell>
          <cell r="EF327" t="str">
            <v/>
          </cell>
          <cell r="EH327" t="str">
            <v/>
          </cell>
          <cell r="EI327" t="str">
            <v/>
          </cell>
          <cell r="EJ327" t="str">
            <v/>
          </cell>
          <cell r="EL327" t="str">
            <v/>
          </cell>
          <cell r="EM327" t="str">
            <v/>
          </cell>
          <cell r="EN327" t="str">
            <v/>
          </cell>
          <cell r="EO327" t="str">
            <v/>
          </cell>
          <cell r="EP327" t="str">
            <v/>
          </cell>
          <cell r="EQ327" t="str">
            <v/>
          </cell>
          <cell r="ER327" t="str">
            <v/>
          </cell>
          <cell r="ES327" t="str">
            <v/>
          </cell>
          <cell r="ET327" t="str">
            <v/>
          </cell>
        </row>
        <row r="328">
          <cell r="DO328">
            <v>249</v>
          </cell>
          <cell r="DP328" t="str">
            <v/>
          </cell>
          <cell r="DQ328" t="str">
            <v/>
          </cell>
          <cell r="DR328" t="str">
            <v/>
          </cell>
          <cell r="DS328" t="str">
            <v/>
          </cell>
          <cell r="DT328" t="str">
            <v/>
          </cell>
          <cell r="DU328" t="str">
            <v/>
          </cell>
          <cell r="DV328" t="str">
            <v/>
          </cell>
          <cell r="DW328" t="str">
            <v/>
          </cell>
          <cell r="DX328" t="str">
            <v/>
          </cell>
          <cell r="DY328" t="str">
            <v/>
          </cell>
          <cell r="DZ328" t="str">
            <v/>
          </cell>
          <cell r="EA328" t="str">
            <v/>
          </cell>
          <cell r="EB328" t="str">
            <v/>
          </cell>
          <cell r="EC328" t="str">
            <v/>
          </cell>
          <cell r="ED328" t="str">
            <v/>
          </cell>
          <cell r="EE328" t="str">
            <v/>
          </cell>
          <cell r="EF328" t="str">
            <v/>
          </cell>
          <cell r="EH328" t="str">
            <v/>
          </cell>
          <cell r="EI328" t="str">
            <v/>
          </cell>
          <cell r="EJ328" t="str">
            <v/>
          </cell>
          <cell r="EL328" t="str">
            <v/>
          </cell>
          <cell r="EM328" t="str">
            <v/>
          </cell>
          <cell r="EN328" t="str">
            <v/>
          </cell>
          <cell r="EO328" t="str">
            <v/>
          </cell>
          <cell r="EP328" t="str">
            <v/>
          </cell>
          <cell r="EQ328" t="str">
            <v/>
          </cell>
          <cell r="ER328" t="str">
            <v/>
          </cell>
          <cell r="ES328" t="str">
            <v/>
          </cell>
          <cell r="ET328" t="str">
            <v/>
          </cell>
        </row>
        <row r="329">
          <cell r="DO329">
            <v>250</v>
          </cell>
          <cell r="DP329" t="str">
            <v/>
          </cell>
          <cell r="DQ329" t="str">
            <v/>
          </cell>
          <cell r="DR329" t="str">
            <v/>
          </cell>
          <cell r="DS329" t="str">
            <v/>
          </cell>
          <cell r="DT329" t="str">
            <v/>
          </cell>
          <cell r="DU329" t="str">
            <v/>
          </cell>
          <cell r="DV329" t="str">
            <v/>
          </cell>
          <cell r="DW329" t="str">
            <v/>
          </cell>
          <cell r="DX329" t="str">
            <v/>
          </cell>
          <cell r="DY329" t="str">
            <v/>
          </cell>
          <cell r="DZ329" t="str">
            <v/>
          </cell>
          <cell r="EA329" t="str">
            <v/>
          </cell>
          <cell r="EB329" t="str">
            <v/>
          </cell>
          <cell r="EC329" t="str">
            <v/>
          </cell>
          <cell r="ED329" t="str">
            <v/>
          </cell>
          <cell r="EE329" t="str">
            <v/>
          </cell>
          <cell r="EF329" t="str">
            <v/>
          </cell>
          <cell r="EH329" t="str">
            <v/>
          </cell>
          <cell r="EI329" t="str">
            <v/>
          </cell>
          <cell r="EJ329" t="str">
            <v/>
          </cell>
          <cell r="EL329" t="str">
            <v/>
          </cell>
          <cell r="EM329" t="str">
            <v/>
          </cell>
          <cell r="EN329" t="str">
            <v/>
          </cell>
          <cell r="EO329" t="str">
            <v/>
          </cell>
          <cell r="EP329" t="str">
            <v/>
          </cell>
          <cell r="EQ329" t="str">
            <v/>
          </cell>
          <cell r="ER329" t="str">
            <v/>
          </cell>
          <cell r="ES329" t="str">
            <v/>
          </cell>
          <cell r="ET329" t="str">
            <v/>
          </cell>
        </row>
        <row r="330">
          <cell r="DO330">
            <v>251</v>
          </cell>
          <cell r="DP330" t="str">
            <v/>
          </cell>
          <cell r="DQ330" t="str">
            <v/>
          </cell>
          <cell r="DR330" t="str">
            <v/>
          </cell>
          <cell r="DS330" t="str">
            <v/>
          </cell>
          <cell r="DT330" t="str">
            <v/>
          </cell>
          <cell r="DU330" t="str">
            <v/>
          </cell>
          <cell r="DV330" t="str">
            <v/>
          </cell>
          <cell r="DW330" t="str">
            <v/>
          </cell>
          <cell r="DX330" t="str">
            <v/>
          </cell>
          <cell r="DY330" t="str">
            <v/>
          </cell>
          <cell r="DZ330" t="str">
            <v/>
          </cell>
          <cell r="EA330" t="str">
            <v/>
          </cell>
          <cell r="EB330" t="str">
            <v/>
          </cell>
          <cell r="EC330" t="str">
            <v/>
          </cell>
          <cell r="ED330" t="str">
            <v/>
          </cell>
          <cell r="EE330" t="str">
            <v/>
          </cell>
          <cell r="EF330" t="str">
            <v/>
          </cell>
          <cell r="EH330" t="str">
            <v/>
          </cell>
          <cell r="EI330" t="str">
            <v/>
          </cell>
          <cell r="EJ330" t="str">
            <v/>
          </cell>
          <cell r="EL330" t="str">
            <v/>
          </cell>
          <cell r="EM330" t="str">
            <v/>
          </cell>
          <cell r="EN330" t="str">
            <v/>
          </cell>
          <cell r="EO330" t="str">
            <v/>
          </cell>
          <cell r="EP330" t="str">
            <v/>
          </cell>
          <cell r="EQ330" t="str">
            <v/>
          </cell>
          <cell r="ER330" t="str">
            <v/>
          </cell>
          <cell r="ES330" t="str">
            <v/>
          </cell>
          <cell r="ET330" t="str">
            <v/>
          </cell>
        </row>
        <row r="331">
          <cell r="DO331">
            <v>252</v>
          </cell>
          <cell r="DP331" t="str">
            <v/>
          </cell>
          <cell r="DQ331" t="str">
            <v/>
          </cell>
          <cell r="DR331" t="str">
            <v/>
          </cell>
          <cell r="DS331" t="str">
            <v/>
          </cell>
          <cell r="DT331" t="str">
            <v/>
          </cell>
          <cell r="DU331" t="str">
            <v/>
          </cell>
          <cell r="DV331" t="str">
            <v/>
          </cell>
          <cell r="DW331" t="str">
            <v/>
          </cell>
          <cell r="DX331" t="str">
            <v/>
          </cell>
          <cell r="DY331" t="str">
            <v/>
          </cell>
          <cell r="DZ331" t="str">
            <v/>
          </cell>
          <cell r="EA331" t="str">
            <v/>
          </cell>
          <cell r="EB331" t="str">
            <v/>
          </cell>
          <cell r="EC331" t="str">
            <v/>
          </cell>
          <cell r="ED331" t="str">
            <v/>
          </cell>
          <cell r="EE331" t="str">
            <v/>
          </cell>
          <cell r="EF331" t="str">
            <v/>
          </cell>
          <cell r="EH331" t="str">
            <v/>
          </cell>
          <cell r="EI331" t="str">
            <v/>
          </cell>
          <cell r="EJ331" t="str">
            <v/>
          </cell>
          <cell r="EL331" t="str">
            <v/>
          </cell>
          <cell r="EM331" t="str">
            <v/>
          </cell>
          <cell r="EN331" t="str">
            <v/>
          </cell>
          <cell r="EO331" t="str">
            <v/>
          </cell>
          <cell r="EP331" t="str">
            <v/>
          </cell>
          <cell r="EQ331" t="str">
            <v/>
          </cell>
          <cell r="ER331" t="str">
            <v/>
          </cell>
          <cell r="ES331" t="str">
            <v/>
          </cell>
          <cell r="ET331" t="str">
            <v/>
          </cell>
        </row>
        <row r="332">
          <cell r="DO332">
            <v>253</v>
          </cell>
          <cell r="DP332" t="str">
            <v/>
          </cell>
          <cell r="DQ332" t="str">
            <v/>
          </cell>
          <cell r="DR332" t="str">
            <v/>
          </cell>
          <cell r="DS332" t="str">
            <v/>
          </cell>
          <cell r="DT332" t="str">
            <v/>
          </cell>
          <cell r="DU332" t="str">
            <v/>
          </cell>
          <cell r="DV332" t="str">
            <v/>
          </cell>
          <cell r="DW332" t="str">
            <v/>
          </cell>
          <cell r="DX332" t="str">
            <v/>
          </cell>
          <cell r="DY332" t="str">
            <v/>
          </cell>
          <cell r="DZ332" t="str">
            <v/>
          </cell>
          <cell r="EA332" t="str">
            <v/>
          </cell>
          <cell r="EB332" t="str">
            <v/>
          </cell>
          <cell r="EC332" t="str">
            <v/>
          </cell>
          <cell r="ED332" t="str">
            <v/>
          </cell>
          <cell r="EE332" t="str">
            <v/>
          </cell>
          <cell r="EF332" t="str">
            <v/>
          </cell>
          <cell r="EH332" t="str">
            <v/>
          </cell>
          <cell r="EI332" t="str">
            <v/>
          </cell>
          <cell r="EJ332" t="str">
            <v/>
          </cell>
          <cell r="EL332" t="str">
            <v/>
          </cell>
          <cell r="EM332" t="str">
            <v/>
          </cell>
          <cell r="EN332" t="str">
            <v/>
          </cell>
          <cell r="EO332" t="str">
            <v/>
          </cell>
          <cell r="EP332" t="str">
            <v/>
          </cell>
          <cell r="EQ332" t="str">
            <v/>
          </cell>
          <cell r="ER332" t="str">
            <v/>
          </cell>
          <cell r="ES332" t="str">
            <v/>
          </cell>
          <cell r="ET332" t="str">
            <v/>
          </cell>
        </row>
        <row r="333">
          <cell r="DO333">
            <v>254</v>
          </cell>
          <cell r="DP333" t="str">
            <v/>
          </cell>
          <cell r="DQ333" t="str">
            <v/>
          </cell>
          <cell r="DR333" t="str">
            <v/>
          </cell>
          <cell r="DS333" t="str">
            <v/>
          </cell>
          <cell r="DT333" t="str">
            <v/>
          </cell>
          <cell r="DU333" t="str">
            <v/>
          </cell>
          <cell r="DV333" t="str">
            <v/>
          </cell>
          <cell r="DW333" t="str">
            <v/>
          </cell>
          <cell r="DX333" t="str">
            <v/>
          </cell>
          <cell r="DY333" t="str">
            <v/>
          </cell>
          <cell r="DZ333" t="str">
            <v/>
          </cell>
          <cell r="EA333" t="str">
            <v/>
          </cell>
          <cell r="EB333" t="str">
            <v/>
          </cell>
          <cell r="EC333" t="str">
            <v/>
          </cell>
          <cell r="ED333" t="str">
            <v/>
          </cell>
          <cell r="EE333" t="str">
            <v/>
          </cell>
          <cell r="EF333" t="str">
            <v/>
          </cell>
          <cell r="EH333" t="str">
            <v/>
          </cell>
          <cell r="EI333" t="str">
            <v/>
          </cell>
          <cell r="EJ333" t="str">
            <v/>
          </cell>
          <cell r="EL333" t="str">
            <v/>
          </cell>
          <cell r="EM333" t="str">
            <v/>
          </cell>
          <cell r="EN333" t="str">
            <v/>
          </cell>
          <cell r="EO333" t="str">
            <v/>
          </cell>
          <cell r="EP333" t="str">
            <v/>
          </cell>
          <cell r="EQ333" t="str">
            <v/>
          </cell>
          <cell r="ER333" t="str">
            <v/>
          </cell>
          <cell r="ES333" t="str">
            <v/>
          </cell>
          <cell r="ET333" t="str">
            <v/>
          </cell>
        </row>
        <row r="334">
          <cell r="DO334">
            <v>255</v>
          </cell>
          <cell r="DP334" t="str">
            <v/>
          </cell>
          <cell r="DQ334" t="str">
            <v/>
          </cell>
          <cell r="DR334" t="str">
            <v/>
          </cell>
          <cell r="DS334" t="str">
            <v/>
          </cell>
          <cell r="DT334" t="str">
            <v/>
          </cell>
          <cell r="DU334" t="str">
            <v/>
          </cell>
          <cell r="DV334" t="str">
            <v/>
          </cell>
          <cell r="DW334" t="str">
            <v/>
          </cell>
          <cell r="DX334" t="str">
            <v/>
          </cell>
          <cell r="DY334" t="str">
            <v/>
          </cell>
          <cell r="DZ334" t="str">
            <v/>
          </cell>
          <cell r="EA334" t="str">
            <v/>
          </cell>
          <cell r="EB334" t="str">
            <v/>
          </cell>
          <cell r="EC334" t="str">
            <v/>
          </cell>
          <cell r="ED334" t="str">
            <v/>
          </cell>
          <cell r="EE334" t="str">
            <v/>
          </cell>
          <cell r="EF334" t="str">
            <v/>
          </cell>
          <cell r="EH334" t="str">
            <v/>
          </cell>
          <cell r="EI334" t="str">
            <v/>
          </cell>
          <cell r="EJ334" t="str">
            <v/>
          </cell>
          <cell r="EL334" t="str">
            <v/>
          </cell>
          <cell r="EM334" t="str">
            <v/>
          </cell>
          <cell r="EN334" t="str">
            <v/>
          </cell>
          <cell r="EO334" t="str">
            <v/>
          </cell>
          <cell r="EP334" t="str">
            <v/>
          </cell>
          <cell r="EQ334" t="str">
            <v/>
          </cell>
          <cell r="ER334" t="str">
            <v/>
          </cell>
          <cell r="ES334" t="str">
            <v/>
          </cell>
          <cell r="ET334" t="str">
            <v/>
          </cell>
        </row>
        <row r="335">
          <cell r="DO335">
            <v>256</v>
          </cell>
          <cell r="DP335" t="str">
            <v/>
          </cell>
          <cell r="DQ335" t="str">
            <v/>
          </cell>
          <cell r="DR335" t="str">
            <v/>
          </cell>
          <cell r="DS335" t="str">
            <v/>
          </cell>
          <cell r="DT335" t="str">
            <v/>
          </cell>
          <cell r="DU335" t="str">
            <v/>
          </cell>
          <cell r="DV335" t="str">
            <v/>
          </cell>
          <cell r="DW335" t="str">
            <v/>
          </cell>
          <cell r="DX335" t="str">
            <v/>
          </cell>
          <cell r="DY335" t="str">
            <v/>
          </cell>
          <cell r="DZ335" t="str">
            <v/>
          </cell>
          <cell r="EA335" t="str">
            <v/>
          </cell>
          <cell r="EB335" t="str">
            <v/>
          </cell>
          <cell r="EC335" t="str">
            <v/>
          </cell>
          <cell r="ED335" t="str">
            <v/>
          </cell>
          <cell r="EE335" t="str">
            <v/>
          </cell>
          <cell r="EF335" t="str">
            <v/>
          </cell>
          <cell r="EH335" t="str">
            <v/>
          </cell>
          <cell r="EI335" t="str">
            <v/>
          </cell>
          <cell r="EJ335" t="str">
            <v/>
          </cell>
          <cell r="EL335" t="str">
            <v/>
          </cell>
          <cell r="EM335" t="str">
            <v/>
          </cell>
          <cell r="EN335" t="str">
            <v/>
          </cell>
          <cell r="EO335" t="str">
            <v/>
          </cell>
          <cell r="EP335" t="str">
            <v/>
          </cell>
          <cell r="EQ335" t="str">
            <v/>
          </cell>
          <cell r="ER335" t="str">
            <v/>
          </cell>
          <cell r="ES335" t="str">
            <v/>
          </cell>
          <cell r="ET335" t="str">
            <v/>
          </cell>
        </row>
        <row r="336">
          <cell r="DO336">
            <v>257</v>
          </cell>
          <cell r="DP336" t="str">
            <v/>
          </cell>
          <cell r="DQ336" t="str">
            <v/>
          </cell>
          <cell r="DR336" t="str">
            <v/>
          </cell>
          <cell r="DS336" t="str">
            <v/>
          </cell>
          <cell r="DT336" t="str">
            <v/>
          </cell>
          <cell r="DU336" t="str">
            <v/>
          </cell>
          <cell r="DV336" t="str">
            <v/>
          </cell>
          <cell r="DW336" t="str">
            <v/>
          </cell>
          <cell r="DX336" t="str">
            <v/>
          </cell>
          <cell r="DY336" t="str">
            <v/>
          </cell>
          <cell r="DZ336" t="str">
            <v/>
          </cell>
          <cell r="EA336" t="str">
            <v/>
          </cell>
          <cell r="EB336" t="str">
            <v/>
          </cell>
          <cell r="EC336" t="str">
            <v/>
          </cell>
          <cell r="ED336" t="str">
            <v/>
          </cell>
          <cell r="EE336" t="str">
            <v/>
          </cell>
          <cell r="EF336" t="str">
            <v/>
          </cell>
          <cell r="EH336" t="str">
            <v/>
          </cell>
          <cell r="EI336" t="str">
            <v/>
          </cell>
          <cell r="EJ336" t="str">
            <v/>
          </cell>
          <cell r="EL336" t="str">
            <v/>
          </cell>
          <cell r="EM336" t="str">
            <v/>
          </cell>
          <cell r="EN336" t="str">
            <v/>
          </cell>
          <cell r="EO336" t="str">
            <v/>
          </cell>
          <cell r="EP336" t="str">
            <v/>
          </cell>
          <cell r="EQ336" t="str">
            <v/>
          </cell>
          <cell r="ER336" t="str">
            <v/>
          </cell>
          <cell r="ES336" t="str">
            <v/>
          </cell>
          <cell r="ET336" t="str">
            <v/>
          </cell>
        </row>
        <row r="337">
          <cell r="DO337">
            <v>258</v>
          </cell>
          <cell r="DP337" t="str">
            <v/>
          </cell>
          <cell r="DQ337" t="str">
            <v/>
          </cell>
          <cell r="DR337" t="str">
            <v/>
          </cell>
          <cell r="DS337" t="str">
            <v/>
          </cell>
          <cell r="DT337" t="str">
            <v/>
          </cell>
          <cell r="DU337" t="str">
            <v/>
          </cell>
          <cell r="DV337" t="str">
            <v/>
          </cell>
          <cell r="DW337" t="str">
            <v/>
          </cell>
          <cell r="DX337" t="str">
            <v/>
          </cell>
          <cell r="DY337" t="str">
            <v/>
          </cell>
          <cell r="DZ337" t="str">
            <v/>
          </cell>
          <cell r="EA337" t="str">
            <v/>
          </cell>
          <cell r="EB337" t="str">
            <v/>
          </cell>
          <cell r="EC337" t="str">
            <v/>
          </cell>
          <cell r="ED337" t="str">
            <v/>
          </cell>
          <cell r="EE337" t="str">
            <v/>
          </cell>
          <cell r="EF337" t="str">
            <v/>
          </cell>
          <cell r="EH337" t="str">
            <v/>
          </cell>
          <cell r="EI337" t="str">
            <v/>
          </cell>
          <cell r="EJ337" t="str">
            <v/>
          </cell>
          <cell r="EL337" t="str">
            <v/>
          </cell>
          <cell r="EM337" t="str">
            <v/>
          </cell>
          <cell r="EN337" t="str">
            <v/>
          </cell>
          <cell r="EO337" t="str">
            <v/>
          </cell>
          <cell r="EP337" t="str">
            <v/>
          </cell>
          <cell r="EQ337" t="str">
            <v/>
          </cell>
          <cell r="ER337" t="str">
            <v/>
          </cell>
          <cell r="ES337" t="str">
            <v/>
          </cell>
          <cell r="ET337" t="str">
            <v/>
          </cell>
        </row>
        <row r="338">
          <cell r="DO338">
            <v>259</v>
          </cell>
          <cell r="DP338" t="str">
            <v/>
          </cell>
          <cell r="DQ338" t="str">
            <v/>
          </cell>
          <cell r="DR338" t="str">
            <v/>
          </cell>
          <cell r="DS338" t="str">
            <v/>
          </cell>
          <cell r="DT338" t="str">
            <v/>
          </cell>
          <cell r="DU338" t="str">
            <v/>
          </cell>
          <cell r="DV338" t="str">
            <v/>
          </cell>
          <cell r="DW338" t="str">
            <v/>
          </cell>
          <cell r="DX338" t="str">
            <v/>
          </cell>
          <cell r="DY338" t="str">
            <v/>
          </cell>
          <cell r="DZ338" t="str">
            <v/>
          </cell>
          <cell r="EA338" t="str">
            <v/>
          </cell>
          <cell r="EB338" t="str">
            <v/>
          </cell>
          <cell r="EC338" t="str">
            <v/>
          </cell>
          <cell r="ED338" t="str">
            <v/>
          </cell>
          <cell r="EE338" t="str">
            <v/>
          </cell>
          <cell r="EF338" t="str">
            <v/>
          </cell>
          <cell r="EH338" t="str">
            <v/>
          </cell>
          <cell r="EI338" t="str">
            <v/>
          </cell>
          <cell r="EJ338" t="str">
            <v/>
          </cell>
          <cell r="EL338" t="str">
            <v/>
          </cell>
          <cell r="EM338" t="str">
            <v/>
          </cell>
          <cell r="EN338" t="str">
            <v/>
          </cell>
          <cell r="EO338" t="str">
            <v/>
          </cell>
          <cell r="EP338" t="str">
            <v/>
          </cell>
          <cell r="EQ338" t="str">
            <v/>
          </cell>
          <cell r="ER338" t="str">
            <v/>
          </cell>
          <cell r="ES338" t="str">
            <v/>
          </cell>
          <cell r="ET338" t="str">
            <v/>
          </cell>
        </row>
        <row r="339">
          <cell r="DO339">
            <v>260</v>
          </cell>
          <cell r="DP339" t="str">
            <v/>
          </cell>
          <cell r="DQ339" t="str">
            <v/>
          </cell>
          <cell r="DR339" t="str">
            <v/>
          </cell>
          <cell r="DS339" t="str">
            <v/>
          </cell>
          <cell r="DT339" t="str">
            <v/>
          </cell>
          <cell r="DU339" t="str">
            <v/>
          </cell>
          <cell r="DV339" t="str">
            <v/>
          </cell>
          <cell r="DW339" t="str">
            <v/>
          </cell>
          <cell r="DX339" t="str">
            <v/>
          </cell>
          <cell r="DY339" t="str">
            <v/>
          </cell>
          <cell r="DZ339" t="str">
            <v/>
          </cell>
          <cell r="EA339" t="str">
            <v/>
          </cell>
          <cell r="EB339" t="str">
            <v/>
          </cell>
          <cell r="EC339" t="str">
            <v/>
          </cell>
          <cell r="ED339" t="str">
            <v/>
          </cell>
          <cell r="EE339" t="str">
            <v/>
          </cell>
          <cell r="EF339" t="str">
            <v/>
          </cell>
          <cell r="EH339" t="str">
            <v/>
          </cell>
          <cell r="EI339" t="str">
            <v/>
          </cell>
          <cell r="EJ339" t="str">
            <v/>
          </cell>
          <cell r="EL339" t="str">
            <v/>
          </cell>
          <cell r="EM339" t="str">
            <v/>
          </cell>
          <cell r="EN339" t="str">
            <v/>
          </cell>
          <cell r="EO339" t="str">
            <v/>
          </cell>
          <cell r="EP339" t="str">
            <v/>
          </cell>
          <cell r="EQ339" t="str">
            <v/>
          </cell>
          <cell r="ER339" t="str">
            <v/>
          </cell>
          <cell r="ES339" t="str">
            <v/>
          </cell>
          <cell r="ET339" t="str">
            <v/>
          </cell>
        </row>
        <row r="340">
          <cell r="DO340">
            <v>261</v>
          </cell>
          <cell r="DP340" t="str">
            <v/>
          </cell>
          <cell r="DQ340" t="str">
            <v/>
          </cell>
          <cell r="DR340" t="str">
            <v/>
          </cell>
          <cell r="DS340" t="str">
            <v/>
          </cell>
          <cell r="DT340" t="str">
            <v/>
          </cell>
          <cell r="DU340" t="str">
            <v/>
          </cell>
          <cell r="DV340" t="str">
            <v/>
          </cell>
          <cell r="DW340" t="str">
            <v/>
          </cell>
          <cell r="DX340" t="str">
            <v/>
          </cell>
          <cell r="DY340" t="str">
            <v/>
          </cell>
          <cell r="DZ340" t="str">
            <v/>
          </cell>
          <cell r="EA340" t="str">
            <v/>
          </cell>
          <cell r="EB340" t="str">
            <v/>
          </cell>
          <cell r="EC340" t="str">
            <v/>
          </cell>
          <cell r="ED340" t="str">
            <v/>
          </cell>
          <cell r="EE340" t="str">
            <v/>
          </cell>
          <cell r="EF340" t="str">
            <v/>
          </cell>
          <cell r="EH340" t="str">
            <v/>
          </cell>
          <cell r="EI340" t="str">
            <v/>
          </cell>
          <cell r="EJ340" t="str">
            <v/>
          </cell>
          <cell r="EL340" t="str">
            <v/>
          </cell>
          <cell r="EM340" t="str">
            <v/>
          </cell>
          <cell r="EN340" t="str">
            <v/>
          </cell>
          <cell r="EO340" t="str">
            <v/>
          </cell>
          <cell r="EP340" t="str">
            <v/>
          </cell>
          <cell r="EQ340" t="str">
            <v/>
          </cell>
          <cell r="ER340" t="str">
            <v/>
          </cell>
          <cell r="ES340" t="str">
            <v/>
          </cell>
          <cell r="ET340" t="str">
            <v/>
          </cell>
        </row>
        <row r="341">
          <cell r="DO341">
            <v>262</v>
          </cell>
          <cell r="DP341" t="str">
            <v/>
          </cell>
          <cell r="DQ341" t="str">
            <v/>
          </cell>
          <cell r="DR341" t="str">
            <v/>
          </cell>
          <cell r="DS341" t="str">
            <v/>
          </cell>
          <cell r="DT341" t="str">
            <v/>
          </cell>
          <cell r="DU341" t="str">
            <v/>
          </cell>
          <cell r="DV341" t="str">
            <v/>
          </cell>
          <cell r="DW341" t="str">
            <v/>
          </cell>
          <cell r="DX341" t="str">
            <v/>
          </cell>
          <cell r="DY341" t="str">
            <v/>
          </cell>
          <cell r="DZ341" t="str">
            <v/>
          </cell>
          <cell r="EA341" t="str">
            <v/>
          </cell>
          <cell r="EB341" t="str">
            <v/>
          </cell>
          <cell r="EC341" t="str">
            <v/>
          </cell>
          <cell r="ED341" t="str">
            <v/>
          </cell>
          <cell r="EE341" t="str">
            <v/>
          </cell>
          <cell r="EF341" t="str">
            <v/>
          </cell>
          <cell r="EH341" t="str">
            <v/>
          </cell>
          <cell r="EI341" t="str">
            <v/>
          </cell>
          <cell r="EJ341" t="str">
            <v/>
          </cell>
          <cell r="EL341" t="str">
            <v/>
          </cell>
          <cell r="EM341" t="str">
            <v/>
          </cell>
          <cell r="EN341" t="str">
            <v/>
          </cell>
          <cell r="EO341" t="str">
            <v/>
          </cell>
          <cell r="EP341" t="str">
            <v/>
          </cell>
          <cell r="EQ341" t="str">
            <v/>
          </cell>
          <cell r="ER341" t="str">
            <v/>
          </cell>
          <cell r="ES341" t="str">
            <v/>
          </cell>
          <cell r="ET341" t="str">
            <v/>
          </cell>
        </row>
        <row r="342">
          <cell r="DO342">
            <v>263</v>
          </cell>
          <cell r="DP342" t="str">
            <v/>
          </cell>
          <cell r="DQ342" t="str">
            <v/>
          </cell>
          <cell r="DR342" t="str">
            <v/>
          </cell>
          <cell r="DS342" t="str">
            <v/>
          </cell>
          <cell r="DT342" t="str">
            <v/>
          </cell>
          <cell r="DU342" t="str">
            <v/>
          </cell>
          <cell r="DV342" t="str">
            <v/>
          </cell>
          <cell r="DW342" t="str">
            <v/>
          </cell>
          <cell r="DX342" t="str">
            <v/>
          </cell>
          <cell r="DY342" t="str">
            <v/>
          </cell>
          <cell r="DZ342" t="str">
            <v/>
          </cell>
          <cell r="EA342" t="str">
            <v/>
          </cell>
          <cell r="EB342" t="str">
            <v/>
          </cell>
          <cell r="EC342" t="str">
            <v/>
          </cell>
          <cell r="ED342" t="str">
            <v/>
          </cell>
          <cell r="EE342" t="str">
            <v/>
          </cell>
          <cell r="EF342" t="str">
            <v/>
          </cell>
          <cell r="EH342" t="str">
            <v/>
          </cell>
          <cell r="EI342" t="str">
            <v/>
          </cell>
          <cell r="EJ342" t="str">
            <v/>
          </cell>
          <cell r="EL342" t="str">
            <v/>
          </cell>
          <cell r="EM342" t="str">
            <v/>
          </cell>
          <cell r="EN342" t="str">
            <v/>
          </cell>
          <cell r="EO342" t="str">
            <v/>
          </cell>
          <cell r="EP342" t="str">
            <v/>
          </cell>
          <cell r="EQ342" t="str">
            <v/>
          </cell>
          <cell r="ER342" t="str">
            <v/>
          </cell>
          <cell r="ES342" t="str">
            <v/>
          </cell>
          <cell r="ET342" t="str">
            <v/>
          </cell>
        </row>
        <row r="343">
          <cell r="DO343">
            <v>264</v>
          </cell>
          <cell r="DP343" t="str">
            <v/>
          </cell>
          <cell r="DQ343" t="str">
            <v/>
          </cell>
          <cell r="DR343" t="str">
            <v/>
          </cell>
          <cell r="DS343" t="str">
            <v/>
          </cell>
          <cell r="DT343" t="str">
            <v/>
          </cell>
          <cell r="DU343" t="str">
            <v/>
          </cell>
          <cell r="DV343" t="str">
            <v/>
          </cell>
          <cell r="DW343" t="str">
            <v/>
          </cell>
          <cell r="DX343" t="str">
            <v/>
          </cell>
          <cell r="DY343" t="str">
            <v/>
          </cell>
          <cell r="DZ343" t="str">
            <v/>
          </cell>
          <cell r="EA343" t="str">
            <v/>
          </cell>
          <cell r="EB343" t="str">
            <v/>
          </cell>
          <cell r="EC343" t="str">
            <v/>
          </cell>
          <cell r="ED343" t="str">
            <v/>
          </cell>
          <cell r="EE343" t="str">
            <v/>
          </cell>
          <cell r="EF343" t="str">
            <v/>
          </cell>
          <cell r="EH343" t="str">
            <v/>
          </cell>
          <cell r="EI343" t="str">
            <v/>
          </cell>
          <cell r="EJ343" t="str">
            <v/>
          </cell>
          <cell r="EL343" t="str">
            <v/>
          </cell>
          <cell r="EM343" t="str">
            <v/>
          </cell>
          <cell r="EN343" t="str">
            <v/>
          </cell>
          <cell r="EO343" t="str">
            <v/>
          </cell>
          <cell r="EP343" t="str">
            <v/>
          </cell>
          <cell r="EQ343" t="str">
            <v/>
          </cell>
          <cell r="ER343" t="str">
            <v/>
          </cell>
          <cell r="ES343" t="str">
            <v/>
          </cell>
          <cell r="ET343" t="str">
            <v/>
          </cell>
        </row>
        <row r="344">
          <cell r="DO344">
            <v>265</v>
          </cell>
          <cell r="DP344" t="str">
            <v/>
          </cell>
          <cell r="DQ344" t="str">
            <v/>
          </cell>
          <cell r="DR344" t="str">
            <v/>
          </cell>
          <cell r="DS344" t="str">
            <v/>
          </cell>
          <cell r="DT344" t="str">
            <v/>
          </cell>
          <cell r="DU344" t="str">
            <v/>
          </cell>
          <cell r="DV344" t="str">
            <v/>
          </cell>
          <cell r="DW344" t="str">
            <v/>
          </cell>
          <cell r="DX344" t="str">
            <v/>
          </cell>
          <cell r="DY344" t="str">
            <v/>
          </cell>
          <cell r="DZ344" t="str">
            <v/>
          </cell>
          <cell r="EA344" t="str">
            <v/>
          </cell>
          <cell r="EB344" t="str">
            <v/>
          </cell>
          <cell r="EC344" t="str">
            <v/>
          </cell>
          <cell r="ED344" t="str">
            <v/>
          </cell>
          <cell r="EE344" t="str">
            <v/>
          </cell>
          <cell r="EF344" t="str">
            <v/>
          </cell>
          <cell r="EH344" t="str">
            <v/>
          </cell>
          <cell r="EI344" t="str">
            <v/>
          </cell>
          <cell r="EJ344" t="str">
            <v/>
          </cell>
          <cell r="EL344" t="str">
            <v/>
          </cell>
          <cell r="EM344" t="str">
            <v/>
          </cell>
          <cell r="EN344" t="str">
            <v/>
          </cell>
          <cell r="EO344" t="str">
            <v/>
          </cell>
          <cell r="EP344" t="str">
            <v/>
          </cell>
          <cell r="EQ344" t="str">
            <v/>
          </cell>
          <cell r="ER344" t="str">
            <v/>
          </cell>
          <cell r="ES344" t="str">
            <v/>
          </cell>
          <cell r="ET344" t="str">
            <v/>
          </cell>
        </row>
        <row r="345">
          <cell r="DO345">
            <v>266</v>
          </cell>
          <cell r="DP345" t="str">
            <v/>
          </cell>
          <cell r="DQ345" t="str">
            <v/>
          </cell>
          <cell r="DR345" t="str">
            <v/>
          </cell>
          <cell r="DS345" t="str">
            <v/>
          </cell>
          <cell r="DT345" t="str">
            <v/>
          </cell>
          <cell r="DU345" t="str">
            <v/>
          </cell>
          <cell r="DV345" t="str">
            <v/>
          </cell>
          <cell r="DW345" t="str">
            <v/>
          </cell>
          <cell r="DX345" t="str">
            <v/>
          </cell>
          <cell r="DY345" t="str">
            <v/>
          </cell>
          <cell r="DZ345" t="str">
            <v/>
          </cell>
          <cell r="EA345" t="str">
            <v/>
          </cell>
          <cell r="EB345" t="str">
            <v/>
          </cell>
          <cell r="EC345" t="str">
            <v/>
          </cell>
          <cell r="ED345" t="str">
            <v/>
          </cell>
          <cell r="EE345" t="str">
            <v/>
          </cell>
          <cell r="EF345" t="str">
            <v/>
          </cell>
          <cell r="EH345" t="str">
            <v/>
          </cell>
          <cell r="EI345" t="str">
            <v/>
          </cell>
          <cell r="EJ345" t="str">
            <v/>
          </cell>
          <cell r="EL345" t="str">
            <v/>
          </cell>
          <cell r="EM345" t="str">
            <v/>
          </cell>
          <cell r="EN345" t="str">
            <v/>
          </cell>
          <cell r="EO345" t="str">
            <v/>
          </cell>
          <cell r="EP345" t="str">
            <v/>
          </cell>
          <cell r="EQ345" t="str">
            <v/>
          </cell>
          <cell r="ER345" t="str">
            <v/>
          </cell>
          <cell r="ES345" t="str">
            <v/>
          </cell>
          <cell r="ET345" t="str">
            <v/>
          </cell>
        </row>
        <row r="346">
          <cell r="DO346">
            <v>267</v>
          </cell>
          <cell r="DP346" t="str">
            <v/>
          </cell>
          <cell r="DQ346" t="str">
            <v/>
          </cell>
          <cell r="DR346" t="str">
            <v/>
          </cell>
          <cell r="DS346" t="str">
            <v/>
          </cell>
          <cell r="DT346" t="str">
            <v/>
          </cell>
          <cell r="DU346" t="str">
            <v/>
          </cell>
          <cell r="DV346" t="str">
            <v/>
          </cell>
          <cell r="DW346" t="str">
            <v/>
          </cell>
          <cell r="DX346" t="str">
            <v/>
          </cell>
          <cell r="DY346" t="str">
            <v/>
          </cell>
          <cell r="DZ346" t="str">
            <v/>
          </cell>
          <cell r="EA346" t="str">
            <v/>
          </cell>
          <cell r="EB346" t="str">
            <v/>
          </cell>
          <cell r="EC346" t="str">
            <v/>
          </cell>
          <cell r="ED346" t="str">
            <v/>
          </cell>
          <cell r="EE346" t="str">
            <v/>
          </cell>
          <cell r="EF346" t="str">
            <v/>
          </cell>
          <cell r="EH346" t="str">
            <v/>
          </cell>
          <cell r="EI346" t="str">
            <v/>
          </cell>
          <cell r="EJ346" t="str">
            <v/>
          </cell>
          <cell r="EL346" t="str">
            <v/>
          </cell>
          <cell r="EM346" t="str">
            <v/>
          </cell>
          <cell r="EN346" t="str">
            <v/>
          </cell>
          <cell r="EO346" t="str">
            <v/>
          </cell>
          <cell r="EP346" t="str">
            <v/>
          </cell>
          <cell r="EQ346" t="str">
            <v/>
          </cell>
          <cell r="ER346" t="str">
            <v/>
          </cell>
          <cell r="ES346" t="str">
            <v/>
          </cell>
          <cell r="ET346" t="str">
            <v/>
          </cell>
        </row>
        <row r="347">
          <cell r="DO347">
            <v>268</v>
          </cell>
          <cell r="DP347" t="str">
            <v/>
          </cell>
          <cell r="DQ347" t="str">
            <v/>
          </cell>
          <cell r="DR347" t="str">
            <v/>
          </cell>
          <cell r="DS347" t="str">
            <v/>
          </cell>
          <cell r="DT347" t="str">
            <v/>
          </cell>
          <cell r="DU347" t="str">
            <v/>
          </cell>
          <cell r="DV347" t="str">
            <v/>
          </cell>
          <cell r="DW347" t="str">
            <v/>
          </cell>
          <cell r="DX347" t="str">
            <v/>
          </cell>
          <cell r="DY347" t="str">
            <v/>
          </cell>
          <cell r="DZ347" t="str">
            <v/>
          </cell>
          <cell r="EA347" t="str">
            <v/>
          </cell>
          <cell r="EB347" t="str">
            <v/>
          </cell>
          <cell r="EC347" t="str">
            <v/>
          </cell>
          <cell r="ED347" t="str">
            <v/>
          </cell>
          <cell r="EE347" t="str">
            <v/>
          </cell>
          <cell r="EF347" t="str">
            <v/>
          </cell>
          <cell r="EH347" t="str">
            <v/>
          </cell>
          <cell r="EI347" t="str">
            <v/>
          </cell>
          <cell r="EJ347" t="str">
            <v/>
          </cell>
          <cell r="EL347" t="str">
            <v/>
          </cell>
          <cell r="EM347" t="str">
            <v/>
          </cell>
          <cell r="EN347" t="str">
            <v/>
          </cell>
          <cell r="EO347" t="str">
            <v/>
          </cell>
          <cell r="EP347" t="str">
            <v/>
          </cell>
          <cell r="EQ347" t="str">
            <v/>
          </cell>
          <cell r="ER347" t="str">
            <v/>
          </cell>
          <cell r="ES347" t="str">
            <v/>
          </cell>
          <cell r="ET347" t="str">
            <v/>
          </cell>
        </row>
        <row r="348">
          <cell r="DO348">
            <v>269</v>
          </cell>
          <cell r="DP348" t="str">
            <v/>
          </cell>
          <cell r="DQ348" t="str">
            <v/>
          </cell>
          <cell r="DR348" t="str">
            <v/>
          </cell>
          <cell r="DS348" t="str">
            <v/>
          </cell>
          <cell r="DT348" t="str">
            <v/>
          </cell>
          <cell r="DU348" t="str">
            <v/>
          </cell>
          <cell r="DV348" t="str">
            <v/>
          </cell>
          <cell r="DW348" t="str">
            <v/>
          </cell>
          <cell r="DX348" t="str">
            <v/>
          </cell>
          <cell r="DY348" t="str">
            <v/>
          </cell>
          <cell r="DZ348" t="str">
            <v/>
          </cell>
          <cell r="EA348" t="str">
            <v/>
          </cell>
          <cell r="EB348" t="str">
            <v/>
          </cell>
          <cell r="EC348" t="str">
            <v/>
          </cell>
          <cell r="ED348" t="str">
            <v/>
          </cell>
          <cell r="EE348" t="str">
            <v/>
          </cell>
          <cell r="EF348" t="str">
            <v/>
          </cell>
          <cell r="EH348" t="str">
            <v/>
          </cell>
          <cell r="EI348" t="str">
            <v/>
          </cell>
          <cell r="EJ348" t="str">
            <v/>
          </cell>
          <cell r="EL348" t="str">
            <v/>
          </cell>
          <cell r="EM348" t="str">
            <v/>
          </cell>
          <cell r="EN348" t="str">
            <v/>
          </cell>
          <cell r="EO348" t="str">
            <v/>
          </cell>
          <cell r="EP348" t="str">
            <v/>
          </cell>
          <cell r="EQ348" t="str">
            <v/>
          </cell>
          <cell r="ER348" t="str">
            <v/>
          </cell>
          <cell r="ES348" t="str">
            <v/>
          </cell>
          <cell r="ET348" t="str">
            <v/>
          </cell>
        </row>
        <row r="349">
          <cell r="DO349">
            <v>270</v>
          </cell>
          <cell r="DP349" t="str">
            <v/>
          </cell>
          <cell r="DQ349" t="str">
            <v/>
          </cell>
          <cell r="DR349" t="str">
            <v/>
          </cell>
          <cell r="DS349" t="str">
            <v/>
          </cell>
          <cell r="DT349" t="str">
            <v/>
          </cell>
          <cell r="DU349" t="str">
            <v/>
          </cell>
          <cell r="DV349" t="str">
            <v/>
          </cell>
          <cell r="DW349" t="str">
            <v/>
          </cell>
          <cell r="DX349" t="str">
            <v/>
          </cell>
          <cell r="DY349" t="str">
            <v/>
          </cell>
          <cell r="DZ349" t="str">
            <v/>
          </cell>
          <cell r="EA349" t="str">
            <v/>
          </cell>
          <cell r="EB349" t="str">
            <v/>
          </cell>
          <cell r="EC349" t="str">
            <v/>
          </cell>
          <cell r="ED349" t="str">
            <v/>
          </cell>
          <cell r="EE349" t="str">
            <v/>
          </cell>
          <cell r="EF349" t="str">
            <v/>
          </cell>
          <cell r="EH349" t="str">
            <v/>
          </cell>
          <cell r="EI349" t="str">
            <v/>
          </cell>
          <cell r="EJ349" t="str">
            <v/>
          </cell>
          <cell r="EL349" t="str">
            <v/>
          </cell>
          <cell r="EM349" t="str">
            <v/>
          </cell>
          <cell r="EN349" t="str">
            <v/>
          </cell>
          <cell r="EO349" t="str">
            <v/>
          </cell>
          <cell r="EP349" t="str">
            <v/>
          </cell>
          <cell r="EQ349" t="str">
            <v/>
          </cell>
          <cell r="ER349" t="str">
            <v/>
          </cell>
          <cell r="ES349" t="str">
            <v/>
          </cell>
          <cell r="ET349" t="str">
            <v/>
          </cell>
        </row>
        <row r="350">
          <cell r="DO350">
            <v>271</v>
          </cell>
          <cell r="DP350" t="str">
            <v/>
          </cell>
          <cell r="DQ350" t="str">
            <v/>
          </cell>
          <cell r="DR350" t="str">
            <v/>
          </cell>
          <cell r="DS350" t="str">
            <v/>
          </cell>
          <cell r="DT350" t="str">
            <v/>
          </cell>
          <cell r="DU350" t="str">
            <v/>
          </cell>
          <cell r="DV350" t="str">
            <v/>
          </cell>
          <cell r="DW350" t="str">
            <v/>
          </cell>
          <cell r="DX350" t="str">
            <v/>
          </cell>
          <cell r="DY350" t="str">
            <v/>
          </cell>
          <cell r="DZ350" t="str">
            <v/>
          </cell>
          <cell r="EA350" t="str">
            <v/>
          </cell>
          <cell r="EB350" t="str">
            <v/>
          </cell>
          <cell r="EC350" t="str">
            <v/>
          </cell>
          <cell r="ED350" t="str">
            <v/>
          </cell>
          <cell r="EE350" t="str">
            <v/>
          </cell>
          <cell r="EF350" t="str">
            <v/>
          </cell>
          <cell r="EH350" t="str">
            <v/>
          </cell>
          <cell r="EI350" t="str">
            <v/>
          </cell>
          <cell r="EJ350" t="str">
            <v/>
          </cell>
          <cell r="EL350" t="str">
            <v/>
          </cell>
          <cell r="EM350" t="str">
            <v/>
          </cell>
          <cell r="EN350" t="str">
            <v/>
          </cell>
          <cell r="EO350" t="str">
            <v/>
          </cell>
          <cell r="EP350" t="str">
            <v/>
          </cell>
          <cell r="EQ350" t="str">
            <v/>
          </cell>
          <cell r="ER350" t="str">
            <v/>
          </cell>
          <cell r="ES350" t="str">
            <v/>
          </cell>
          <cell r="ET350" t="str">
            <v/>
          </cell>
        </row>
        <row r="351">
          <cell r="DO351">
            <v>272</v>
          </cell>
          <cell r="DP351" t="str">
            <v/>
          </cell>
          <cell r="DQ351" t="str">
            <v/>
          </cell>
          <cell r="DR351" t="str">
            <v/>
          </cell>
          <cell r="DS351" t="str">
            <v/>
          </cell>
          <cell r="DT351" t="str">
            <v/>
          </cell>
          <cell r="DU351" t="str">
            <v/>
          </cell>
          <cell r="DV351" t="str">
            <v/>
          </cell>
          <cell r="DW351" t="str">
            <v/>
          </cell>
          <cell r="DX351" t="str">
            <v/>
          </cell>
          <cell r="DY351" t="str">
            <v/>
          </cell>
          <cell r="DZ351" t="str">
            <v/>
          </cell>
          <cell r="EA351" t="str">
            <v/>
          </cell>
          <cell r="EB351" t="str">
            <v/>
          </cell>
          <cell r="EC351" t="str">
            <v/>
          </cell>
          <cell r="ED351" t="str">
            <v/>
          </cell>
          <cell r="EE351" t="str">
            <v/>
          </cell>
          <cell r="EF351" t="str">
            <v/>
          </cell>
          <cell r="EH351" t="str">
            <v/>
          </cell>
          <cell r="EI351" t="str">
            <v/>
          </cell>
          <cell r="EJ351" t="str">
            <v/>
          </cell>
          <cell r="EL351" t="str">
            <v/>
          </cell>
          <cell r="EM351" t="str">
            <v/>
          </cell>
          <cell r="EN351" t="str">
            <v/>
          </cell>
          <cell r="EO351" t="str">
            <v/>
          </cell>
          <cell r="EP351" t="str">
            <v/>
          </cell>
          <cell r="EQ351" t="str">
            <v/>
          </cell>
          <cell r="ER351" t="str">
            <v/>
          </cell>
          <cell r="ES351" t="str">
            <v/>
          </cell>
          <cell r="ET351" t="str">
            <v/>
          </cell>
        </row>
        <row r="352">
          <cell r="DO352">
            <v>273</v>
          </cell>
          <cell r="DP352" t="str">
            <v/>
          </cell>
          <cell r="DQ352" t="str">
            <v/>
          </cell>
          <cell r="DR352" t="str">
            <v/>
          </cell>
          <cell r="DS352" t="str">
            <v/>
          </cell>
          <cell r="DT352" t="str">
            <v/>
          </cell>
          <cell r="DU352" t="str">
            <v/>
          </cell>
          <cell r="DV352" t="str">
            <v/>
          </cell>
          <cell r="DW352" t="str">
            <v/>
          </cell>
          <cell r="DX352" t="str">
            <v/>
          </cell>
          <cell r="DY352" t="str">
            <v/>
          </cell>
          <cell r="DZ352" t="str">
            <v/>
          </cell>
          <cell r="EA352" t="str">
            <v/>
          </cell>
          <cell r="EB352" t="str">
            <v/>
          </cell>
          <cell r="EC352" t="str">
            <v/>
          </cell>
          <cell r="ED352" t="str">
            <v/>
          </cell>
          <cell r="EE352" t="str">
            <v/>
          </cell>
          <cell r="EF352" t="str">
            <v/>
          </cell>
          <cell r="EH352" t="str">
            <v/>
          </cell>
          <cell r="EI352" t="str">
            <v/>
          </cell>
          <cell r="EJ352" t="str">
            <v/>
          </cell>
          <cell r="EL352" t="str">
            <v/>
          </cell>
          <cell r="EM352" t="str">
            <v/>
          </cell>
          <cell r="EN352" t="str">
            <v/>
          </cell>
          <cell r="EO352" t="str">
            <v/>
          </cell>
          <cell r="EP352" t="str">
            <v/>
          </cell>
          <cell r="EQ352" t="str">
            <v/>
          </cell>
          <cell r="ER352" t="str">
            <v/>
          </cell>
          <cell r="ES352" t="str">
            <v/>
          </cell>
          <cell r="ET352" t="str">
            <v/>
          </cell>
        </row>
        <row r="353">
          <cell r="DO353">
            <v>274</v>
          </cell>
          <cell r="DP353" t="str">
            <v/>
          </cell>
          <cell r="DQ353" t="str">
            <v/>
          </cell>
          <cell r="DR353" t="str">
            <v/>
          </cell>
          <cell r="DS353" t="str">
            <v/>
          </cell>
          <cell r="DT353" t="str">
            <v/>
          </cell>
          <cell r="DU353" t="str">
            <v/>
          </cell>
          <cell r="DV353" t="str">
            <v/>
          </cell>
          <cell r="DW353" t="str">
            <v/>
          </cell>
          <cell r="DX353" t="str">
            <v/>
          </cell>
          <cell r="DY353" t="str">
            <v/>
          </cell>
          <cell r="DZ353" t="str">
            <v/>
          </cell>
          <cell r="EA353" t="str">
            <v/>
          </cell>
          <cell r="EB353" t="str">
            <v/>
          </cell>
          <cell r="EC353" t="str">
            <v/>
          </cell>
          <cell r="ED353" t="str">
            <v/>
          </cell>
          <cell r="EE353" t="str">
            <v/>
          </cell>
          <cell r="EF353" t="str">
            <v/>
          </cell>
          <cell r="EH353" t="str">
            <v/>
          </cell>
          <cell r="EI353" t="str">
            <v/>
          </cell>
          <cell r="EJ353" t="str">
            <v/>
          </cell>
          <cell r="EL353" t="str">
            <v/>
          </cell>
          <cell r="EM353" t="str">
            <v/>
          </cell>
          <cell r="EN353" t="str">
            <v/>
          </cell>
          <cell r="EO353" t="str">
            <v/>
          </cell>
          <cell r="EP353" t="str">
            <v/>
          </cell>
          <cell r="EQ353" t="str">
            <v/>
          </cell>
          <cell r="ER353" t="str">
            <v/>
          </cell>
          <cell r="ES353" t="str">
            <v/>
          </cell>
          <cell r="ET353" t="str">
            <v/>
          </cell>
        </row>
        <row r="354">
          <cell r="DO354">
            <v>275</v>
          </cell>
          <cell r="DP354" t="str">
            <v/>
          </cell>
          <cell r="DQ354" t="str">
            <v/>
          </cell>
          <cell r="DR354" t="str">
            <v/>
          </cell>
          <cell r="DS354" t="str">
            <v/>
          </cell>
          <cell r="DT354" t="str">
            <v/>
          </cell>
          <cell r="DU354" t="str">
            <v/>
          </cell>
          <cell r="DV354" t="str">
            <v/>
          </cell>
          <cell r="DW354" t="str">
            <v/>
          </cell>
          <cell r="DX354" t="str">
            <v/>
          </cell>
          <cell r="DY354" t="str">
            <v/>
          </cell>
          <cell r="DZ354" t="str">
            <v/>
          </cell>
          <cell r="EA354" t="str">
            <v/>
          </cell>
          <cell r="EB354" t="str">
            <v/>
          </cell>
          <cell r="EC354" t="str">
            <v/>
          </cell>
          <cell r="ED354" t="str">
            <v/>
          </cell>
          <cell r="EE354" t="str">
            <v/>
          </cell>
          <cell r="EF354" t="str">
            <v/>
          </cell>
          <cell r="EH354" t="str">
            <v/>
          </cell>
          <cell r="EI354" t="str">
            <v/>
          </cell>
          <cell r="EJ354" t="str">
            <v/>
          </cell>
          <cell r="EL354" t="str">
            <v/>
          </cell>
          <cell r="EM354" t="str">
            <v/>
          </cell>
          <cell r="EN354" t="str">
            <v/>
          </cell>
          <cell r="EO354" t="str">
            <v/>
          </cell>
          <cell r="EP354" t="str">
            <v/>
          </cell>
          <cell r="EQ354" t="str">
            <v/>
          </cell>
          <cell r="ER354" t="str">
            <v/>
          </cell>
          <cell r="ES354" t="str">
            <v/>
          </cell>
          <cell r="ET354" t="str">
            <v/>
          </cell>
        </row>
        <row r="355">
          <cell r="DO355">
            <v>276</v>
          </cell>
          <cell r="DP355" t="str">
            <v/>
          </cell>
          <cell r="DQ355" t="str">
            <v/>
          </cell>
          <cell r="DR355" t="str">
            <v/>
          </cell>
          <cell r="DS355" t="str">
            <v/>
          </cell>
          <cell r="DT355" t="str">
            <v/>
          </cell>
          <cell r="DU355" t="str">
            <v/>
          </cell>
          <cell r="DV355" t="str">
            <v/>
          </cell>
          <cell r="DW355" t="str">
            <v/>
          </cell>
          <cell r="DX355" t="str">
            <v/>
          </cell>
          <cell r="DY355" t="str">
            <v/>
          </cell>
          <cell r="DZ355" t="str">
            <v/>
          </cell>
          <cell r="EA355" t="str">
            <v/>
          </cell>
          <cell r="EB355" t="str">
            <v/>
          </cell>
          <cell r="EC355" t="str">
            <v/>
          </cell>
          <cell r="ED355" t="str">
            <v/>
          </cell>
          <cell r="EE355" t="str">
            <v/>
          </cell>
          <cell r="EF355" t="str">
            <v/>
          </cell>
          <cell r="EH355" t="str">
            <v/>
          </cell>
          <cell r="EI355" t="str">
            <v/>
          </cell>
          <cell r="EJ355" t="str">
            <v/>
          </cell>
          <cell r="EL355" t="str">
            <v/>
          </cell>
          <cell r="EM355" t="str">
            <v/>
          </cell>
          <cell r="EN355" t="str">
            <v/>
          </cell>
          <cell r="EO355" t="str">
            <v/>
          </cell>
          <cell r="EP355" t="str">
            <v/>
          </cell>
          <cell r="EQ355" t="str">
            <v/>
          </cell>
          <cell r="ER355" t="str">
            <v/>
          </cell>
          <cell r="ES355" t="str">
            <v/>
          </cell>
          <cell r="ET355" t="str">
            <v/>
          </cell>
        </row>
        <row r="356">
          <cell r="DO356">
            <v>277</v>
          </cell>
          <cell r="DP356" t="str">
            <v/>
          </cell>
          <cell r="DQ356" t="str">
            <v/>
          </cell>
          <cell r="DR356" t="str">
            <v/>
          </cell>
          <cell r="DS356" t="str">
            <v/>
          </cell>
          <cell r="DT356" t="str">
            <v/>
          </cell>
          <cell r="DU356" t="str">
            <v/>
          </cell>
          <cell r="DV356" t="str">
            <v/>
          </cell>
          <cell r="DW356" t="str">
            <v/>
          </cell>
          <cell r="DX356" t="str">
            <v/>
          </cell>
          <cell r="DY356" t="str">
            <v/>
          </cell>
          <cell r="DZ356" t="str">
            <v/>
          </cell>
          <cell r="EA356" t="str">
            <v/>
          </cell>
          <cell r="EB356" t="str">
            <v/>
          </cell>
          <cell r="EC356" t="str">
            <v/>
          </cell>
          <cell r="ED356" t="str">
            <v/>
          </cell>
          <cell r="EE356" t="str">
            <v/>
          </cell>
          <cell r="EF356" t="str">
            <v/>
          </cell>
          <cell r="EH356" t="str">
            <v/>
          </cell>
          <cell r="EI356" t="str">
            <v/>
          </cell>
          <cell r="EJ356" t="str">
            <v/>
          </cell>
          <cell r="EL356" t="str">
            <v/>
          </cell>
          <cell r="EM356" t="str">
            <v/>
          </cell>
          <cell r="EN356" t="str">
            <v/>
          </cell>
          <cell r="EO356" t="str">
            <v/>
          </cell>
          <cell r="EP356" t="str">
            <v/>
          </cell>
          <cell r="EQ356" t="str">
            <v/>
          </cell>
          <cell r="ER356" t="str">
            <v/>
          </cell>
          <cell r="ES356" t="str">
            <v/>
          </cell>
          <cell r="ET356" t="str">
            <v/>
          </cell>
        </row>
        <row r="357">
          <cell r="DO357">
            <v>278</v>
          </cell>
          <cell r="DP357" t="str">
            <v/>
          </cell>
          <cell r="DQ357" t="str">
            <v/>
          </cell>
          <cell r="DR357" t="str">
            <v/>
          </cell>
          <cell r="DS357" t="str">
            <v/>
          </cell>
          <cell r="DT357" t="str">
            <v/>
          </cell>
          <cell r="DU357" t="str">
            <v/>
          </cell>
          <cell r="DV357" t="str">
            <v/>
          </cell>
          <cell r="DW357" t="str">
            <v/>
          </cell>
          <cell r="DX357" t="str">
            <v/>
          </cell>
          <cell r="DY357" t="str">
            <v/>
          </cell>
          <cell r="DZ357" t="str">
            <v/>
          </cell>
          <cell r="EA357" t="str">
            <v/>
          </cell>
          <cell r="EB357" t="str">
            <v/>
          </cell>
          <cell r="EC357" t="str">
            <v/>
          </cell>
          <cell r="ED357" t="str">
            <v/>
          </cell>
          <cell r="EE357" t="str">
            <v/>
          </cell>
          <cell r="EF357" t="str">
            <v/>
          </cell>
          <cell r="EH357" t="str">
            <v/>
          </cell>
          <cell r="EI357" t="str">
            <v/>
          </cell>
          <cell r="EJ357" t="str">
            <v/>
          </cell>
          <cell r="EL357" t="str">
            <v/>
          </cell>
          <cell r="EM357" t="str">
            <v/>
          </cell>
          <cell r="EN357" t="str">
            <v/>
          </cell>
          <cell r="EO357" t="str">
            <v/>
          </cell>
          <cell r="EP357" t="str">
            <v/>
          </cell>
          <cell r="EQ357" t="str">
            <v/>
          </cell>
          <cell r="ER357" t="str">
            <v/>
          </cell>
          <cell r="ES357" t="str">
            <v/>
          </cell>
          <cell r="ET357" t="str">
            <v/>
          </cell>
        </row>
        <row r="358">
          <cell r="DO358">
            <v>279</v>
          </cell>
          <cell r="DP358" t="str">
            <v/>
          </cell>
          <cell r="DQ358" t="str">
            <v/>
          </cell>
          <cell r="DR358" t="str">
            <v/>
          </cell>
          <cell r="DS358" t="str">
            <v/>
          </cell>
          <cell r="DT358" t="str">
            <v/>
          </cell>
          <cell r="DU358" t="str">
            <v/>
          </cell>
          <cell r="DV358" t="str">
            <v/>
          </cell>
          <cell r="DW358" t="str">
            <v/>
          </cell>
          <cell r="DX358" t="str">
            <v/>
          </cell>
          <cell r="DY358" t="str">
            <v/>
          </cell>
          <cell r="DZ358" t="str">
            <v/>
          </cell>
          <cell r="EA358" t="str">
            <v/>
          </cell>
          <cell r="EB358" t="str">
            <v/>
          </cell>
          <cell r="EC358" t="str">
            <v/>
          </cell>
          <cell r="ED358" t="str">
            <v/>
          </cell>
          <cell r="EE358" t="str">
            <v/>
          </cell>
          <cell r="EF358" t="str">
            <v/>
          </cell>
          <cell r="EH358" t="str">
            <v/>
          </cell>
          <cell r="EI358" t="str">
            <v/>
          </cell>
          <cell r="EJ358" t="str">
            <v/>
          </cell>
          <cell r="EL358" t="str">
            <v/>
          </cell>
          <cell r="EM358" t="str">
            <v/>
          </cell>
          <cell r="EN358" t="str">
            <v/>
          </cell>
          <cell r="EO358" t="str">
            <v/>
          </cell>
          <cell r="EP358" t="str">
            <v/>
          </cell>
          <cell r="EQ358" t="str">
            <v/>
          </cell>
          <cell r="ER358" t="str">
            <v/>
          </cell>
          <cell r="ES358" t="str">
            <v/>
          </cell>
          <cell r="ET358" t="str">
            <v/>
          </cell>
        </row>
        <row r="359">
          <cell r="DO359">
            <v>280</v>
          </cell>
          <cell r="DP359" t="str">
            <v/>
          </cell>
          <cell r="DQ359" t="str">
            <v/>
          </cell>
          <cell r="DR359" t="str">
            <v/>
          </cell>
          <cell r="DS359" t="str">
            <v/>
          </cell>
          <cell r="DT359" t="str">
            <v/>
          </cell>
          <cell r="DU359" t="str">
            <v/>
          </cell>
          <cell r="DV359" t="str">
            <v/>
          </cell>
          <cell r="DW359" t="str">
            <v/>
          </cell>
          <cell r="DX359" t="str">
            <v/>
          </cell>
          <cell r="DY359" t="str">
            <v/>
          </cell>
          <cell r="DZ359" t="str">
            <v/>
          </cell>
          <cell r="EA359" t="str">
            <v/>
          </cell>
          <cell r="EB359" t="str">
            <v/>
          </cell>
          <cell r="EC359" t="str">
            <v/>
          </cell>
          <cell r="ED359" t="str">
            <v/>
          </cell>
          <cell r="EE359" t="str">
            <v/>
          </cell>
          <cell r="EF359" t="str">
            <v/>
          </cell>
          <cell r="EH359" t="str">
            <v/>
          </cell>
          <cell r="EI359" t="str">
            <v/>
          </cell>
          <cell r="EJ359" t="str">
            <v/>
          </cell>
          <cell r="EL359" t="str">
            <v/>
          </cell>
          <cell r="EM359" t="str">
            <v/>
          </cell>
          <cell r="EN359" t="str">
            <v/>
          </cell>
          <cell r="EO359" t="str">
            <v/>
          </cell>
          <cell r="EP359" t="str">
            <v/>
          </cell>
          <cell r="EQ359" t="str">
            <v/>
          </cell>
          <cell r="ER359" t="str">
            <v/>
          </cell>
          <cell r="ES359" t="str">
            <v/>
          </cell>
          <cell r="ET359" t="str">
            <v/>
          </cell>
        </row>
        <row r="360">
          <cell r="DO360">
            <v>281</v>
          </cell>
          <cell r="DP360" t="str">
            <v/>
          </cell>
          <cell r="DQ360" t="str">
            <v/>
          </cell>
          <cell r="DR360" t="str">
            <v/>
          </cell>
          <cell r="DS360" t="str">
            <v/>
          </cell>
          <cell r="DT360" t="str">
            <v/>
          </cell>
          <cell r="DU360" t="str">
            <v/>
          </cell>
          <cell r="DV360" t="str">
            <v/>
          </cell>
          <cell r="DW360" t="str">
            <v/>
          </cell>
          <cell r="DX360" t="str">
            <v/>
          </cell>
          <cell r="DY360" t="str">
            <v/>
          </cell>
          <cell r="DZ360" t="str">
            <v/>
          </cell>
          <cell r="EA360" t="str">
            <v/>
          </cell>
          <cell r="EB360" t="str">
            <v/>
          </cell>
          <cell r="EC360" t="str">
            <v/>
          </cell>
          <cell r="ED360" t="str">
            <v/>
          </cell>
          <cell r="EE360" t="str">
            <v/>
          </cell>
          <cell r="EF360" t="str">
            <v/>
          </cell>
          <cell r="EH360" t="str">
            <v/>
          </cell>
          <cell r="EI360" t="str">
            <v/>
          </cell>
          <cell r="EJ360" t="str">
            <v/>
          </cell>
          <cell r="EL360" t="str">
            <v/>
          </cell>
          <cell r="EM360" t="str">
            <v/>
          </cell>
          <cell r="EN360" t="str">
            <v/>
          </cell>
          <cell r="EO360" t="str">
            <v/>
          </cell>
          <cell r="EP360" t="str">
            <v/>
          </cell>
          <cell r="EQ360" t="str">
            <v/>
          </cell>
          <cell r="ER360" t="str">
            <v/>
          </cell>
          <cell r="ES360" t="str">
            <v/>
          </cell>
          <cell r="ET360" t="str">
            <v/>
          </cell>
        </row>
        <row r="361">
          <cell r="DO361">
            <v>282</v>
          </cell>
          <cell r="DP361" t="str">
            <v/>
          </cell>
          <cell r="DQ361" t="str">
            <v/>
          </cell>
          <cell r="DR361" t="str">
            <v/>
          </cell>
          <cell r="DS361" t="str">
            <v/>
          </cell>
          <cell r="DT361" t="str">
            <v/>
          </cell>
          <cell r="DU361" t="str">
            <v/>
          </cell>
          <cell r="DV361" t="str">
            <v/>
          </cell>
          <cell r="DW361" t="str">
            <v/>
          </cell>
          <cell r="DX361" t="str">
            <v/>
          </cell>
          <cell r="DY361" t="str">
            <v/>
          </cell>
          <cell r="DZ361" t="str">
            <v/>
          </cell>
          <cell r="EA361" t="str">
            <v/>
          </cell>
          <cell r="EB361" t="str">
            <v/>
          </cell>
          <cell r="EC361" t="str">
            <v/>
          </cell>
          <cell r="ED361" t="str">
            <v/>
          </cell>
          <cell r="EE361" t="str">
            <v/>
          </cell>
          <cell r="EF361" t="str">
            <v/>
          </cell>
          <cell r="EH361" t="str">
            <v/>
          </cell>
          <cell r="EI361" t="str">
            <v/>
          </cell>
          <cell r="EJ361" t="str">
            <v/>
          </cell>
          <cell r="EL361" t="str">
            <v/>
          </cell>
          <cell r="EM361" t="str">
            <v/>
          </cell>
          <cell r="EN361" t="str">
            <v/>
          </cell>
          <cell r="EO361" t="str">
            <v/>
          </cell>
          <cell r="EP361" t="str">
            <v/>
          </cell>
          <cell r="EQ361" t="str">
            <v/>
          </cell>
          <cell r="ER361" t="str">
            <v/>
          </cell>
          <cell r="ES361" t="str">
            <v/>
          </cell>
          <cell r="ET361" t="str">
            <v/>
          </cell>
        </row>
        <row r="362">
          <cell r="DO362">
            <v>283</v>
          </cell>
          <cell r="DP362" t="str">
            <v/>
          </cell>
          <cell r="DQ362" t="str">
            <v/>
          </cell>
          <cell r="DR362" t="str">
            <v/>
          </cell>
          <cell r="DS362" t="str">
            <v/>
          </cell>
          <cell r="DT362" t="str">
            <v/>
          </cell>
          <cell r="DU362" t="str">
            <v/>
          </cell>
          <cell r="DV362" t="str">
            <v/>
          </cell>
          <cell r="DW362" t="str">
            <v/>
          </cell>
          <cell r="DX362" t="str">
            <v/>
          </cell>
          <cell r="DY362" t="str">
            <v/>
          </cell>
          <cell r="DZ362" t="str">
            <v/>
          </cell>
          <cell r="EA362" t="str">
            <v/>
          </cell>
          <cell r="EB362" t="str">
            <v/>
          </cell>
          <cell r="EC362" t="str">
            <v/>
          </cell>
          <cell r="ED362" t="str">
            <v/>
          </cell>
          <cell r="EE362" t="str">
            <v/>
          </cell>
          <cell r="EF362" t="str">
            <v/>
          </cell>
          <cell r="EH362" t="str">
            <v/>
          </cell>
          <cell r="EI362" t="str">
            <v/>
          </cell>
          <cell r="EJ362" t="str">
            <v/>
          </cell>
          <cell r="EL362" t="str">
            <v/>
          </cell>
          <cell r="EM362" t="str">
            <v/>
          </cell>
          <cell r="EN362" t="str">
            <v/>
          </cell>
          <cell r="EO362" t="str">
            <v/>
          </cell>
          <cell r="EP362" t="str">
            <v/>
          </cell>
          <cell r="EQ362" t="str">
            <v/>
          </cell>
          <cell r="ER362" t="str">
            <v/>
          </cell>
          <cell r="ES362" t="str">
            <v/>
          </cell>
          <cell r="ET362" t="str">
            <v/>
          </cell>
        </row>
        <row r="363">
          <cell r="DO363">
            <v>284</v>
          </cell>
          <cell r="DP363" t="str">
            <v/>
          </cell>
          <cell r="DQ363" t="str">
            <v/>
          </cell>
          <cell r="DR363" t="str">
            <v/>
          </cell>
          <cell r="DS363" t="str">
            <v/>
          </cell>
          <cell r="DT363" t="str">
            <v/>
          </cell>
          <cell r="DU363" t="str">
            <v/>
          </cell>
          <cell r="DV363" t="str">
            <v/>
          </cell>
          <cell r="DW363" t="str">
            <v/>
          </cell>
          <cell r="DX363" t="str">
            <v/>
          </cell>
          <cell r="DY363" t="str">
            <v/>
          </cell>
          <cell r="DZ363" t="str">
            <v/>
          </cell>
          <cell r="EA363" t="str">
            <v/>
          </cell>
          <cell r="EB363" t="str">
            <v/>
          </cell>
          <cell r="EC363" t="str">
            <v/>
          </cell>
          <cell r="ED363" t="str">
            <v/>
          </cell>
          <cell r="EE363" t="str">
            <v/>
          </cell>
          <cell r="EF363" t="str">
            <v/>
          </cell>
          <cell r="EH363" t="str">
            <v/>
          </cell>
          <cell r="EI363" t="str">
            <v/>
          </cell>
          <cell r="EJ363" t="str">
            <v/>
          </cell>
          <cell r="EL363" t="str">
            <v/>
          </cell>
          <cell r="EM363" t="str">
            <v/>
          </cell>
          <cell r="EN363" t="str">
            <v/>
          </cell>
          <cell r="EO363" t="str">
            <v/>
          </cell>
          <cell r="EP363" t="str">
            <v/>
          </cell>
          <cell r="EQ363" t="str">
            <v/>
          </cell>
          <cell r="ER363" t="str">
            <v/>
          </cell>
          <cell r="ES363" t="str">
            <v/>
          </cell>
          <cell r="ET363" t="str">
            <v/>
          </cell>
        </row>
        <row r="364">
          <cell r="DO364">
            <v>285</v>
          </cell>
          <cell r="DP364" t="str">
            <v/>
          </cell>
          <cell r="DQ364" t="str">
            <v/>
          </cell>
          <cell r="DR364" t="str">
            <v/>
          </cell>
          <cell r="DS364" t="str">
            <v/>
          </cell>
          <cell r="DT364" t="str">
            <v/>
          </cell>
          <cell r="DU364" t="str">
            <v/>
          </cell>
          <cell r="DV364" t="str">
            <v/>
          </cell>
          <cell r="DW364" t="str">
            <v/>
          </cell>
          <cell r="DX364" t="str">
            <v/>
          </cell>
          <cell r="DY364" t="str">
            <v/>
          </cell>
          <cell r="DZ364" t="str">
            <v/>
          </cell>
          <cell r="EA364" t="str">
            <v/>
          </cell>
          <cell r="EB364" t="str">
            <v/>
          </cell>
          <cell r="EC364" t="str">
            <v/>
          </cell>
          <cell r="ED364" t="str">
            <v/>
          </cell>
          <cell r="EE364" t="str">
            <v/>
          </cell>
          <cell r="EF364" t="str">
            <v/>
          </cell>
          <cell r="EH364" t="str">
            <v/>
          </cell>
          <cell r="EI364" t="str">
            <v/>
          </cell>
          <cell r="EJ364" t="str">
            <v/>
          </cell>
          <cell r="EL364" t="str">
            <v/>
          </cell>
          <cell r="EM364" t="str">
            <v/>
          </cell>
          <cell r="EN364" t="str">
            <v/>
          </cell>
          <cell r="EO364" t="str">
            <v/>
          </cell>
          <cell r="EP364" t="str">
            <v/>
          </cell>
          <cell r="EQ364" t="str">
            <v/>
          </cell>
          <cell r="ER364" t="str">
            <v/>
          </cell>
          <cell r="ES364" t="str">
            <v/>
          </cell>
          <cell r="ET364" t="str">
            <v/>
          </cell>
        </row>
        <row r="365">
          <cell r="DO365">
            <v>286</v>
          </cell>
          <cell r="DP365" t="str">
            <v/>
          </cell>
          <cell r="DQ365" t="str">
            <v/>
          </cell>
          <cell r="DR365" t="str">
            <v/>
          </cell>
          <cell r="DS365" t="str">
            <v/>
          </cell>
          <cell r="DT365" t="str">
            <v/>
          </cell>
          <cell r="DU365" t="str">
            <v/>
          </cell>
          <cell r="DV365" t="str">
            <v/>
          </cell>
          <cell r="DW365" t="str">
            <v/>
          </cell>
          <cell r="DX365" t="str">
            <v/>
          </cell>
          <cell r="DY365" t="str">
            <v/>
          </cell>
          <cell r="DZ365" t="str">
            <v/>
          </cell>
          <cell r="EA365" t="str">
            <v/>
          </cell>
          <cell r="EB365" t="str">
            <v/>
          </cell>
          <cell r="EC365" t="str">
            <v/>
          </cell>
          <cell r="ED365" t="str">
            <v/>
          </cell>
          <cell r="EE365" t="str">
            <v/>
          </cell>
          <cell r="EF365" t="str">
            <v/>
          </cell>
          <cell r="EH365" t="str">
            <v/>
          </cell>
          <cell r="EI365" t="str">
            <v/>
          </cell>
          <cell r="EJ365" t="str">
            <v/>
          </cell>
          <cell r="EL365" t="str">
            <v/>
          </cell>
          <cell r="EM365" t="str">
            <v/>
          </cell>
          <cell r="EN365" t="str">
            <v/>
          </cell>
          <cell r="EO365" t="str">
            <v/>
          </cell>
          <cell r="EP365" t="str">
            <v/>
          </cell>
          <cell r="EQ365" t="str">
            <v/>
          </cell>
          <cell r="ER365" t="str">
            <v/>
          </cell>
          <cell r="ES365" t="str">
            <v/>
          </cell>
          <cell r="ET365" t="str">
            <v/>
          </cell>
        </row>
        <row r="366">
          <cell r="DO366">
            <v>287</v>
          </cell>
          <cell r="DP366" t="str">
            <v/>
          </cell>
          <cell r="DQ366" t="str">
            <v/>
          </cell>
          <cell r="DR366" t="str">
            <v/>
          </cell>
          <cell r="DS366" t="str">
            <v/>
          </cell>
          <cell r="DT366" t="str">
            <v/>
          </cell>
          <cell r="DU366" t="str">
            <v/>
          </cell>
          <cell r="DV366" t="str">
            <v/>
          </cell>
          <cell r="DW366" t="str">
            <v/>
          </cell>
          <cell r="DX366" t="str">
            <v/>
          </cell>
          <cell r="DY366" t="str">
            <v/>
          </cell>
          <cell r="DZ366" t="str">
            <v/>
          </cell>
          <cell r="EA366" t="str">
            <v/>
          </cell>
          <cell r="EB366" t="str">
            <v/>
          </cell>
          <cell r="EC366" t="str">
            <v/>
          </cell>
          <cell r="ED366" t="str">
            <v/>
          </cell>
          <cell r="EE366" t="str">
            <v/>
          </cell>
          <cell r="EF366" t="str">
            <v/>
          </cell>
          <cell r="EH366" t="str">
            <v/>
          </cell>
          <cell r="EI366" t="str">
            <v/>
          </cell>
          <cell r="EJ366" t="str">
            <v/>
          </cell>
          <cell r="EL366" t="str">
            <v/>
          </cell>
          <cell r="EM366" t="str">
            <v/>
          </cell>
          <cell r="EN366" t="str">
            <v/>
          </cell>
          <cell r="EO366" t="str">
            <v/>
          </cell>
          <cell r="EP366" t="str">
            <v/>
          </cell>
          <cell r="EQ366" t="str">
            <v/>
          </cell>
          <cell r="ER366" t="str">
            <v/>
          </cell>
          <cell r="ES366" t="str">
            <v/>
          </cell>
          <cell r="ET366" t="str">
            <v/>
          </cell>
        </row>
        <row r="367">
          <cell r="DO367">
            <v>288</v>
          </cell>
          <cell r="DP367" t="str">
            <v/>
          </cell>
          <cell r="DQ367" t="str">
            <v/>
          </cell>
          <cell r="DR367" t="str">
            <v/>
          </cell>
          <cell r="DS367" t="str">
            <v/>
          </cell>
          <cell r="DT367" t="str">
            <v/>
          </cell>
          <cell r="DU367" t="str">
            <v/>
          </cell>
          <cell r="DV367" t="str">
            <v/>
          </cell>
          <cell r="DW367" t="str">
            <v/>
          </cell>
          <cell r="DX367" t="str">
            <v/>
          </cell>
          <cell r="DY367" t="str">
            <v/>
          </cell>
          <cell r="DZ367" t="str">
            <v/>
          </cell>
          <cell r="EA367" t="str">
            <v/>
          </cell>
          <cell r="EB367" t="str">
            <v/>
          </cell>
          <cell r="EC367" t="str">
            <v/>
          </cell>
          <cell r="ED367" t="str">
            <v/>
          </cell>
          <cell r="EE367" t="str">
            <v/>
          </cell>
          <cell r="EF367" t="str">
            <v/>
          </cell>
          <cell r="EH367" t="str">
            <v/>
          </cell>
          <cell r="EI367" t="str">
            <v/>
          </cell>
          <cell r="EJ367" t="str">
            <v/>
          </cell>
          <cell r="EL367" t="str">
            <v/>
          </cell>
          <cell r="EM367" t="str">
            <v/>
          </cell>
          <cell r="EN367" t="str">
            <v/>
          </cell>
          <cell r="EO367" t="str">
            <v/>
          </cell>
          <cell r="EP367" t="str">
            <v/>
          </cell>
          <cell r="EQ367" t="str">
            <v/>
          </cell>
          <cell r="ER367" t="str">
            <v/>
          </cell>
          <cell r="ES367" t="str">
            <v/>
          </cell>
          <cell r="ET367" t="str">
            <v/>
          </cell>
        </row>
        <row r="368">
          <cell r="DO368">
            <v>289</v>
          </cell>
          <cell r="DP368" t="str">
            <v/>
          </cell>
          <cell r="DQ368" t="str">
            <v/>
          </cell>
          <cell r="DR368" t="str">
            <v/>
          </cell>
          <cell r="DS368" t="str">
            <v/>
          </cell>
          <cell r="DT368" t="str">
            <v/>
          </cell>
          <cell r="DU368" t="str">
            <v/>
          </cell>
          <cell r="DV368" t="str">
            <v/>
          </cell>
          <cell r="DW368" t="str">
            <v/>
          </cell>
          <cell r="DX368" t="str">
            <v/>
          </cell>
          <cell r="DY368" t="str">
            <v/>
          </cell>
          <cell r="DZ368" t="str">
            <v/>
          </cell>
          <cell r="EA368" t="str">
            <v/>
          </cell>
          <cell r="EB368" t="str">
            <v/>
          </cell>
          <cell r="EC368" t="str">
            <v/>
          </cell>
          <cell r="ED368" t="str">
            <v/>
          </cell>
          <cell r="EE368" t="str">
            <v/>
          </cell>
          <cell r="EF368" t="str">
            <v/>
          </cell>
          <cell r="EH368" t="str">
            <v/>
          </cell>
          <cell r="EI368" t="str">
            <v/>
          </cell>
          <cell r="EJ368" t="str">
            <v/>
          </cell>
          <cell r="EL368" t="str">
            <v/>
          </cell>
          <cell r="EM368" t="str">
            <v/>
          </cell>
          <cell r="EN368" t="str">
            <v/>
          </cell>
          <cell r="EO368" t="str">
            <v/>
          </cell>
          <cell r="EP368" t="str">
            <v/>
          </cell>
          <cell r="EQ368" t="str">
            <v/>
          </cell>
          <cell r="ER368" t="str">
            <v/>
          </cell>
          <cell r="ES368" t="str">
            <v/>
          </cell>
          <cell r="ET368" t="str">
            <v/>
          </cell>
        </row>
        <row r="369">
          <cell r="DO369">
            <v>290</v>
          </cell>
          <cell r="DP369" t="str">
            <v/>
          </cell>
          <cell r="DQ369" t="str">
            <v/>
          </cell>
          <cell r="DR369" t="str">
            <v/>
          </cell>
          <cell r="DS369" t="str">
            <v/>
          </cell>
          <cell r="DT369" t="str">
            <v/>
          </cell>
          <cell r="DU369" t="str">
            <v/>
          </cell>
          <cell r="DV369" t="str">
            <v/>
          </cell>
          <cell r="DW369" t="str">
            <v/>
          </cell>
          <cell r="DX369" t="str">
            <v/>
          </cell>
          <cell r="DY369" t="str">
            <v/>
          </cell>
          <cell r="DZ369" t="str">
            <v/>
          </cell>
          <cell r="EA369" t="str">
            <v/>
          </cell>
          <cell r="EB369" t="str">
            <v/>
          </cell>
          <cell r="EC369" t="str">
            <v/>
          </cell>
          <cell r="ED369" t="str">
            <v/>
          </cell>
          <cell r="EE369" t="str">
            <v/>
          </cell>
          <cell r="EF369" t="str">
            <v/>
          </cell>
          <cell r="EH369" t="str">
            <v/>
          </cell>
          <cell r="EI369" t="str">
            <v/>
          </cell>
          <cell r="EJ369" t="str">
            <v/>
          </cell>
          <cell r="EL369" t="str">
            <v/>
          </cell>
          <cell r="EM369" t="str">
            <v/>
          </cell>
          <cell r="EN369" t="str">
            <v/>
          </cell>
          <cell r="EO369" t="str">
            <v/>
          </cell>
          <cell r="EP369" t="str">
            <v/>
          </cell>
          <cell r="EQ369" t="str">
            <v/>
          </cell>
          <cell r="ER369" t="str">
            <v/>
          </cell>
          <cell r="ES369" t="str">
            <v/>
          </cell>
          <cell r="ET369" t="str">
            <v/>
          </cell>
        </row>
        <row r="370">
          <cell r="DO370">
            <v>291</v>
          </cell>
          <cell r="DP370" t="str">
            <v/>
          </cell>
          <cell r="DQ370" t="str">
            <v/>
          </cell>
          <cell r="DR370" t="str">
            <v/>
          </cell>
          <cell r="DS370" t="str">
            <v/>
          </cell>
          <cell r="DT370" t="str">
            <v/>
          </cell>
          <cell r="DU370" t="str">
            <v/>
          </cell>
          <cell r="DV370" t="str">
            <v/>
          </cell>
          <cell r="DW370" t="str">
            <v/>
          </cell>
          <cell r="DX370" t="str">
            <v/>
          </cell>
          <cell r="DY370" t="str">
            <v/>
          </cell>
          <cell r="DZ370" t="str">
            <v/>
          </cell>
          <cell r="EA370" t="str">
            <v/>
          </cell>
          <cell r="EB370" t="str">
            <v/>
          </cell>
          <cell r="EC370" t="str">
            <v/>
          </cell>
          <cell r="ED370" t="str">
            <v/>
          </cell>
          <cell r="EE370" t="str">
            <v/>
          </cell>
          <cell r="EF370" t="str">
            <v/>
          </cell>
          <cell r="EH370" t="str">
            <v/>
          </cell>
          <cell r="EI370" t="str">
            <v/>
          </cell>
          <cell r="EJ370" t="str">
            <v/>
          </cell>
          <cell r="EL370" t="str">
            <v/>
          </cell>
          <cell r="EM370" t="str">
            <v/>
          </cell>
          <cell r="EN370" t="str">
            <v/>
          </cell>
          <cell r="EO370" t="str">
            <v/>
          </cell>
          <cell r="EP370" t="str">
            <v/>
          </cell>
          <cell r="EQ370" t="str">
            <v/>
          </cell>
          <cell r="ER370" t="str">
            <v/>
          </cell>
          <cell r="ES370" t="str">
            <v/>
          </cell>
          <cell r="ET370" t="str">
            <v/>
          </cell>
        </row>
        <row r="371">
          <cell r="DO371">
            <v>292</v>
          </cell>
          <cell r="DP371" t="str">
            <v/>
          </cell>
          <cell r="DQ371" t="str">
            <v/>
          </cell>
          <cell r="DR371" t="str">
            <v/>
          </cell>
          <cell r="DS371" t="str">
            <v/>
          </cell>
          <cell r="DT371" t="str">
            <v/>
          </cell>
          <cell r="DU371" t="str">
            <v/>
          </cell>
          <cell r="DV371" t="str">
            <v/>
          </cell>
          <cell r="DW371" t="str">
            <v/>
          </cell>
          <cell r="DX371" t="str">
            <v/>
          </cell>
          <cell r="DY371" t="str">
            <v/>
          </cell>
          <cell r="DZ371" t="str">
            <v/>
          </cell>
          <cell r="EA371" t="str">
            <v/>
          </cell>
          <cell r="EB371" t="str">
            <v/>
          </cell>
          <cell r="EC371" t="str">
            <v/>
          </cell>
          <cell r="ED371" t="str">
            <v/>
          </cell>
          <cell r="EE371" t="str">
            <v/>
          </cell>
          <cell r="EF371" t="str">
            <v/>
          </cell>
          <cell r="EH371" t="str">
            <v/>
          </cell>
          <cell r="EI371" t="str">
            <v/>
          </cell>
          <cell r="EJ371" t="str">
            <v/>
          </cell>
          <cell r="EL371" t="str">
            <v/>
          </cell>
          <cell r="EM371" t="str">
            <v/>
          </cell>
          <cell r="EN371" t="str">
            <v/>
          </cell>
          <cell r="EO371" t="str">
            <v/>
          </cell>
          <cell r="EP371" t="str">
            <v/>
          </cell>
          <cell r="EQ371" t="str">
            <v/>
          </cell>
          <cell r="ER371" t="str">
            <v/>
          </cell>
          <cell r="ES371" t="str">
            <v/>
          </cell>
          <cell r="ET371" t="str">
            <v/>
          </cell>
        </row>
        <row r="372">
          <cell r="DO372">
            <v>293</v>
          </cell>
          <cell r="DP372" t="str">
            <v/>
          </cell>
          <cell r="DQ372" t="str">
            <v/>
          </cell>
          <cell r="DR372" t="str">
            <v/>
          </cell>
          <cell r="DS372" t="str">
            <v/>
          </cell>
          <cell r="DT372" t="str">
            <v/>
          </cell>
          <cell r="DU372" t="str">
            <v/>
          </cell>
          <cell r="DV372" t="str">
            <v/>
          </cell>
          <cell r="DW372" t="str">
            <v/>
          </cell>
          <cell r="DX372" t="str">
            <v/>
          </cell>
          <cell r="DY372" t="str">
            <v/>
          </cell>
          <cell r="DZ372" t="str">
            <v/>
          </cell>
          <cell r="EA372" t="str">
            <v/>
          </cell>
          <cell r="EB372" t="str">
            <v/>
          </cell>
          <cell r="EC372" t="str">
            <v/>
          </cell>
          <cell r="ED372" t="str">
            <v/>
          </cell>
          <cell r="EE372" t="str">
            <v/>
          </cell>
          <cell r="EF372" t="str">
            <v/>
          </cell>
          <cell r="EH372" t="str">
            <v/>
          </cell>
          <cell r="EI372" t="str">
            <v/>
          </cell>
          <cell r="EJ372" t="str">
            <v/>
          </cell>
          <cell r="EL372" t="str">
            <v/>
          </cell>
          <cell r="EM372" t="str">
            <v/>
          </cell>
          <cell r="EN372" t="str">
            <v/>
          </cell>
          <cell r="EO372" t="str">
            <v/>
          </cell>
          <cell r="EP372" t="str">
            <v/>
          </cell>
          <cell r="EQ372" t="str">
            <v/>
          </cell>
          <cell r="ER372" t="str">
            <v/>
          </cell>
          <cell r="ES372" t="str">
            <v/>
          </cell>
          <cell r="ET372" t="str">
            <v/>
          </cell>
        </row>
        <row r="373">
          <cell r="DO373">
            <v>294</v>
          </cell>
          <cell r="DP373" t="str">
            <v/>
          </cell>
          <cell r="DQ373" t="str">
            <v/>
          </cell>
          <cell r="DR373" t="str">
            <v/>
          </cell>
          <cell r="DS373" t="str">
            <v/>
          </cell>
          <cell r="DT373" t="str">
            <v/>
          </cell>
          <cell r="DU373" t="str">
            <v/>
          </cell>
          <cell r="DV373" t="str">
            <v/>
          </cell>
          <cell r="DW373" t="str">
            <v/>
          </cell>
          <cell r="DX373" t="str">
            <v/>
          </cell>
          <cell r="DY373" t="str">
            <v/>
          </cell>
          <cell r="DZ373" t="str">
            <v/>
          </cell>
          <cell r="EA373" t="str">
            <v/>
          </cell>
          <cell r="EB373" t="str">
            <v/>
          </cell>
          <cell r="EC373" t="str">
            <v/>
          </cell>
          <cell r="ED373" t="str">
            <v/>
          </cell>
          <cell r="EE373" t="str">
            <v/>
          </cell>
          <cell r="EF373" t="str">
            <v/>
          </cell>
          <cell r="EH373" t="str">
            <v/>
          </cell>
          <cell r="EI373" t="str">
            <v/>
          </cell>
          <cell r="EJ373" t="str">
            <v/>
          </cell>
          <cell r="EL373" t="str">
            <v/>
          </cell>
          <cell r="EM373" t="str">
            <v/>
          </cell>
          <cell r="EN373" t="str">
            <v/>
          </cell>
          <cell r="EO373" t="str">
            <v/>
          </cell>
          <cell r="EP373" t="str">
            <v/>
          </cell>
          <cell r="EQ373" t="str">
            <v/>
          </cell>
          <cell r="ER373" t="str">
            <v/>
          </cell>
          <cell r="ES373" t="str">
            <v/>
          </cell>
          <cell r="ET373" t="str">
            <v/>
          </cell>
        </row>
        <row r="374">
          <cell r="DO374">
            <v>295</v>
          </cell>
          <cell r="DP374" t="str">
            <v/>
          </cell>
          <cell r="DQ374" t="str">
            <v/>
          </cell>
          <cell r="DR374" t="str">
            <v/>
          </cell>
          <cell r="DS374" t="str">
            <v/>
          </cell>
          <cell r="DT374" t="str">
            <v/>
          </cell>
          <cell r="DU374" t="str">
            <v/>
          </cell>
          <cell r="DV374" t="str">
            <v/>
          </cell>
          <cell r="DW374" t="str">
            <v/>
          </cell>
          <cell r="DX374" t="str">
            <v/>
          </cell>
          <cell r="DY374" t="str">
            <v/>
          </cell>
          <cell r="DZ374" t="str">
            <v/>
          </cell>
          <cell r="EA374" t="str">
            <v/>
          </cell>
          <cell r="EB374" t="str">
            <v/>
          </cell>
          <cell r="EC374" t="str">
            <v/>
          </cell>
          <cell r="ED374" t="str">
            <v/>
          </cell>
          <cell r="EE374" t="str">
            <v/>
          </cell>
          <cell r="EF374" t="str">
            <v/>
          </cell>
          <cell r="EH374" t="str">
            <v/>
          </cell>
          <cell r="EI374" t="str">
            <v/>
          </cell>
          <cell r="EJ374" t="str">
            <v/>
          </cell>
          <cell r="EL374" t="str">
            <v/>
          </cell>
          <cell r="EM374" t="str">
            <v/>
          </cell>
          <cell r="EN374" t="str">
            <v/>
          </cell>
          <cell r="EO374" t="str">
            <v/>
          </cell>
          <cell r="EP374" t="str">
            <v/>
          </cell>
          <cell r="EQ374" t="str">
            <v/>
          </cell>
          <cell r="ER374" t="str">
            <v/>
          </cell>
          <cell r="ES374" t="str">
            <v/>
          </cell>
          <cell r="ET374" t="str">
            <v/>
          </cell>
        </row>
        <row r="375">
          <cell r="DO375">
            <v>296</v>
          </cell>
          <cell r="DP375" t="str">
            <v/>
          </cell>
          <cell r="DQ375" t="str">
            <v/>
          </cell>
          <cell r="DR375" t="str">
            <v/>
          </cell>
          <cell r="DS375" t="str">
            <v/>
          </cell>
          <cell r="DT375" t="str">
            <v/>
          </cell>
          <cell r="DU375" t="str">
            <v/>
          </cell>
          <cell r="DV375" t="str">
            <v/>
          </cell>
          <cell r="DW375" t="str">
            <v/>
          </cell>
          <cell r="DX375" t="str">
            <v/>
          </cell>
          <cell r="DY375" t="str">
            <v/>
          </cell>
          <cell r="DZ375" t="str">
            <v/>
          </cell>
          <cell r="EA375" t="str">
            <v/>
          </cell>
          <cell r="EB375" t="str">
            <v/>
          </cell>
          <cell r="EC375" t="str">
            <v/>
          </cell>
          <cell r="ED375" t="str">
            <v/>
          </cell>
          <cell r="EE375" t="str">
            <v/>
          </cell>
          <cell r="EF375" t="str">
            <v/>
          </cell>
          <cell r="EH375" t="str">
            <v/>
          </cell>
          <cell r="EI375" t="str">
            <v/>
          </cell>
          <cell r="EJ375" t="str">
            <v/>
          </cell>
          <cell r="EL375" t="str">
            <v/>
          </cell>
          <cell r="EM375" t="str">
            <v/>
          </cell>
          <cell r="EN375" t="str">
            <v/>
          </cell>
          <cell r="EO375" t="str">
            <v/>
          </cell>
          <cell r="EP375" t="str">
            <v/>
          </cell>
          <cell r="EQ375" t="str">
            <v/>
          </cell>
          <cell r="ER375" t="str">
            <v/>
          </cell>
          <cell r="ES375" t="str">
            <v/>
          </cell>
          <cell r="ET375" t="str">
            <v/>
          </cell>
        </row>
        <row r="376">
          <cell r="DO376">
            <v>297</v>
          </cell>
          <cell r="DP376" t="str">
            <v/>
          </cell>
          <cell r="DQ376" t="str">
            <v/>
          </cell>
          <cell r="DR376" t="str">
            <v/>
          </cell>
          <cell r="DS376" t="str">
            <v/>
          </cell>
          <cell r="DT376" t="str">
            <v/>
          </cell>
          <cell r="DU376" t="str">
            <v/>
          </cell>
          <cell r="DV376" t="str">
            <v/>
          </cell>
          <cell r="DW376" t="str">
            <v/>
          </cell>
          <cell r="DX376" t="str">
            <v/>
          </cell>
          <cell r="DY376" t="str">
            <v/>
          </cell>
          <cell r="DZ376" t="str">
            <v/>
          </cell>
          <cell r="EA376" t="str">
            <v/>
          </cell>
          <cell r="EB376" t="str">
            <v/>
          </cell>
          <cell r="EC376" t="str">
            <v/>
          </cell>
          <cell r="ED376" t="str">
            <v/>
          </cell>
          <cell r="EE376" t="str">
            <v/>
          </cell>
          <cell r="EF376" t="str">
            <v/>
          </cell>
          <cell r="EH376" t="str">
            <v/>
          </cell>
          <cell r="EI376" t="str">
            <v/>
          </cell>
          <cell r="EJ376" t="str">
            <v/>
          </cell>
          <cell r="EL376" t="str">
            <v/>
          </cell>
          <cell r="EM376" t="str">
            <v/>
          </cell>
          <cell r="EN376" t="str">
            <v/>
          </cell>
          <cell r="EO376" t="str">
            <v/>
          </cell>
          <cell r="EP376" t="str">
            <v/>
          </cell>
          <cell r="EQ376" t="str">
            <v/>
          </cell>
          <cell r="ER376" t="str">
            <v/>
          </cell>
          <cell r="ES376" t="str">
            <v/>
          </cell>
          <cell r="ET376" t="str">
            <v/>
          </cell>
        </row>
        <row r="377">
          <cell r="DO377">
            <v>298</v>
          </cell>
          <cell r="DP377" t="str">
            <v/>
          </cell>
          <cell r="DQ377" t="str">
            <v/>
          </cell>
          <cell r="DR377" t="str">
            <v/>
          </cell>
          <cell r="DS377" t="str">
            <v/>
          </cell>
          <cell r="DT377" t="str">
            <v/>
          </cell>
          <cell r="DU377" t="str">
            <v/>
          </cell>
          <cell r="DV377" t="str">
            <v/>
          </cell>
          <cell r="DW377" t="str">
            <v/>
          </cell>
          <cell r="DX377" t="str">
            <v/>
          </cell>
          <cell r="DY377" t="str">
            <v/>
          </cell>
          <cell r="DZ377" t="str">
            <v/>
          </cell>
          <cell r="EA377" t="str">
            <v/>
          </cell>
          <cell r="EB377" t="str">
            <v/>
          </cell>
          <cell r="EC377" t="str">
            <v/>
          </cell>
          <cell r="ED377" t="str">
            <v/>
          </cell>
          <cell r="EE377" t="str">
            <v/>
          </cell>
          <cell r="EF377" t="str">
            <v/>
          </cell>
          <cell r="EH377" t="str">
            <v/>
          </cell>
          <cell r="EI377" t="str">
            <v/>
          </cell>
          <cell r="EJ377" t="str">
            <v/>
          </cell>
          <cell r="EL377" t="str">
            <v/>
          </cell>
          <cell r="EM377" t="str">
            <v/>
          </cell>
          <cell r="EN377" t="str">
            <v/>
          </cell>
          <cell r="EO377" t="str">
            <v/>
          </cell>
          <cell r="EP377" t="str">
            <v/>
          </cell>
          <cell r="EQ377" t="str">
            <v/>
          </cell>
          <cell r="ER377" t="str">
            <v/>
          </cell>
          <cell r="ES377" t="str">
            <v/>
          </cell>
          <cell r="ET377" t="str">
            <v/>
          </cell>
        </row>
        <row r="378">
          <cell r="DO378">
            <v>299</v>
          </cell>
          <cell r="DP378" t="str">
            <v/>
          </cell>
          <cell r="DQ378" t="str">
            <v/>
          </cell>
          <cell r="DR378" t="str">
            <v/>
          </cell>
          <cell r="DS378" t="str">
            <v/>
          </cell>
          <cell r="DT378" t="str">
            <v/>
          </cell>
          <cell r="DU378" t="str">
            <v/>
          </cell>
          <cell r="DV378" t="str">
            <v/>
          </cell>
          <cell r="DW378" t="str">
            <v/>
          </cell>
          <cell r="DX378" t="str">
            <v/>
          </cell>
          <cell r="DY378" t="str">
            <v/>
          </cell>
          <cell r="DZ378" t="str">
            <v/>
          </cell>
          <cell r="EA378" t="str">
            <v/>
          </cell>
          <cell r="EB378" t="str">
            <v/>
          </cell>
          <cell r="EC378" t="str">
            <v/>
          </cell>
          <cell r="ED378" t="str">
            <v/>
          </cell>
          <cell r="EE378" t="str">
            <v/>
          </cell>
          <cell r="EF378" t="str">
            <v/>
          </cell>
          <cell r="EH378" t="str">
            <v/>
          </cell>
          <cell r="EI378" t="str">
            <v/>
          </cell>
          <cell r="EJ378" t="str">
            <v/>
          </cell>
          <cell r="EL378" t="str">
            <v/>
          </cell>
          <cell r="EM378" t="str">
            <v/>
          </cell>
          <cell r="EN378" t="str">
            <v/>
          </cell>
          <cell r="EO378" t="str">
            <v/>
          </cell>
          <cell r="EP378" t="str">
            <v/>
          </cell>
          <cell r="EQ378" t="str">
            <v/>
          </cell>
          <cell r="ER378" t="str">
            <v/>
          </cell>
          <cell r="ES378" t="str">
            <v/>
          </cell>
          <cell r="ET378" t="str">
            <v/>
          </cell>
        </row>
        <row r="379">
          <cell r="DO379">
            <v>300</v>
          </cell>
          <cell r="DP379" t="str">
            <v/>
          </cell>
          <cell r="DQ379" t="str">
            <v/>
          </cell>
          <cell r="DR379" t="str">
            <v/>
          </cell>
          <cell r="DS379" t="str">
            <v/>
          </cell>
          <cell r="DT379" t="str">
            <v/>
          </cell>
          <cell r="DU379" t="str">
            <v/>
          </cell>
          <cell r="DV379" t="str">
            <v/>
          </cell>
          <cell r="DW379" t="str">
            <v/>
          </cell>
          <cell r="DX379" t="str">
            <v/>
          </cell>
          <cell r="DY379" t="str">
            <v/>
          </cell>
          <cell r="DZ379" t="str">
            <v/>
          </cell>
          <cell r="EA379" t="str">
            <v/>
          </cell>
          <cell r="EB379" t="str">
            <v/>
          </cell>
          <cell r="EC379" t="str">
            <v/>
          </cell>
          <cell r="ED379" t="str">
            <v/>
          </cell>
          <cell r="EE379" t="str">
            <v/>
          </cell>
          <cell r="EF379" t="str">
            <v/>
          </cell>
          <cell r="EH379" t="str">
            <v/>
          </cell>
          <cell r="EI379" t="str">
            <v/>
          </cell>
          <cell r="EJ379" t="str">
            <v/>
          </cell>
          <cell r="EL379" t="str">
            <v/>
          </cell>
          <cell r="EM379" t="str">
            <v/>
          </cell>
          <cell r="EN379" t="str">
            <v/>
          </cell>
          <cell r="EO379" t="str">
            <v/>
          </cell>
          <cell r="EP379" t="str">
            <v/>
          </cell>
          <cell r="EQ379" t="str">
            <v/>
          </cell>
          <cell r="ER379" t="str">
            <v/>
          </cell>
          <cell r="ES379" t="str">
            <v/>
          </cell>
          <cell r="ET379" t="str">
            <v/>
          </cell>
        </row>
        <row r="380">
          <cell r="DO380">
            <v>301</v>
          </cell>
          <cell r="DP380" t="str">
            <v/>
          </cell>
          <cell r="DQ380" t="str">
            <v/>
          </cell>
          <cell r="DR380" t="str">
            <v/>
          </cell>
          <cell r="DS380" t="str">
            <v/>
          </cell>
          <cell r="DT380" t="str">
            <v/>
          </cell>
          <cell r="DU380" t="str">
            <v/>
          </cell>
          <cell r="DV380" t="str">
            <v/>
          </cell>
          <cell r="DW380" t="str">
            <v/>
          </cell>
          <cell r="DX380" t="str">
            <v/>
          </cell>
          <cell r="DY380" t="str">
            <v/>
          </cell>
          <cell r="DZ380" t="str">
            <v/>
          </cell>
          <cell r="EA380" t="str">
            <v/>
          </cell>
          <cell r="EB380" t="str">
            <v/>
          </cell>
          <cell r="EC380" t="str">
            <v/>
          </cell>
          <cell r="ED380" t="str">
            <v/>
          </cell>
          <cell r="EE380" t="str">
            <v/>
          </cell>
          <cell r="EF380" t="str">
            <v/>
          </cell>
          <cell r="EH380" t="str">
            <v/>
          </cell>
          <cell r="EI380" t="str">
            <v/>
          </cell>
          <cell r="EJ380" t="str">
            <v/>
          </cell>
          <cell r="EL380" t="str">
            <v/>
          </cell>
          <cell r="EM380" t="str">
            <v/>
          </cell>
          <cell r="EN380" t="str">
            <v/>
          </cell>
          <cell r="EO380" t="str">
            <v/>
          </cell>
          <cell r="EP380" t="str">
            <v/>
          </cell>
          <cell r="EQ380" t="str">
            <v/>
          </cell>
          <cell r="ER380" t="str">
            <v/>
          </cell>
          <cell r="ES380" t="str">
            <v/>
          </cell>
          <cell r="ET380" t="str">
            <v/>
          </cell>
        </row>
        <row r="381">
          <cell r="DO381">
            <v>302</v>
          </cell>
          <cell r="DP381" t="str">
            <v/>
          </cell>
          <cell r="DQ381" t="str">
            <v/>
          </cell>
          <cell r="DR381" t="str">
            <v/>
          </cell>
          <cell r="DS381" t="str">
            <v/>
          </cell>
          <cell r="DT381" t="str">
            <v/>
          </cell>
          <cell r="DU381" t="str">
            <v/>
          </cell>
          <cell r="DV381" t="str">
            <v/>
          </cell>
          <cell r="DW381" t="str">
            <v/>
          </cell>
          <cell r="DX381" t="str">
            <v/>
          </cell>
          <cell r="DY381" t="str">
            <v/>
          </cell>
          <cell r="DZ381" t="str">
            <v/>
          </cell>
          <cell r="EA381" t="str">
            <v/>
          </cell>
          <cell r="EB381" t="str">
            <v/>
          </cell>
          <cell r="EC381" t="str">
            <v/>
          </cell>
          <cell r="ED381" t="str">
            <v/>
          </cell>
          <cell r="EE381" t="str">
            <v/>
          </cell>
          <cell r="EF381" t="str">
            <v/>
          </cell>
          <cell r="EH381" t="str">
            <v/>
          </cell>
          <cell r="EI381" t="str">
            <v/>
          </cell>
          <cell r="EJ381" t="str">
            <v/>
          </cell>
          <cell r="EL381" t="str">
            <v/>
          </cell>
          <cell r="EM381" t="str">
            <v/>
          </cell>
          <cell r="EN381" t="str">
            <v/>
          </cell>
          <cell r="EO381" t="str">
            <v/>
          </cell>
          <cell r="EP381" t="str">
            <v/>
          </cell>
          <cell r="EQ381" t="str">
            <v/>
          </cell>
          <cell r="ER381" t="str">
            <v/>
          </cell>
          <cell r="ES381" t="str">
            <v/>
          </cell>
          <cell r="ET381" t="str">
            <v/>
          </cell>
        </row>
        <row r="382">
          <cell r="DO382">
            <v>303</v>
          </cell>
          <cell r="DP382" t="str">
            <v/>
          </cell>
          <cell r="DQ382" t="str">
            <v/>
          </cell>
          <cell r="DR382" t="str">
            <v/>
          </cell>
          <cell r="DS382" t="str">
            <v/>
          </cell>
          <cell r="DT382" t="str">
            <v/>
          </cell>
          <cell r="DU382" t="str">
            <v/>
          </cell>
          <cell r="DV382" t="str">
            <v/>
          </cell>
          <cell r="DW382" t="str">
            <v/>
          </cell>
          <cell r="DX382" t="str">
            <v/>
          </cell>
          <cell r="DY382" t="str">
            <v/>
          </cell>
          <cell r="DZ382" t="str">
            <v/>
          </cell>
          <cell r="EA382" t="str">
            <v/>
          </cell>
          <cell r="EB382" t="str">
            <v/>
          </cell>
          <cell r="EC382" t="str">
            <v/>
          </cell>
          <cell r="ED382" t="str">
            <v/>
          </cell>
          <cell r="EE382" t="str">
            <v/>
          </cell>
          <cell r="EF382" t="str">
            <v/>
          </cell>
          <cell r="EH382" t="str">
            <v/>
          </cell>
          <cell r="EI382" t="str">
            <v/>
          </cell>
          <cell r="EJ382" t="str">
            <v/>
          </cell>
          <cell r="EL382" t="str">
            <v/>
          </cell>
          <cell r="EM382" t="str">
            <v/>
          </cell>
          <cell r="EN382" t="str">
            <v/>
          </cell>
          <cell r="EO382" t="str">
            <v/>
          </cell>
          <cell r="EP382" t="str">
            <v/>
          </cell>
          <cell r="EQ382" t="str">
            <v/>
          </cell>
          <cell r="ER382" t="str">
            <v/>
          </cell>
          <cell r="ES382" t="str">
            <v/>
          </cell>
          <cell r="ET382" t="str">
            <v/>
          </cell>
        </row>
        <row r="383">
          <cell r="DO383">
            <v>304</v>
          </cell>
          <cell r="DP383" t="str">
            <v/>
          </cell>
          <cell r="DQ383" t="str">
            <v/>
          </cell>
          <cell r="DR383" t="str">
            <v/>
          </cell>
          <cell r="DS383" t="str">
            <v/>
          </cell>
          <cell r="DT383" t="str">
            <v/>
          </cell>
          <cell r="DU383" t="str">
            <v/>
          </cell>
          <cell r="DV383" t="str">
            <v/>
          </cell>
          <cell r="DW383" t="str">
            <v/>
          </cell>
          <cell r="DX383" t="str">
            <v/>
          </cell>
          <cell r="DY383" t="str">
            <v/>
          </cell>
          <cell r="DZ383" t="str">
            <v/>
          </cell>
          <cell r="EA383" t="str">
            <v/>
          </cell>
          <cell r="EB383" t="str">
            <v/>
          </cell>
          <cell r="EC383" t="str">
            <v/>
          </cell>
          <cell r="ED383" t="str">
            <v/>
          </cell>
          <cell r="EE383" t="str">
            <v/>
          </cell>
          <cell r="EF383" t="str">
            <v/>
          </cell>
          <cell r="EH383" t="str">
            <v/>
          </cell>
          <cell r="EI383" t="str">
            <v/>
          </cell>
          <cell r="EJ383" t="str">
            <v/>
          </cell>
          <cell r="EL383" t="str">
            <v/>
          </cell>
          <cell r="EM383" t="str">
            <v/>
          </cell>
          <cell r="EN383" t="str">
            <v/>
          </cell>
          <cell r="EO383" t="str">
            <v/>
          </cell>
          <cell r="EP383" t="str">
            <v/>
          </cell>
          <cell r="EQ383" t="str">
            <v/>
          </cell>
          <cell r="ER383" t="str">
            <v/>
          </cell>
          <cell r="ES383" t="str">
            <v/>
          </cell>
          <cell r="ET383" t="str">
            <v/>
          </cell>
        </row>
        <row r="384">
          <cell r="DO384">
            <v>305</v>
          </cell>
          <cell r="DP384" t="str">
            <v/>
          </cell>
          <cell r="DQ384" t="str">
            <v/>
          </cell>
          <cell r="DR384" t="str">
            <v/>
          </cell>
          <cell r="DS384" t="str">
            <v/>
          </cell>
          <cell r="DT384" t="str">
            <v/>
          </cell>
          <cell r="DU384" t="str">
            <v/>
          </cell>
          <cell r="DV384" t="str">
            <v/>
          </cell>
          <cell r="DW384" t="str">
            <v/>
          </cell>
          <cell r="DX384" t="str">
            <v/>
          </cell>
          <cell r="DY384" t="str">
            <v/>
          </cell>
          <cell r="DZ384" t="str">
            <v/>
          </cell>
          <cell r="EA384" t="str">
            <v/>
          </cell>
          <cell r="EB384" t="str">
            <v/>
          </cell>
          <cell r="EC384" t="str">
            <v/>
          </cell>
          <cell r="ED384" t="str">
            <v/>
          </cell>
          <cell r="EE384" t="str">
            <v/>
          </cell>
          <cell r="EF384" t="str">
            <v/>
          </cell>
          <cell r="EH384" t="str">
            <v/>
          </cell>
          <cell r="EI384" t="str">
            <v/>
          </cell>
          <cell r="EJ384" t="str">
            <v/>
          </cell>
          <cell r="EL384" t="str">
            <v/>
          </cell>
          <cell r="EM384" t="str">
            <v/>
          </cell>
          <cell r="EN384" t="str">
            <v/>
          </cell>
          <cell r="EO384" t="str">
            <v/>
          </cell>
          <cell r="EP384" t="str">
            <v/>
          </cell>
          <cell r="EQ384" t="str">
            <v/>
          </cell>
          <cell r="ER384" t="str">
            <v/>
          </cell>
          <cell r="ES384" t="str">
            <v/>
          </cell>
          <cell r="ET384" t="str">
            <v/>
          </cell>
        </row>
        <row r="385">
          <cell r="DO385">
            <v>306</v>
          </cell>
          <cell r="DP385" t="str">
            <v/>
          </cell>
          <cell r="DQ385" t="str">
            <v/>
          </cell>
          <cell r="DR385" t="str">
            <v/>
          </cell>
          <cell r="DS385" t="str">
            <v/>
          </cell>
          <cell r="DT385" t="str">
            <v/>
          </cell>
          <cell r="DU385" t="str">
            <v/>
          </cell>
          <cell r="DV385" t="str">
            <v/>
          </cell>
          <cell r="DW385" t="str">
            <v/>
          </cell>
          <cell r="DX385" t="str">
            <v/>
          </cell>
          <cell r="DY385" t="str">
            <v/>
          </cell>
          <cell r="DZ385" t="str">
            <v/>
          </cell>
          <cell r="EA385" t="str">
            <v/>
          </cell>
          <cell r="EB385" t="str">
            <v/>
          </cell>
          <cell r="EC385" t="str">
            <v/>
          </cell>
          <cell r="ED385" t="str">
            <v/>
          </cell>
          <cell r="EE385" t="str">
            <v/>
          </cell>
          <cell r="EF385" t="str">
            <v/>
          </cell>
          <cell r="EH385" t="str">
            <v/>
          </cell>
          <cell r="EI385" t="str">
            <v/>
          </cell>
          <cell r="EJ385" t="str">
            <v/>
          </cell>
          <cell r="EL385" t="str">
            <v/>
          </cell>
          <cell r="EM385" t="str">
            <v/>
          </cell>
          <cell r="EN385" t="str">
            <v/>
          </cell>
          <cell r="EO385" t="str">
            <v/>
          </cell>
          <cell r="EP385" t="str">
            <v/>
          </cell>
          <cell r="EQ385" t="str">
            <v/>
          </cell>
          <cell r="ER385" t="str">
            <v/>
          </cell>
          <cell r="ES385" t="str">
            <v/>
          </cell>
          <cell r="ET385" t="str">
            <v/>
          </cell>
        </row>
        <row r="386">
          <cell r="DO386">
            <v>307</v>
          </cell>
          <cell r="DP386" t="str">
            <v/>
          </cell>
          <cell r="DQ386" t="str">
            <v/>
          </cell>
          <cell r="DR386" t="str">
            <v/>
          </cell>
          <cell r="DS386" t="str">
            <v/>
          </cell>
          <cell r="DT386" t="str">
            <v/>
          </cell>
          <cell r="DU386" t="str">
            <v/>
          </cell>
          <cell r="DV386" t="str">
            <v/>
          </cell>
          <cell r="DW386" t="str">
            <v/>
          </cell>
          <cell r="DX386" t="str">
            <v/>
          </cell>
          <cell r="DY386" t="str">
            <v/>
          </cell>
          <cell r="DZ386" t="str">
            <v/>
          </cell>
          <cell r="EA386" t="str">
            <v/>
          </cell>
          <cell r="EB386" t="str">
            <v/>
          </cell>
          <cell r="EC386" t="str">
            <v/>
          </cell>
          <cell r="ED386" t="str">
            <v/>
          </cell>
          <cell r="EE386" t="str">
            <v/>
          </cell>
          <cell r="EF386" t="str">
            <v/>
          </cell>
          <cell r="EH386" t="str">
            <v/>
          </cell>
          <cell r="EI386" t="str">
            <v/>
          </cell>
          <cell r="EJ386" t="str">
            <v/>
          </cell>
          <cell r="EL386" t="str">
            <v/>
          </cell>
          <cell r="EM386" t="str">
            <v/>
          </cell>
          <cell r="EN386" t="str">
            <v/>
          </cell>
          <cell r="EO386" t="str">
            <v/>
          </cell>
          <cell r="EP386" t="str">
            <v/>
          </cell>
          <cell r="EQ386" t="str">
            <v/>
          </cell>
          <cell r="ER386" t="str">
            <v/>
          </cell>
          <cell r="ES386" t="str">
            <v/>
          </cell>
          <cell r="ET386" t="str">
            <v/>
          </cell>
        </row>
        <row r="387">
          <cell r="DO387">
            <v>308</v>
          </cell>
          <cell r="DP387" t="str">
            <v/>
          </cell>
          <cell r="DQ387" t="str">
            <v/>
          </cell>
          <cell r="DR387" t="str">
            <v/>
          </cell>
          <cell r="DS387" t="str">
            <v/>
          </cell>
          <cell r="DT387" t="str">
            <v/>
          </cell>
          <cell r="DU387" t="str">
            <v/>
          </cell>
          <cell r="DV387" t="str">
            <v/>
          </cell>
          <cell r="DW387" t="str">
            <v/>
          </cell>
          <cell r="DX387" t="str">
            <v/>
          </cell>
          <cell r="DY387" t="str">
            <v/>
          </cell>
          <cell r="DZ387" t="str">
            <v/>
          </cell>
          <cell r="EA387" t="str">
            <v/>
          </cell>
          <cell r="EB387" t="str">
            <v/>
          </cell>
          <cell r="EC387" t="str">
            <v/>
          </cell>
          <cell r="ED387" t="str">
            <v/>
          </cell>
          <cell r="EE387" t="str">
            <v/>
          </cell>
          <cell r="EF387" t="str">
            <v/>
          </cell>
          <cell r="EH387" t="str">
            <v/>
          </cell>
          <cell r="EI387" t="str">
            <v/>
          </cell>
          <cell r="EJ387" t="str">
            <v/>
          </cell>
          <cell r="EL387" t="str">
            <v/>
          </cell>
          <cell r="EM387" t="str">
            <v/>
          </cell>
          <cell r="EN387" t="str">
            <v/>
          </cell>
          <cell r="EO387" t="str">
            <v/>
          </cell>
          <cell r="EP387" t="str">
            <v/>
          </cell>
          <cell r="EQ387" t="str">
            <v/>
          </cell>
          <cell r="ER387" t="str">
            <v/>
          </cell>
          <cell r="ES387" t="str">
            <v/>
          </cell>
          <cell r="ET387" t="str">
            <v/>
          </cell>
        </row>
        <row r="388">
          <cell r="DO388">
            <v>309</v>
          </cell>
          <cell r="DP388" t="str">
            <v/>
          </cell>
          <cell r="DQ388" t="str">
            <v/>
          </cell>
          <cell r="DR388" t="str">
            <v/>
          </cell>
          <cell r="DS388" t="str">
            <v/>
          </cell>
          <cell r="DT388" t="str">
            <v/>
          </cell>
          <cell r="DU388" t="str">
            <v/>
          </cell>
          <cell r="DV388" t="str">
            <v/>
          </cell>
          <cell r="DW388" t="str">
            <v/>
          </cell>
          <cell r="DX388" t="str">
            <v/>
          </cell>
          <cell r="DY388" t="str">
            <v/>
          </cell>
          <cell r="DZ388" t="str">
            <v/>
          </cell>
          <cell r="EA388" t="str">
            <v/>
          </cell>
          <cell r="EB388" t="str">
            <v/>
          </cell>
          <cell r="EC388" t="str">
            <v/>
          </cell>
          <cell r="ED388" t="str">
            <v/>
          </cell>
          <cell r="EE388" t="str">
            <v/>
          </cell>
          <cell r="EF388" t="str">
            <v/>
          </cell>
          <cell r="EH388" t="str">
            <v/>
          </cell>
          <cell r="EI388" t="str">
            <v/>
          </cell>
          <cell r="EJ388" t="str">
            <v/>
          </cell>
          <cell r="EL388" t="str">
            <v/>
          </cell>
          <cell r="EM388" t="str">
            <v/>
          </cell>
          <cell r="EN388" t="str">
            <v/>
          </cell>
          <cell r="EO388" t="str">
            <v/>
          </cell>
          <cell r="EP388" t="str">
            <v/>
          </cell>
          <cell r="EQ388" t="str">
            <v/>
          </cell>
          <cell r="ER388" t="str">
            <v/>
          </cell>
          <cell r="ES388" t="str">
            <v/>
          </cell>
          <cell r="ET388" t="str">
            <v/>
          </cell>
        </row>
        <row r="389">
          <cell r="DO389">
            <v>310</v>
          </cell>
          <cell r="DP389" t="str">
            <v/>
          </cell>
          <cell r="DQ389" t="str">
            <v/>
          </cell>
          <cell r="DR389" t="str">
            <v/>
          </cell>
          <cell r="DS389" t="str">
            <v/>
          </cell>
          <cell r="DT389" t="str">
            <v/>
          </cell>
          <cell r="DU389" t="str">
            <v/>
          </cell>
          <cell r="DV389" t="str">
            <v/>
          </cell>
          <cell r="DW389" t="str">
            <v/>
          </cell>
          <cell r="DX389" t="str">
            <v/>
          </cell>
          <cell r="DY389" t="str">
            <v/>
          </cell>
          <cell r="DZ389" t="str">
            <v/>
          </cell>
          <cell r="EA389" t="str">
            <v/>
          </cell>
          <cell r="EB389" t="str">
            <v/>
          </cell>
          <cell r="EC389" t="str">
            <v/>
          </cell>
          <cell r="ED389" t="str">
            <v/>
          </cell>
          <cell r="EE389" t="str">
            <v/>
          </cell>
          <cell r="EF389" t="str">
            <v/>
          </cell>
          <cell r="EH389" t="str">
            <v/>
          </cell>
          <cell r="EI389" t="str">
            <v/>
          </cell>
          <cell r="EJ389" t="str">
            <v/>
          </cell>
          <cell r="EL389" t="str">
            <v/>
          </cell>
          <cell r="EM389" t="str">
            <v/>
          </cell>
          <cell r="EN389" t="str">
            <v/>
          </cell>
          <cell r="EO389" t="str">
            <v/>
          </cell>
          <cell r="EP389" t="str">
            <v/>
          </cell>
          <cell r="EQ389" t="str">
            <v/>
          </cell>
          <cell r="ER389" t="str">
            <v/>
          </cell>
          <cell r="ES389" t="str">
            <v/>
          </cell>
          <cell r="ET389" t="str">
            <v/>
          </cell>
        </row>
        <row r="390">
          <cell r="DO390">
            <v>311</v>
          </cell>
          <cell r="DP390" t="str">
            <v/>
          </cell>
          <cell r="DQ390" t="str">
            <v/>
          </cell>
          <cell r="DR390" t="str">
            <v/>
          </cell>
          <cell r="DS390" t="str">
            <v/>
          </cell>
          <cell r="DT390" t="str">
            <v/>
          </cell>
          <cell r="DU390" t="str">
            <v/>
          </cell>
          <cell r="DV390" t="str">
            <v/>
          </cell>
          <cell r="DW390" t="str">
            <v/>
          </cell>
          <cell r="DX390" t="str">
            <v/>
          </cell>
          <cell r="DY390" t="str">
            <v/>
          </cell>
          <cell r="DZ390" t="str">
            <v/>
          </cell>
          <cell r="EA390" t="str">
            <v/>
          </cell>
          <cell r="EB390" t="str">
            <v/>
          </cell>
          <cell r="EC390" t="str">
            <v/>
          </cell>
          <cell r="ED390" t="str">
            <v/>
          </cell>
          <cell r="EE390" t="str">
            <v/>
          </cell>
          <cell r="EF390" t="str">
            <v/>
          </cell>
          <cell r="EH390" t="str">
            <v/>
          </cell>
          <cell r="EI390" t="str">
            <v/>
          </cell>
          <cell r="EJ390" t="str">
            <v/>
          </cell>
          <cell r="EL390" t="str">
            <v/>
          </cell>
          <cell r="EM390" t="str">
            <v/>
          </cell>
          <cell r="EN390" t="str">
            <v/>
          </cell>
          <cell r="EO390" t="str">
            <v/>
          </cell>
          <cell r="EP390" t="str">
            <v/>
          </cell>
          <cell r="EQ390" t="str">
            <v/>
          </cell>
          <cell r="ER390" t="str">
            <v/>
          </cell>
          <cell r="ES390" t="str">
            <v/>
          </cell>
          <cell r="ET390" t="str">
            <v/>
          </cell>
        </row>
        <row r="391">
          <cell r="DO391">
            <v>312</v>
          </cell>
          <cell r="DP391" t="str">
            <v/>
          </cell>
          <cell r="DQ391" t="str">
            <v/>
          </cell>
          <cell r="DR391" t="str">
            <v/>
          </cell>
          <cell r="DS391" t="str">
            <v/>
          </cell>
          <cell r="DT391" t="str">
            <v/>
          </cell>
          <cell r="DU391" t="str">
            <v/>
          </cell>
          <cell r="DV391" t="str">
            <v/>
          </cell>
          <cell r="DW391" t="str">
            <v/>
          </cell>
          <cell r="DX391" t="str">
            <v/>
          </cell>
          <cell r="DY391" t="str">
            <v/>
          </cell>
          <cell r="DZ391" t="str">
            <v/>
          </cell>
          <cell r="EA391" t="str">
            <v/>
          </cell>
          <cell r="EB391" t="str">
            <v/>
          </cell>
          <cell r="EC391" t="str">
            <v/>
          </cell>
          <cell r="ED391" t="str">
            <v/>
          </cell>
          <cell r="EE391" t="str">
            <v/>
          </cell>
          <cell r="EF391" t="str">
            <v/>
          </cell>
          <cell r="EH391" t="str">
            <v/>
          </cell>
          <cell r="EI391" t="str">
            <v/>
          </cell>
          <cell r="EJ391" t="str">
            <v/>
          </cell>
          <cell r="EL391" t="str">
            <v/>
          </cell>
          <cell r="EM391" t="str">
            <v/>
          </cell>
          <cell r="EN391" t="str">
            <v/>
          </cell>
          <cell r="EO391" t="str">
            <v/>
          </cell>
          <cell r="EP391" t="str">
            <v/>
          </cell>
          <cell r="EQ391" t="str">
            <v/>
          </cell>
          <cell r="ER391" t="str">
            <v/>
          </cell>
          <cell r="ES391" t="str">
            <v/>
          </cell>
          <cell r="ET391" t="str">
            <v/>
          </cell>
        </row>
        <row r="392">
          <cell r="DO392">
            <v>313</v>
          </cell>
          <cell r="DP392" t="str">
            <v/>
          </cell>
          <cell r="DQ392" t="str">
            <v/>
          </cell>
          <cell r="DR392" t="str">
            <v/>
          </cell>
          <cell r="DS392" t="str">
            <v/>
          </cell>
          <cell r="DT392" t="str">
            <v/>
          </cell>
          <cell r="DU392" t="str">
            <v/>
          </cell>
          <cell r="DV392" t="str">
            <v/>
          </cell>
          <cell r="DW392" t="str">
            <v/>
          </cell>
          <cell r="DX392" t="str">
            <v/>
          </cell>
          <cell r="DY392" t="str">
            <v/>
          </cell>
          <cell r="DZ392" t="str">
            <v/>
          </cell>
          <cell r="EA392" t="str">
            <v/>
          </cell>
          <cell r="EB392" t="str">
            <v/>
          </cell>
          <cell r="EC392" t="str">
            <v/>
          </cell>
          <cell r="ED392" t="str">
            <v/>
          </cell>
          <cell r="EE392" t="str">
            <v/>
          </cell>
          <cell r="EF392" t="str">
            <v/>
          </cell>
          <cell r="EH392" t="str">
            <v/>
          </cell>
          <cell r="EI392" t="str">
            <v/>
          </cell>
          <cell r="EJ392" t="str">
            <v/>
          </cell>
          <cell r="EL392" t="str">
            <v/>
          </cell>
          <cell r="EM392" t="str">
            <v/>
          </cell>
          <cell r="EN392" t="str">
            <v/>
          </cell>
          <cell r="EO392" t="str">
            <v/>
          </cell>
          <cell r="EP392" t="str">
            <v/>
          </cell>
          <cell r="EQ392" t="str">
            <v/>
          </cell>
          <cell r="ER392" t="str">
            <v/>
          </cell>
          <cell r="ES392" t="str">
            <v/>
          </cell>
          <cell r="ET392" t="str">
            <v/>
          </cell>
        </row>
        <row r="393">
          <cell r="DO393">
            <v>314</v>
          </cell>
          <cell r="DP393" t="str">
            <v/>
          </cell>
          <cell r="DQ393" t="str">
            <v/>
          </cell>
          <cell r="DR393" t="str">
            <v/>
          </cell>
          <cell r="DS393" t="str">
            <v/>
          </cell>
          <cell r="DT393" t="str">
            <v/>
          </cell>
          <cell r="DU393" t="str">
            <v/>
          </cell>
          <cell r="DV393" t="str">
            <v/>
          </cell>
          <cell r="DW393" t="str">
            <v/>
          </cell>
          <cell r="DX393" t="str">
            <v/>
          </cell>
          <cell r="DY393" t="str">
            <v/>
          </cell>
          <cell r="DZ393" t="str">
            <v/>
          </cell>
          <cell r="EA393" t="str">
            <v/>
          </cell>
          <cell r="EB393" t="str">
            <v/>
          </cell>
          <cell r="EC393" t="str">
            <v/>
          </cell>
          <cell r="ED393" t="str">
            <v/>
          </cell>
          <cell r="EE393" t="str">
            <v/>
          </cell>
          <cell r="EF393" t="str">
            <v/>
          </cell>
          <cell r="EH393" t="str">
            <v/>
          </cell>
          <cell r="EI393" t="str">
            <v/>
          </cell>
          <cell r="EJ393" t="str">
            <v/>
          </cell>
          <cell r="EL393" t="str">
            <v/>
          </cell>
          <cell r="EM393" t="str">
            <v/>
          </cell>
          <cell r="EN393" t="str">
            <v/>
          </cell>
          <cell r="EO393" t="str">
            <v/>
          </cell>
          <cell r="EP393" t="str">
            <v/>
          </cell>
          <cell r="EQ393" t="str">
            <v/>
          </cell>
          <cell r="ER393" t="str">
            <v/>
          </cell>
          <cell r="ES393" t="str">
            <v/>
          </cell>
          <cell r="ET393" t="str">
            <v/>
          </cell>
        </row>
        <row r="394">
          <cell r="DO394">
            <v>315</v>
          </cell>
          <cell r="DP394" t="str">
            <v/>
          </cell>
          <cell r="DQ394" t="str">
            <v/>
          </cell>
          <cell r="DR394" t="str">
            <v/>
          </cell>
          <cell r="DS394" t="str">
            <v/>
          </cell>
          <cell r="DT394" t="str">
            <v/>
          </cell>
          <cell r="DU394" t="str">
            <v/>
          </cell>
          <cell r="DV394" t="str">
            <v/>
          </cell>
          <cell r="DW394" t="str">
            <v/>
          </cell>
          <cell r="DX394" t="str">
            <v/>
          </cell>
          <cell r="DY394" t="str">
            <v/>
          </cell>
          <cell r="DZ394" t="str">
            <v/>
          </cell>
          <cell r="EA394" t="str">
            <v/>
          </cell>
          <cell r="EB394" t="str">
            <v/>
          </cell>
          <cell r="EC394" t="str">
            <v/>
          </cell>
          <cell r="ED394" t="str">
            <v/>
          </cell>
          <cell r="EE394" t="str">
            <v/>
          </cell>
          <cell r="EF394" t="str">
            <v/>
          </cell>
          <cell r="EH394" t="str">
            <v/>
          </cell>
          <cell r="EI394" t="str">
            <v/>
          </cell>
          <cell r="EJ394" t="str">
            <v/>
          </cell>
          <cell r="EL394" t="str">
            <v/>
          </cell>
          <cell r="EM394" t="str">
            <v/>
          </cell>
          <cell r="EN394" t="str">
            <v/>
          </cell>
          <cell r="EO394" t="str">
            <v/>
          </cell>
          <cell r="EP394" t="str">
            <v/>
          </cell>
          <cell r="EQ394" t="str">
            <v/>
          </cell>
          <cell r="ER394" t="str">
            <v/>
          </cell>
          <cell r="ES394" t="str">
            <v/>
          </cell>
          <cell r="ET394" t="str">
            <v/>
          </cell>
        </row>
        <row r="395">
          <cell r="DO395">
            <v>316</v>
          </cell>
          <cell r="DP395" t="str">
            <v/>
          </cell>
          <cell r="DQ395" t="str">
            <v/>
          </cell>
          <cell r="DR395" t="str">
            <v/>
          </cell>
          <cell r="DS395" t="str">
            <v/>
          </cell>
          <cell r="DT395" t="str">
            <v/>
          </cell>
          <cell r="DU395" t="str">
            <v/>
          </cell>
          <cell r="DV395" t="str">
            <v/>
          </cell>
          <cell r="DW395" t="str">
            <v/>
          </cell>
          <cell r="DX395" t="str">
            <v/>
          </cell>
          <cell r="DY395" t="str">
            <v/>
          </cell>
          <cell r="DZ395" t="str">
            <v/>
          </cell>
          <cell r="EA395" t="str">
            <v/>
          </cell>
          <cell r="EB395" t="str">
            <v/>
          </cell>
          <cell r="EC395" t="str">
            <v/>
          </cell>
          <cell r="ED395" t="str">
            <v/>
          </cell>
          <cell r="EE395" t="str">
            <v/>
          </cell>
          <cell r="EF395" t="str">
            <v/>
          </cell>
          <cell r="EH395" t="str">
            <v/>
          </cell>
          <cell r="EI395" t="str">
            <v/>
          </cell>
          <cell r="EJ395" t="str">
            <v/>
          </cell>
          <cell r="EL395" t="str">
            <v/>
          </cell>
          <cell r="EM395" t="str">
            <v/>
          </cell>
          <cell r="EN395" t="str">
            <v/>
          </cell>
          <cell r="EO395" t="str">
            <v/>
          </cell>
          <cell r="EP395" t="str">
            <v/>
          </cell>
          <cell r="EQ395" t="str">
            <v/>
          </cell>
          <cell r="ER395" t="str">
            <v/>
          </cell>
          <cell r="ES395" t="str">
            <v/>
          </cell>
          <cell r="ET395" t="str">
            <v/>
          </cell>
        </row>
        <row r="396">
          <cell r="DO396">
            <v>317</v>
          </cell>
          <cell r="DP396" t="str">
            <v/>
          </cell>
          <cell r="DQ396" t="str">
            <v/>
          </cell>
          <cell r="DR396" t="str">
            <v/>
          </cell>
          <cell r="DS396" t="str">
            <v/>
          </cell>
          <cell r="DT396" t="str">
            <v/>
          </cell>
          <cell r="DU396" t="str">
            <v/>
          </cell>
          <cell r="DV396" t="str">
            <v/>
          </cell>
          <cell r="DW396" t="str">
            <v/>
          </cell>
          <cell r="DX396" t="str">
            <v/>
          </cell>
          <cell r="DY396" t="str">
            <v/>
          </cell>
          <cell r="DZ396" t="str">
            <v/>
          </cell>
          <cell r="EA396" t="str">
            <v/>
          </cell>
          <cell r="EB396" t="str">
            <v/>
          </cell>
          <cell r="EC396" t="str">
            <v/>
          </cell>
          <cell r="ED396" t="str">
            <v/>
          </cell>
          <cell r="EE396" t="str">
            <v/>
          </cell>
          <cell r="EF396" t="str">
            <v/>
          </cell>
          <cell r="EH396" t="str">
            <v/>
          </cell>
          <cell r="EI396" t="str">
            <v/>
          </cell>
          <cell r="EJ396" t="str">
            <v/>
          </cell>
          <cell r="EL396" t="str">
            <v/>
          </cell>
          <cell r="EM396" t="str">
            <v/>
          </cell>
          <cell r="EN396" t="str">
            <v/>
          </cell>
          <cell r="EO396" t="str">
            <v/>
          </cell>
          <cell r="EP396" t="str">
            <v/>
          </cell>
          <cell r="EQ396" t="str">
            <v/>
          </cell>
          <cell r="ER396" t="str">
            <v/>
          </cell>
          <cell r="ES396" t="str">
            <v/>
          </cell>
          <cell r="ET396" t="str">
            <v/>
          </cell>
        </row>
        <row r="397">
          <cell r="DO397">
            <v>318</v>
          </cell>
          <cell r="DP397" t="str">
            <v/>
          </cell>
          <cell r="DQ397" t="str">
            <v/>
          </cell>
          <cell r="DR397" t="str">
            <v/>
          </cell>
          <cell r="DS397" t="str">
            <v/>
          </cell>
          <cell r="DT397" t="str">
            <v/>
          </cell>
          <cell r="DU397" t="str">
            <v/>
          </cell>
          <cell r="DV397" t="str">
            <v/>
          </cell>
          <cell r="DW397" t="str">
            <v/>
          </cell>
          <cell r="DX397" t="str">
            <v/>
          </cell>
          <cell r="DY397" t="str">
            <v/>
          </cell>
          <cell r="DZ397" t="str">
            <v/>
          </cell>
          <cell r="EA397" t="str">
            <v/>
          </cell>
          <cell r="EB397" t="str">
            <v/>
          </cell>
          <cell r="EC397" t="str">
            <v/>
          </cell>
          <cell r="ED397" t="str">
            <v/>
          </cell>
          <cell r="EE397" t="str">
            <v/>
          </cell>
          <cell r="EF397" t="str">
            <v/>
          </cell>
          <cell r="EH397" t="str">
            <v/>
          </cell>
          <cell r="EI397" t="str">
            <v/>
          </cell>
          <cell r="EJ397" t="str">
            <v/>
          </cell>
          <cell r="EL397" t="str">
            <v/>
          </cell>
          <cell r="EM397" t="str">
            <v/>
          </cell>
          <cell r="EN397" t="str">
            <v/>
          </cell>
          <cell r="EO397" t="str">
            <v/>
          </cell>
          <cell r="EP397" t="str">
            <v/>
          </cell>
          <cell r="EQ397" t="str">
            <v/>
          </cell>
          <cell r="ER397" t="str">
            <v/>
          </cell>
          <cell r="ES397" t="str">
            <v/>
          </cell>
          <cell r="ET397" t="str">
            <v/>
          </cell>
        </row>
        <row r="398">
          <cell r="DO398">
            <v>319</v>
          </cell>
          <cell r="DP398" t="str">
            <v/>
          </cell>
          <cell r="DQ398" t="str">
            <v/>
          </cell>
          <cell r="DR398" t="str">
            <v/>
          </cell>
          <cell r="DS398" t="str">
            <v/>
          </cell>
          <cell r="DT398" t="str">
            <v/>
          </cell>
          <cell r="DU398" t="str">
            <v/>
          </cell>
          <cell r="DV398" t="str">
            <v/>
          </cell>
          <cell r="DW398" t="str">
            <v/>
          </cell>
          <cell r="DX398" t="str">
            <v/>
          </cell>
          <cell r="DY398" t="str">
            <v/>
          </cell>
          <cell r="DZ398" t="str">
            <v/>
          </cell>
          <cell r="EA398" t="str">
            <v/>
          </cell>
          <cell r="EB398" t="str">
            <v/>
          </cell>
          <cell r="EC398" t="str">
            <v/>
          </cell>
          <cell r="ED398" t="str">
            <v/>
          </cell>
          <cell r="EE398" t="str">
            <v/>
          </cell>
          <cell r="EF398" t="str">
            <v/>
          </cell>
          <cell r="EH398" t="str">
            <v/>
          </cell>
          <cell r="EI398" t="str">
            <v/>
          </cell>
          <cell r="EJ398" t="str">
            <v/>
          </cell>
          <cell r="EL398" t="str">
            <v/>
          </cell>
          <cell r="EM398" t="str">
            <v/>
          </cell>
          <cell r="EN398" t="str">
            <v/>
          </cell>
          <cell r="EO398" t="str">
            <v/>
          </cell>
          <cell r="EP398" t="str">
            <v/>
          </cell>
          <cell r="EQ398" t="str">
            <v/>
          </cell>
          <cell r="ER398" t="str">
            <v/>
          </cell>
          <cell r="ES398" t="str">
            <v/>
          </cell>
          <cell r="ET398" t="str">
            <v/>
          </cell>
        </row>
        <row r="399">
          <cell r="DO399">
            <v>320</v>
          </cell>
          <cell r="DP399" t="str">
            <v/>
          </cell>
          <cell r="DQ399" t="str">
            <v/>
          </cell>
          <cell r="DR399" t="str">
            <v/>
          </cell>
          <cell r="DS399" t="str">
            <v/>
          </cell>
          <cell r="DT399" t="str">
            <v/>
          </cell>
          <cell r="DU399" t="str">
            <v/>
          </cell>
          <cell r="DV399" t="str">
            <v/>
          </cell>
          <cell r="DW399" t="str">
            <v/>
          </cell>
          <cell r="DX399" t="str">
            <v/>
          </cell>
          <cell r="DY399" t="str">
            <v/>
          </cell>
          <cell r="DZ399" t="str">
            <v/>
          </cell>
          <cell r="EA399" t="str">
            <v/>
          </cell>
          <cell r="EB399" t="str">
            <v/>
          </cell>
          <cell r="EC399" t="str">
            <v/>
          </cell>
          <cell r="ED399" t="str">
            <v/>
          </cell>
          <cell r="EE399" t="str">
            <v/>
          </cell>
          <cell r="EF399" t="str">
            <v/>
          </cell>
          <cell r="EH399" t="str">
            <v/>
          </cell>
          <cell r="EI399" t="str">
            <v/>
          </cell>
          <cell r="EJ399" t="str">
            <v/>
          </cell>
          <cell r="EL399" t="str">
            <v/>
          </cell>
          <cell r="EM399" t="str">
            <v/>
          </cell>
          <cell r="EN399" t="str">
            <v/>
          </cell>
          <cell r="EO399" t="str">
            <v/>
          </cell>
          <cell r="EP399" t="str">
            <v/>
          </cell>
          <cell r="EQ399" t="str">
            <v/>
          </cell>
          <cell r="ER399" t="str">
            <v/>
          </cell>
          <cell r="ES399" t="str">
            <v/>
          </cell>
          <cell r="ET399" t="str">
            <v/>
          </cell>
        </row>
        <row r="400">
          <cell r="DO400">
            <v>321</v>
          </cell>
          <cell r="DP400" t="str">
            <v/>
          </cell>
          <cell r="DQ400" t="str">
            <v/>
          </cell>
          <cell r="DR400" t="str">
            <v/>
          </cell>
          <cell r="DS400" t="str">
            <v/>
          </cell>
          <cell r="DT400" t="str">
            <v/>
          </cell>
          <cell r="DU400" t="str">
            <v/>
          </cell>
          <cell r="DV400" t="str">
            <v/>
          </cell>
          <cell r="DW400" t="str">
            <v/>
          </cell>
          <cell r="DX400" t="str">
            <v/>
          </cell>
          <cell r="DY400" t="str">
            <v/>
          </cell>
          <cell r="DZ400" t="str">
            <v/>
          </cell>
          <cell r="EA400" t="str">
            <v/>
          </cell>
          <cell r="EB400" t="str">
            <v/>
          </cell>
          <cell r="EC400" t="str">
            <v/>
          </cell>
          <cell r="ED400" t="str">
            <v/>
          </cell>
          <cell r="EE400" t="str">
            <v/>
          </cell>
          <cell r="EF400" t="str">
            <v/>
          </cell>
          <cell r="EH400" t="str">
            <v/>
          </cell>
          <cell r="EI400" t="str">
            <v/>
          </cell>
          <cell r="EJ400" t="str">
            <v/>
          </cell>
          <cell r="EL400" t="str">
            <v/>
          </cell>
          <cell r="EM400" t="str">
            <v/>
          </cell>
          <cell r="EN400" t="str">
            <v/>
          </cell>
          <cell r="EO400" t="str">
            <v/>
          </cell>
          <cell r="EP400" t="str">
            <v/>
          </cell>
          <cell r="EQ400" t="str">
            <v/>
          </cell>
          <cell r="ER400" t="str">
            <v/>
          </cell>
          <cell r="ES400" t="str">
            <v/>
          </cell>
          <cell r="ET400" t="str">
            <v/>
          </cell>
        </row>
        <row r="401">
          <cell r="DO401">
            <v>322</v>
          </cell>
          <cell r="DP401" t="str">
            <v/>
          </cell>
          <cell r="DQ401" t="str">
            <v/>
          </cell>
          <cell r="DR401" t="str">
            <v/>
          </cell>
          <cell r="DS401" t="str">
            <v/>
          </cell>
          <cell r="DT401" t="str">
            <v/>
          </cell>
          <cell r="DU401" t="str">
            <v/>
          </cell>
          <cell r="DV401" t="str">
            <v/>
          </cell>
          <cell r="DW401" t="str">
            <v/>
          </cell>
          <cell r="DX401" t="str">
            <v/>
          </cell>
          <cell r="DY401" t="str">
            <v/>
          </cell>
          <cell r="DZ401" t="str">
            <v/>
          </cell>
          <cell r="EA401" t="str">
            <v/>
          </cell>
          <cell r="EB401" t="str">
            <v/>
          </cell>
          <cell r="EC401" t="str">
            <v/>
          </cell>
          <cell r="ED401" t="str">
            <v/>
          </cell>
          <cell r="EE401" t="str">
            <v/>
          </cell>
          <cell r="EF401" t="str">
            <v/>
          </cell>
          <cell r="EH401" t="str">
            <v/>
          </cell>
          <cell r="EI401" t="str">
            <v/>
          </cell>
          <cell r="EJ401" t="str">
            <v/>
          </cell>
          <cell r="EL401" t="str">
            <v/>
          </cell>
          <cell r="EM401" t="str">
            <v/>
          </cell>
          <cell r="EN401" t="str">
            <v/>
          </cell>
          <cell r="EO401" t="str">
            <v/>
          </cell>
          <cell r="EP401" t="str">
            <v/>
          </cell>
          <cell r="EQ401" t="str">
            <v/>
          </cell>
          <cell r="ER401" t="str">
            <v/>
          </cell>
          <cell r="ES401" t="str">
            <v/>
          </cell>
          <cell r="ET401" t="str">
            <v/>
          </cell>
        </row>
        <row r="402">
          <cell r="DO402">
            <v>323</v>
          </cell>
          <cell r="DP402" t="str">
            <v/>
          </cell>
          <cell r="DQ402" t="str">
            <v/>
          </cell>
          <cell r="DR402" t="str">
            <v/>
          </cell>
          <cell r="DS402" t="str">
            <v/>
          </cell>
          <cell r="DT402" t="str">
            <v/>
          </cell>
          <cell r="DU402" t="str">
            <v/>
          </cell>
          <cell r="DV402" t="str">
            <v/>
          </cell>
          <cell r="DW402" t="str">
            <v/>
          </cell>
          <cell r="DX402" t="str">
            <v/>
          </cell>
          <cell r="DY402" t="str">
            <v/>
          </cell>
          <cell r="DZ402" t="str">
            <v/>
          </cell>
          <cell r="EA402" t="str">
            <v/>
          </cell>
          <cell r="EB402" t="str">
            <v/>
          </cell>
          <cell r="EC402" t="str">
            <v/>
          </cell>
          <cell r="ED402" t="str">
            <v/>
          </cell>
          <cell r="EE402" t="str">
            <v/>
          </cell>
          <cell r="EF402" t="str">
            <v/>
          </cell>
          <cell r="EH402" t="str">
            <v/>
          </cell>
          <cell r="EI402" t="str">
            <v/>
          </cell>
          <cell r="EJ402" t="str">
            <v/>
          </cell>
          <cell r="EL402" t="str">
            <v/>
          </cell>
          <cell r="EM402" t="str">
            <v/>
          </cell>
          <cell r="EN402" t="str">
            <v/>
          </cell>
          <cell r="EO402" t="str">
            <v/>
          </cell>
          <cell r="EP402" t="str">
            <v/>
          </cell>
          <cell r="EQ402" t="str">
            <v/>
          </cell>
          <cell r="ER402" t="str">
            <v/>
          </cell>
          <cell r="ES402" t="str">
            <v/>
          </cell>
          <cell r="ET402" t="str">
            <v/>
          </cell>
        </row>
        <row r="403">
          <cell r="DO403">
            <v>324</v>
          </cell>
          <cell r="DP403" t="str">
            <v/>
          </cell>
          <cell r="DQ403" t="str">
            <v/>
          </cell>
          <cell r="DR403" t="str">
            <v/>
          </cell>
          <cell r="DS403" t="str">
            <v/>
          </cell>
          <cell r="DT403" t="str">
            <v/>
          </cell>
          <cell r="DU403" t="str">
            <v/>
          </cell>
          <cell r="DV403" t="str">
            <v/>
          </cell>
          <cell r="DW403" t="str">
            <v/>
          </cell>
          <cell r="DX403" t="str">
            <v/>
          </cell>
          <cell r="DY403" t="str">
            <v/>
          </cell>
          <cell r="DZ403" t="str">
            <v/>
          </cell>
          <cell r="EA403" t="str">
            <v/>
          </cell>
          <cell r="EB403" t="str">
            <v/>
          </cell>
          <cell r="EC403" t="str">
            <v/>
          </cell>
          <cell r="ED403" t="str">
            <v/>
          </cell>
          <cell r="EE403" t="str">
            <v/>
          </cell>
          <cell r="EF403" t="str">
            <v/>
          </cell>
          <cell r="EH403" t="str">
            <v/>
          </cell>
          <cell r="EI403" t="str">
            <v/>
          </cell>
          <cell r="EJ403" t="str">
            <v/>
          </cell>
          <cell r="EL403" t="str">
            <v/>
          </cell>
          <cell r="EM403" t="str">
            <v/>
          </cell>
          <cell r="EN403" t="str">
            <v/>
          </cell>
          <cell r="EO403" t="str">
            <v/>
          </cell>
          <cell r="EP403" t="str">
            <v/>
          </cell>
          <cell r="EQ403" t="str">
            <v/>
          </cell>
          <cell r="ER403" t="str">
            <v/>
          </cell>
          <cell r="ES403" t="str">
            <v/>
          </cell>
          <cell r="ET403" t="str">
            <v/>
          </cell>
        </row>
        <row r="404">
          <cell r="DO404">
            <v>325</v>
          </cell>
          <cell r="DP404" t="str">
            <v/>
          </cell>
          <cell r="DQ404" t="str">
            <v/>
          </cell>
          <cell r="DR404" t="str">
            <v/>
          </cell>
          <cell r="DS404" t="str">
            <v/>
          </cell>
          <cell r="DT404" t="str">
            <v/>
          </cell>
          <cell r="DU404" t="str">
            <v/>
          </cell>
          <cell r="DV404" t="str">
            <v/>
          </cell>
          <cell r="DW404" t="str">
            <v/>
          </cell>
          <cell r="DX404" t="str">
            <v/>
          </cell>
          <cell r="DY404" t="str">
            <v/>
          </cell>
          <cell r="DZ404" t="str">
            <v/>
          </cell>
          <cell r="EA404" t="str">
            <v/>
          </cell>
          <cell r="EB404" t="str">
            <v/>
          </cell>
          <cell r="EC404" t="str">
            <v/>
          </cell>
          <cell r="ED404" t="str">
            <v/>
          </cell>
          <cell r="EE404" t="str">
            <v/>
          </cell>
          <cell r="EF404" t="str">
            <v/>
          </cell>
          <cell r="EH404" t="str">
            <v/>
          </cell>
          <cell r="EI404" t="str">
            <v/>
          </cell>
          <cell r="EJ404" t="str">
            <v/>
          </cell>
          <cell r="EL404" t="str">
            <v/>
          </cell>
          <cell r="EM404" t="str">
            <v/>
          </cell>
          <cell r="EN404" t="str">
            <v/>
          </cell>
          <cell r="EO404" t="str">
            <v/>
          </cell>
          <cell r="EP404" t="str">
            <v/>
          </cell>
          <cell r="EQ404" t="str">
            <v/>
          </cell>
          <cell r="ER404" t="str">
            <v/>
          </cell>
          <cell r="ES404" t="str">
            <v/>
          </cell>
          <cell r="ET404" t="str">
            <v/>
          </cell>
        </row>
        <row r="405">
          <cell r="DO405">
            <v>326</v>
          </cell>
          <cell r="DP405" t="str">
            <v/>
          </cell>
          <cell r="DQ405" t="str">
            <v/>
          </cell>
          <cell r="DR405" t="str">
            <v/>
          </cell>
          <cell r="DS405" t="str">
            <v/>
          </cell>
          <cell r="DT405" t="str">
            <v/>
          </cell>
          <cell r="DU405" t="str">
            <v/>
          </cell>
          <cell r="DV405" t="str">
            <v/>
          </cell>
          <cell r="DW405" t="str">
            <v/>
          </cell>
          <cell r="DX405" t="str">
            <v/>
          </cell>
          <cell r="DY405" t="str">
            <v/>
          </cell>
          <cell r="DZ405" t="str">
            <v/>
          </cell>
          <cell r="EA405" t="str">
            <v/>
          </cell>
          <cell r="EB405" t="str">
            <v/>
          </cell>
          <cell r="EC405" t="str">
            <v/>
          </cell>
          <cell r="ED405" t="str">
            <v/>
          </cell>
          <cell r="EE405" t="str">
            <v/>
          </cell>
          <cell r="EF405" t="str">
            <v/>
          </cell>
          <cell r="EH405" t="str">
            <v/>
          </cell>
          <cell r="EI405" t="str">
            <v/>
          </cell>
          <cell r="EJ405" t="str">
            <v/>
          </cell>
          <cell r="EL405" t="str">
            <v/>
          </cell>
          <cell r="EM405" t="str">
            <v/>
          </cell>
          <cell r="EN405" t="str">
            <v/>
          </cell>
          <cell r="EO405" t="str">
            <v/>
          </cell>
          <cell r="EP405" t="str">
            <v/>
          </cell>
          <cell r="EQ405" t="str">
            <v/>
          </cell>
          <cell r="ER405" t="str">
            <v/>
          </cell>
          <cell r="ES405" t="str">
            <v/>
          </cell>
          <cell r="ET405" t="str">
            <v/>
          </cell>
        </row>
        <row r="406">
          <cell r="DO406">
            <v>327</v>
          </cell>
          <cell r="DP406" t="str">
            <v/>
          </cell>
          <cell r="DQ406" t="str">
            <v/>
          </cell>
          <cell r="DR406" t="str">
            <v/>
          </cell>
          <cell r="DS406" t="str">
            <v/>
          </cell>
          <cell r="DT406" t="str">
            <v/>
          </cell>
          <cell r="DU406" t="str">
            <v/>
          </cell>
          <cell r="DV406" t="str">
            <v/>
          </cell>
          <cell r="DW406" t="str">
            <v/>
          </cell>
          <cell r="DX406" t="str">
            <v/>
          </cell>
          <cell r="DY406" t="str">
            <v/>
          </cell>
          <cell r="DZ406" t="str">
            <v/>
          </cell>
          <cell r="EA406" t="str">
            <v/>
          </cell>
          <cell r="EB406" t="str">
            <v/>
          </cell>
          <cell r="EC406" t="str">
            <v/>
          </cell>
          <cell r="ED406" t="str">
            <v/>
          </cell>
          <cell r="EE406" t="str">
            <v/>
          </cell>
          <cell r="EF406" t="str">
            <v/>
          </cell>
          <cell r="EH406" t="str">
            <v/>
          </cell>
          <cell r="EI406" t="str">
            <v/>
          </cell>
          <cell r="EJ406" t="str">
            <v/>
          </cell>
          <cell r="EL406" t="str">
            <v/>
          </cell>
          <cell r="EM406" t="str">
            <v/>
          </cell>
          <cell r="EN406" t="str">
            <v/>
          </cell>
          <cell r="EO406" t="str">
            <v/>
          </cell>
          <cell r="EP406" t="str">
            <v/>
          </cell>
          <cell r="EQ406" t="str">
            <v/>
          </cell>
          <cell r="ER406" t="str">
            <v/>
          </cell>
          <cell r="ES406" t="str">
            <v/>
          </cell>
          <cell r="ET406" t="str">
            <v/>
          </cell>
        </row>
        <row r="407">
          <cell r="DO407">
            <v>328</v>
          </cell>
          <cell r="DP407" t="str">
            <v/>
          </cell>
          <cell r="DQ407" t="str">
            <v/>
          </cell>
          <cell r="DR407" t="str">
            <v/>
          </cell>
          <cell r="DS407" t="str">
            <v/>
          </cell>
          <cell r="DT407" t="str">
            <v/>
          </cell>
          <cell r="DU407" t="str">
            <v/>
          </cell>
          <cell r="DV407" t="str">
            <v/>
          </cell>
          <cell r="DW407" t="str">
            <v/>
          </cell>
          <cell r="DX407" t="str">
            <v/>
          </cell>
          <cell r="DY407" t="str">
            <v/>
          </cell>
          <cell r="DZ407" t="str">
            <v/>
          </cell>
          <cell r="EA407" t="str">
            <v/>
          </cell>
          <cell r="EB407" t="str">
            <v/>
          </cell>
          <cell r="EC407" t="str">
            <v/>
          </cell>
          <cell r="ED407" t="str">
            <v/>
          </cell>
          <cell r="EE407" t="str">
            <v/>
          </cell>
          <cell r="EF407" t="str">
            <v/>
          </cell>
          <cell r="EH407" t="str">
            <v/>
          </cell>
          <cell r="EI407" t="str">
            <v/>
          </cell>
          <cell r="EJ407" t="str">
            <v/>
          </cell>
          <cell r="EL407" t="str">
            <v/>
          </cell>
          <cell r="EM407" t="str">
            <v/>
          </cell>
          <cell r="EN407" t="str">
            <v/>
          </cell>
          <cell r="EO407" t="str">
            <v/>
          </cell>
          <cell r="EP407" t="str">
            <v/>
          </cell>
          <cell r="EQ407" t="str">
            <v/>
          </cell>
          <cell r="ER407" t="str">
            <v/>
          </cell>
          <cell r="ES407" t="str">
            <v/>
          </cell>
          <cell r="ET407" t="str">
            <v/>
          </cell>
        </row>
        <row r="408">
          <cell r="DO408">
            <v>329</v>
          </cell>
          <cell r="DP408" t="str">
            <v/>
          </cell>
          <cell r="DQ408" t="str">
            <v/>
          </cell>
          <cell r="DR408" t="str">
            <v/>
          </cell>
          <cell r="DS408" t="str">
            <v/>
          </cell>
          <cell r="DT408" t="str">
            <v/>
          </cell>
          <cell r="DU408" t="str">
            <v/>
          </cell>
          <cell r="DV408" t="str">
            <v/>
          </cell>
          <cell r="DW408" t="str">
            <v/>
          </cell>
          <cell r="DX408" t="str">
            <v/>
          </cell>
          <cell r="DY408" t="str">
            <v/>
          </cell>
          <cell r="DZ408" t="str">
            <v/>
          </cell>
          <cell r="EA408" t="str">
            <v/>
          </cell>
          <cell r="EB408" t="str">
            <v/>
          </cell>
          <cell r="EC408" t="str">
            <v/>
          </cell>
          <cell r="ED408" t="str">
            <v/>
          </cell>
          <cell r="EE408" t="str">
            <v/>
          </cell>
          <cell r="EF408" t="str">
            <v/>
          </cell>
          <cell r="EH408" t="str">
            <v/>
          </cell>
          <cell r="EI408" t="str">
            <v/>
          </cell>
          <cell r="EJ408" t="str">
            <v/>
          </cell>
          <cell r="EL408" t="str">
            <v/>
          </cell>
          <cell r="EM408" t="str">
            <v/>
          </cell>
          <cell r="EN408" t="str">
            <v/>
          </cell>
          <cell r="EO408" t="str">
            <v/>
          </cell>
          <cell r="EP408" t="str">
            <v/>
          </cell>
          <cell r="EQ408" t="str">
            <v/>
          </cell>
          <cell r="ER408" t="str">
            <v/>
          </cell>
          <cell r="ES408" t="str">
            <v/>
          </cell>
          <cell r="ET408" t="str">
            <v/>
          </cell>
        </row>
        <row r="409">
          <cell r="DO409">
            <v>330</v>
          </cell>
          <cell r="DP409" t="str">
            <v/>
          </cell>
          <cell r="DQ409" t="str">
            <v/>
          </cell>
          <cell r="DR409" t="str">
            <v/>
          </cell>
          <cell r="DS409" t="str">
            <v/>
          </cell>
          <cell r="DT409" t="str">
            <v/>
          </cell>
          <cell r="DU409" t="str">
            <v/>
          </cell>
          <cell r="DV409" t="str">
            <v/>
          </cell>
          <cell r="DW409" t="str">
            <v/>
          </cell>
          <cell r="DX409" t="str">
            <v/>
          </cell>
          <cell r="DY409" t="str">
            <v/>
          </cell>
          <cell r="DZ409" t="str">
            <v/>
          </cell>
          <cell r="EA409" t="str">
            <v/>
          </cell>
          <cell r="EB409" t="str">
            <v/>
          </cell>
          <cell r="EC409" t="str">
            <v/>
          </cell>
          <cell r="ED409" t="str">
            <v/>
          </cell>
          <cell r="EE409" t="str">
            <v/>
          </cell>
          <cell r="EF409" t="str">
            <v/>
          </cell>
          <cell r="EH409" t="str">
            <v/>
          </cell>
          <cell r="EI409" t="str">
            <v/>
          </cell>
          <cell r="EJ409" t="str">
            <v/>
          </cell>
          <cell r="EL409" t="str">
            <v/>
          </cell>
          <cell r="EM409" t="str">
            <v/>
          </cell>
          <cell r="EN409" t="str">
            <v/>
          </cell>
          <cell r="EO409" t="str">
            <v/>
          </cell>
          <cell r="EP409" t="str">
            <v/>
          </cell>
          <cell r="EQ409" t="str">
            <v/>
          </cell>
          <cell r="ER409" t="str">
            <v/>
          </cell>
          <cell r="ES409" t="str">
            <v/>
          </cell>
          <cell r="ET409" t="str">
            <v/>
          </cell>
        </row>
        <row r="410">
          <cell r="DO410">
            <v>331</v>
          </cell>
          <cell r="DP410" t="str">
            <v/>
          </cell>
          <cell r="DQ410" t="str">
            <v/>
          </cell>
          <cell r="DR410" t="str">
            <v/>
          </cell>
          <cell r="DS410" t="str">
            <v/>
          </cell>
          <cell r="DT410" t="str">
            <v/>
          </cell>
          <cell r="DU410" t="str">
            <v/>
          </cell>
          <cell r="DV410" t="str">
            <v/>
          </cell>
          <cell r="DW410" t="str">
            <v/>
          </cell>
          <cell r="DX410" t="str">
            <v/>
          </cell>
          <cell r="DY410" t="str">
            <v/>
          </cell>
          <cell r="DZ410" t="str">
            <v/>
          </cell>
          <cell r="EA410" t="str">
            <v/>
          </cell>
          <cell r="EB410" t="str">
            <v/>
          </cell>
          <cell r="EC410" t="str">
            <v/>
          </cell>
          <cell r="ED410" t="str">
            <v/>
          </cell>
          <cell r="EE410" t="str">
            <v/>
          </cell>
          <cell r="EF410" t="str">
            <v/>
          </cell>
          <cell r="EH410" t="str">
            <v/>
          </cell>
          <cell r="EI410" t="str">
            <v/>
          </cell>
          <cell r="EJ410" t="str">
            <v/>
          </cell>
          <cell r="EL410" t="str">
            <v/>
          </cell>
          <cell r="EM410" t="str">
            <v/>
          </cell>
          <cell r="EN410" t="str">
            <v/>
          </cell>
          <cell r="EO410" t="str">
            <v/>
          </cell>
          <cell r="EP410" t="str">
            <v/>
          </cell>
          <cell r="EQ410" t="str">
            <v/>
          </cell>
          <cell r="ER410" t="str">
            <v/>
          </cell>
          <cell r="ES410" t="str">
            <v/>
          </cell>
          <cell r="ET410" t="str">
            <v/>
          </cell>
        </row>
        <row r="411">
          <cell r="DO411">
            <v>332</v>
          </cell>
          <cell r="DP411" t="str">
            <v/>
          </cell>
          <cell r="DQ411" t="str">
            <v/>
          </cell>
          <cell r="DR411" t="str">
            <v/>
          </cell>
          <cell r="DS411" t="str">
            <v/>
          </cell>
          <cell r="DT411" t="str">
            <v/>
          </cell>
          <cell r="DU411" t="str">
            <v/>
          </cell>
          <cell r="DV411" t="str">
            <v/>
          </cell>
          <cell r="DW411" t="str">
            <v/>
          </cell>
          <cell r="DX411" t="str">
            <v/>
          </cell>
          <cell r="DY411" t="str">
            <v/>
          </cell>
          <cell r="DZ411" t="str">
            <v/>
          </cell>
          <cell r="EA411" t="str">
            <v/>
          </cell>
          <cell r="EB411" t="str">
            <v/>
          </cell>
          <cell r="EC411" t="str">
            <v/>
          </cell>
          <cell r="ED411" t="str">
            <v/>
          </cell>
          <cell r="EE411" t="str">
            <v/>
          </cell>
          <cell r="EF411" t="str">
            <v/>
          </cell>
          <cell r="EH411" t="str">
            <v/>
          </cell>
          <cell r="EI411" t="str">
            <v/>
          </cell>
          <cell r="EJ411" t="str">
            <v/>
          </cell>
          <cell r="EL411" t="str">
            <v/>
          </cell>
          <cell r="EM411" t="str">
            <v/>
          </cell>
          <cell r="EN411" t="str">
            <v/>
          </cell>
          <cell r="EO411" t="str">
            <v/>
          </cell>
          <cell r="EP411" t="str">
            <v/>
          </cell>
          <cell r="EQ411" t="str">
            <v/>
          </cell>
          <cell r="ER411" t="str">
            <v/>
          </cell>
          <cell r="ES411" t="str">
            <v/>
          </cell>
          <cell r="ET411" t="str">
            <v/>
          </cell>
        </row>
        <row r="412">
          <cell r="DO412">
            <v>333</v>
          </cell>
          <cell r="DP412" t="str">
            <v/>
          </cell>
          <cell r="DQ412" t="str">
            <v/>
          </cell>
          <cell r="DR412" t="str">
            <v/>
          </cell>
          <cell r="DS412" t="str">
            <v/>
          </cell>
          <cell r="DT412" t="str">
            <v/>
          </cell>
          <cell r="DU412" t="str">
            <v/>
          </cell>
          <cell r="DV412" t="str">
            <v/>
          </cell>
          <cell r="DW412" t="str">
            <v/>
          </cell>
          <cell r="DX412" t="str">
            <v/>
          </cell>
          <cell r="DY412" t="str">
            <v/>
          </cell>
          <cell r="DZ412" t="str">
            <v/>
          </cell>
          <cell r="EA412" t="str">
            <v/>
          </cell>
          <cell r="EB412" t="str">
            <v/>
          </cell>
          <cell r="EC412" t="str">
            <v/>
          </cell>
          <cell r="ED412" t="str">
            <v/>
          </cell>
          <cell r="EE412" t="str">
            <v/>
          </cell>
          <cell r="EF412" t="str">
            <v/>
          </cell>
          <cell r="EH412" t="str">
            <v/>
          </cell>
          <cell r="EI412" t="str">
            <v/>
          </cell>
          <cell r="EJ412" t="str">
            <v/>
          </cell>
          <cell r="EL412" t="str">
            <v/>
          </cell>
          <cell r="EM412" t="str">
            <v/>
          </cell>
          <cell r="EN412" t="str">
            <v/>
          </cell>
          <cell r="EO412" t="str">
            <v/>
          </cell>
          <cell r="EP412" t="str">
            <v/>
          </cell>
          <cell r="EQ412" t="str">
            <v/>
          </cell>
          <cell r="ER412" t="str">
            <v/>
          </cell>
          <cell r="ES412" t="str">
            <v/>
          </cell>
          <cell r="ET412" t="str">
            <v/>
          </cell>
        </row>
        <row r="413">
          <cell r="DO413">
            <v>334</v>
          </cell>
          <cell r="DP413" t="str">
            <v/>
          </cell>
          <cell r="DQ413" t="str">
            <v/>
          </cell>
          <cell r="DR413" t="str">
            <v/>
          </cell>
          <cell r="DS413" t="str">
            <v/>
          </cell>
          <cell r="DT413" t="str">
            <v/>
          </cell>
          <cell r="DU413" t="str">
            <v/>
          </cell>
          <cell r="DV413" t="str">
            <v/>
          </cell>
          <cell r="DW413" t="str">
            <v/>
          </cell>
          <cell r="DX413" t="str">
            <v/>
          </cell>
          <cell r="DY413" t="str">
            <v/>
          </cell>
          <cell r="DZ413" t="str">
            <v/>
          </cell>
          <cell r="EA413" t="str">
            <v/>
          </cell>
          <cell r="EB413" t="str">
            <v/>
          </cell>
          <cell r="EC413" t="str">
            <v/>
          </cell>
          <cell r="ED413" t="str">
            <v/>
          </cell>
          <cell r="EE413" t="str">
            <v/>
          </cell>
          <cell r="EF413" t="str">
            <v/>
          </cell>
          <cell r="EH413" t="str">
            <v/>
          </cell>
          <cell r="EI413" t="str">
            <v/>
          </cell>
          <cell r="EJ413" t="str">
            <v/>
          </cell>
          <cell r="EL413" t="str">
            <v/>
          </cell>
          <cell r="EM413" t="str">
            <v/>
          </cell>
          <cell r="EN413" t="str">
            <v/>
          </cell>
          <cell r="EO413" t="str">
            <v/>
          </cell>
          <cell r="EP413" t="str">
            <v/>
          </cell>
          <cell r="EQ413" t="str">
            <v/>
          </cell>
          <cell r="ER413" t="str">
            <v/>
          </cell>
          <cell r="ES413" t="str">
            <v/>
          </cell>
          <cell r="ET413" t="str">
            <v/>
          </cell>
        </row>
        <row r="414">
          <cell r="DO414">
            <v>335</v>
          </cell>
          <cell r="DP414" t="str">
            <v/>
          </cell>
          <cell r="DQ414" t="str">
            <v/>
          </cell>
          <cell r="DR414" t="str">
            <v/>
          </cell>
          <cell r="DS414" t="str">
            <v/>
          </cell>
          <cell r="DT414" t="str">
            <v/>
          </cell>
          <cell r="DU414" t="str">
            <v/>
          </cell>
          <cell r="DV414" t="str">
            <v/>
          </cell>
          <cell r="DW414" t="str">
            <v/>
          </cell>
          <cell r="DX414" t="str">
            <v/>
          </cell>
          <cell r="DY414" t="str">
            <v/>
          </cell>
          <cell r="DZ414" t="str">
            <v/>
          </cell>
          <cell r="EA414" t="str">
            <v/>
          </cell>
          <cell r="EB414" t="str">
            <v/>
          </cell>
          <cell r="EC414" t="str">
            <v/>
          </cell>
          <cell r="ED414" t="str">
            <v/>
          </cell>
          <cell r="EE414" t="str">
            <v/>
          </cell>
          <cell r="EF414" t="str">
            <v/>
          </cell>
          <cell r="EH414" t="str">
            <v/>
          </cell>
          <cell r="EI414" t="str">
            <v/>
          </cell>
          <cell r="EJ414" t="str">
            <v/>
          </cell>
          <cell r="EL414" t="str">
            <v/>
          </cell>
          <cell r="EM414" t="str">
            <v/>
          </cell>
          <cell r="EN414" t="str">
            <v/>
          </cell>
          <cell r="EO414" t="str">
            <v/>
          </cell>
          <cell r="EP414" t="str">
            <v/>
          </cell>
          <cell r="EQ414" t="str">
            <v/>
          </cell>
          <cell r="ER414" t="str">
            <v/>
          </cell>
          <cell r="ES414" t="str">
            <v/>
          </cell>
          <cell r="ET414" t="str">
            <v/>
          </cell>
        </row>
        <row r="415">
          <cell r="DO415">
            <v>336</v>
          </cell>
          <cell r="DP415" t="str">
            <v/>
          </cell>
          <cell r="DQ415" t="str">
            <v/>
          </cell>
          <cell r="DR415" t="str">
            <v/>
          </cell>
          <cell r="DS415" t="str">
            <v/>
          </cell>
          <cell r="DT415" t="str">
            <v/>
          </cell>
          <cell r="DU415" t="str">
            <v/>
          </cell>
          <cell r="DV415" t="str">
            <v/>
          </cell>
          <cell r="DW415" t="str">
            <v/>
          </cell>
          <cell r="DX415" t="str">
            <v/>
          </cell>
          <cell r="DY415" t="str">
            <v/>
          </cell>
          <cell r="DZ415" t="str">
            <v/>
          </cell>
          <cell r="EA415" t="str">
            <v/>
          </cell>
          <cell r="EB415" t="str">
            <v/>
          </cell>
          <cell r="EC415" t="str">
            <v/>
          </cell>
          <cell r="ED415" t="str">
            <v/>
          </cell>
          <cell r="EE415" t="str">
            <v/>
          </cell>
          <cell r="EF415" t="str">
            <v/>
          </cell>
          <cell r="EH415" t="str">
            <v/>
          </cell>
          <cell r="EI415" t="str">
            <v/>
          </cell>
          <cell r="EJ415" t="str">
            <v/>
          </cell>
          <cell r="EL415" t="str">
            <v/>
          </cell>
          <cell r="EM415" t="str">
            <v/>
          </cell>
          <cell r="EN415" t="str">
            <v/>
          </cell>
          <cell r="EO415" t="str">
            <v/>
          </cell>
          <cell r="EP415" t="str">
            <v/>
          </cell>
          <cell r="EQ415" t="str">
            <v/>
          </cell>
          <cell r="ER415" t="str">
            <v/>
          </cell>
          <cell r="ES415" t="str">
            <v/>
          </cell>
          <cell r="ET415" t="str">
            <v/>
          </cell>
        </row>
        <row r="416">
          <cell r="DO416">
            <v>337</v>
          </cell>
          <cell r="DP416" t="str">
            <v/>
          </cell>
          <cell r="DQ416" t="str">
            <v/>
          </cell>
          <cell r="DR416" t="str">
            <v/>
          </cell>
          <cell r="DS416" t="str">
            <v/>
          </cell>
          <cell r="DT416" t="str">
            <v/>
          </cell>
          <cell r="DU416" t="str">
            <v/>
          </cell>
          <cell r="DV416" t="str">
            <v/>
          </cell>
          <cell r="DW416" t="str">
            <v/>
          </cell>
          <cell r="DX416" t="str">
            <v/>
          </cell>
          <cell r="DY416" t="str">
            <v/>
          </cell>
          <cell r="DZ416" t="str">
            <v/>
          </cell>
          <cell r="EA416" t="str">
            <v/>
          </cell>
          <cell r="EB416" t="str">
            <v/>
          </cell>
          <cell r="EC416" t="str">
            <v/>
          </cell>
          <cell r="ED416" t="str">
            <v/>
          </cell>
          <cell r="EE416" t="str">
            <v/>
          </cell>
          <cell r="EF416" t="str">
            <v/>
          </cell>
          <cell r="EH416" t="str">
            <v/>
          </cell>
          <cell r="EI416" t="str">
            <v/>
          </cell>
          <cell r="EJ416" t="str">
            <v/>
          </cell>
          <cell r="EL416" t="str">
            <v/>
          </cell>
          <cell r="EM416" t="str">
            <v/>
          </cell>
          <cell r="EN416" t="str">
            <v/>
          </cell>
          <cell r="EO416" t="str">
            <v/>
          </cell>
          <cell r="EP416" t="str">
            <v/>
          </cell>
          <cell r="EQ416" t="str">
            <v/>
          </cell>
          <cell r="ER416" t="str">
            <v/>
          </cell>
          <cell r="ES416" t="str">
            <v/>
          </cell>
          <cell r="ET416" t="str">
            <v/>
          </cell>
        </row>
        <row r="417">
          <cell r="DO417">
            <v>338</v>
          </cell>
          <cell r="DP417" t="str">
            <v/>
          </cell>
          <cell r="DQ417" t="str">
            <v/>
          </cell>
          <cell r="DR417" t="str">
            <v/>
          </cell>
          <cell r="DS417" t="str">
            <v/>
          </cell>
          <cell r="DT417" t="str">
            <v/>
          </cell>
          <cell r="DU417" t="str">
            <v/>
          </cell>
          <cell r="DV417" t="str">
            <v/>
          </cell>
          <cell r="DW417" t="str">
            <v/>
          </cell>
          <cell r="DX417" t="str">
            <v/>
          </cell>
          <cell r="DY417" t="str">
            <v/>
          </cell>
          <cell r="DZ417" t="str">
            <v/>
          </cell>
          <cell r="EA417" t="str">
            <v/>
          </cell>
          <cell r="EB417" t="str">
            <v/>
          </cell>
          <cell r="EC417" t="str">
            <v/>
          </cell>
          <cell r="ED417" t="str">
            <v/>
          </cell>
          <cell r="EE417" t="str">
            <v/>
          </cell>
          <cell r="EF417" t="str">
            <v/>
          </cell>
          <cell r="EH417" t="str">
            <v/>
          </cell>
          <cell r="EI417" t="str">
            <v/>
          </cell>
          <cell r="EJ417" t="str">
            <v/>
          </cell>
          <cell r="EL417" t="str">
            <v/>
          </cell>
          <cell r="EM417" t="str">
            <v/>
          </cell>
          <cell r="EN417" t="str">
            <v/>
          </cell>
          <cell r="EO417" t="str">
            <v/>
          </cell>
          <cell r="EP417" t="str">
            <v/>
          </cell>
          <cell r="EQ417" t="str">
            <v/>
          </cell>
          <cell r="ER417" t="str">
            <v/>
          </cell>
          <cell r="ES417" t="str">
            <v/>
          </cell>
          <cell r="ET417" t="str">
            <v/>
          </cell>
        </row>
        <row r="418">
          <cell r="DO418">
            <v>339</v>
          </cell>
          <cell r="DP418" t="str">
            <v/>
          </cell>
          <cell r="DQ418" t="str">
            <v/>
          </cell>
          <cell r="DR418" t="str">
            <v/>
          </cell>
          <cell r="DS418" t="str">
            <v/>
          </cell>
          <cell r="DT418" t="str">
            <v/>
          </cell>
          <cell r="DU418" t="str">
            <v/>
          </cell>
          <cell r="DV418" t="str">
            <v/>
          </cell>
          <cell r="DW418" t="str">
            <v/>
          </cell>
          <cell r="DX418" t="str">
            <v/>
          </cell>
          <cell r="DY418" t="str">
            <v/>
          </cell>
          <cell r="DZ418" t="str">
            <v/>
          </cell>
          <cell r="EA418" t="str">
            <v/>
          </cell>
          <cell r="EB418" t="str">
            <v/>
          </cell>
          <cell r="EC418" t="str">
            <v/>
          </cell>
          <cell r="ED418" t="str">
            <v/>
          </cell>
          <cell r="EE418" t="str">
            <v/>
          </cell>
          <cell r="EF418" t="str">
            <v/>
          </cell>
          <cell r="EH418" t="str">
            <v/>
          </cell>
          <cell r="EI418" t="str">
            <v/>
          </cell>
          <cell r="EJ418" t="str">
            <v/>
          </cell>
          <cell r="EL418" t="str">
            <v/>
          </cell>
          <cell r="EM418" t="str">
            <v/>
          </cell>
          <cell r="EN418" t="str">
            <v/>
          </cell>
          <cell r="EO418" t="str">
            <v/>
          </cell>
          <cell r="EP418" t="str">
            <v/>
          </cell>
          <cell r="EQ418" t="str">
            <v/>
          </cell>
          <cell r="ER418" t="str">
            <v/>
          </cell>
          <cell r="ES418" t="str">
            <v/>
          </cell>
          <cell r="ET418" t="str">
            <v/>
          </cell>
        </row>
        <row r="419">
          <cell r="DO419">
            <v>340</v>
          </cell>
          <cell r="DP419" t="str">
            <v/>
          </cell>
          <cell r="DQ419" t="str">
            <v/>
          </cell>
          <cell r="DR419" t="str">
            <v/>
          </cell>
          <cell r="DS419" t="str">
            <v/>
          </cell>
          <cell r="DT419" t="str">
            <v/>
          </cell>
          <cell r="DU419" t="str">
            <v/>
          </cell>
          <cell r="DV419" t="str">
            <v/>
          </cell>
          <cell r="DW419" t="str">
            <v/>
          </cell>
          <cell r="DX419" t="str">
            <v/>
          </cell>
          <cell r="DY419" t="str">
            <v/>
          </cell>
          <cell r="DZ419" t="str">
            <v/>
          </cell>
          <cell r="EA419" t="str">
            <v/>
          </cell>
          <cell r="EB419" t="str">
            <v/>
          </cell>
          <cell r="EC419" t="str">
            <v/>
          </cell>
          <cell r="ED419" t="str">
            <v/>
          </cell>
          <cell r="EE419" t="str">
            <v/>
          </cell>
          <cell r="EF419" t="str">
            <v/>
          </cell>
          <cell r="EH419" t="str">
            <v/>
          </cell>
          <cell r="EI419" t="str">
            <v/>
          </cell>
          <cell r="EJ419" t="str">
            <v/>
          </cell>
          <cell r="EL419" t="str">
            <v/>
          </cell>
          <cell r="EM419" t="str">
            <v/>
          </cell>
          <cell r="EN419" t="str">
            <v/>
          </cell>
          <cell r="EO419" t="str">
            <v/>
          </cell>
          <cell r="EP419" t="str">
            <v/>
          </cell>
          <cell r="EQ419" t="str">
            <v/>
          </cell>
          <cell r="ER419" t="str">
            <v/>
          </cell>
          <cell r="ES419" t="str">
            <v/>
          </cell>
          <cell r="ET419" t="str">
            <v/>
          </cell>
        </row>
        <row r="420">
          <cell r="DO420">
            <v>341</v>
          </cell>
          <cell r="DP420" t="str">
            <v/>
          </cell>
          <cell r="DQ420" t="str">
            <v/>
          </cell>
          <cell r="DR420" t="str">
            <v/>
          </cell>
          <cell r="DS420" t="str">
            <v/>
          </cell>
          <cell r="DT420" t="str">
            <v/>
          </cell>
          <cell r="DU420" t="str">
            <v/>
          </cell>
          <cell r="DV420" t="str">
            <v/>
          </cell>
          <cell r="DW420" t="str">
            <v/>
          </cell>
          <cell r="DX420" t="str">
            <v/>
          </cell>
          <cell r="DY420" t="str">
            <v/>
          </cell>
          <cell r="DZ420" t="str">
            <v/>
          </cell>
          <cell r="EA420" t="str">
            <v/>
          </cell>
          <cell r="EB420" t="str">
            <v/>
          </cell>
          <cell r="EC420" t="str">
            <v/>
          </cell>
          <cell r="ED420" t="str">
            <v/>
          </cell>
          <cell r="EE420" t="str">
            <v/>
          </cell>
          <cell r="EF420" t="str">
            <v/>
          </cell>
          <cell r="EH420" t="str">
            <v/>
          </cell>
          <cell r="EI420" t="str">
            <v/>
          </cell>
          <cell r="EJ420" t="str">
            <v/>
          </cell>
          <cell r="EL420" t="str">
            <v/>
          </cell>
          <cell r="EM420" t="str">
            <v/>
          </cell>
          <cell r="EN420" t="str">
            <v/>
          </cell>
          <cell r="EO420" t="str">
            <v/>
          </cell>
          <cell r="EP420" t="str">
            <v/>
          </cell>
          <cell r="EQ420" t="str">
            <v/>
          </cell>
          <cell r="ER420" t="str">
            <v/>
          </cell>
          <cell r="ES420" t="str">
            <v/>
          </cell>
          <cell r="ET420" t="str">
            <v/>
          </cell>
        </row>
        <row r="421">
          <cell r="DO421">
            <v>342</v>
          </cell>
          <cell r="DP421" t="str">
            <v/>
          </cell>
          <cell r="DQ421" t="str">
            <v/>
          </cell>
          <cell r="DR421" t="str">
            <v/>
          </cell>
          <cell r="DS421" t="str">
            <v/>
          </cell>
          <cell r="DT421" t="str">
            <v/>
          </cell>
          <cell r="DU421" t="str">
            <v/>
          </cell>
          <cell r="DV421" t="str">
            <v/>
          </cell>
          <cell r="DW421" t="str">
            <v/>
          </cell>
          <cell r="DX421" t="str">
            <v/>
          </cell>
          <cell r="DY421" t="str">
            <v/>
          </cell>
          <cell r="DZ421" t="str">
            <v/>
          </cell>
          <cell r="EA421" t="str">
            <v/>
          </cell>
          <cell r="EB421" t="str">
            <v/>
          </cell>
          <cell r="EC421" t="str">
            <v/>
          </cell>
          <cell r="ED421" t="str">
            <v/>
          </cell>
          <cell r="EE421" t="str">
            <v/>
          </cell>
          <cell r="EF421" t="str">
            <v/>
          </cell>
          <cell r="EH421" t="str">
            <v/>
          </cell>
          <cell r="EI421" t="str">
            <v/>
          </cell>
          <cell r="EJ421" t="str">
            <v/>
          </cell>
          <cell r="EL421" t="str">
            <v/>
          </cell>
          <cell r="EM421" t="str">
            <v/>
          </cell>
          <cell r="EN421" t="str">
            <v/>
          </cell>
          <cell r="EO421" t="str">
            <v/>
          </cell>
          <cell r="EP421" t="str">
            <v/>
          </cell>
          <cell r="EQ421" t="str">
            <v/>
          </cell>
          <cell r="ER421" t="str">
            <v/>
          </cell>
          <cell r="ES421" t="str">
            <v/>
          </cell>
          <cell r="ET421" t="str">
            <v/>
          </cell>
        </row>
        <row r="422">
          <cell r="DO422">
            <v>343</v>
          </cell>
          <cell r="DP422" t="str">
            <v/>
          </cell>
          <cell r="DQ422" t="str">
            <v/>
          </cell>
          <cell r="DR422" t="str">
            <v/>
          </cell>
          <cell r="DS422" t="str">
            <v/>
          </cell>
          <cell r="DT422" t="str">
            <v/>
          </cell>
          <cell r="DU422" t="str">
            <v/>
          </cell>
          <cell r="DV422" t="str">
            <v/>
          </cell>
          <cell r="DW422" t="str">
            <v/>
          </cell>
          <cell r="DX422" t="str">
            <v/>
          </cell>
          <cell r="DY422" t="str">
            <v/>
          </cell>
          <cell r="DZ422" t="str">
            <v/>
          </cell>
          <cell r="EA422" t="str">
            <v/>
          </cell>
          <cell r="EB422" t="str">
            <v/>
          </cell>
          <cell r="EC422" t="str">
            <v/>
          </cell>
          <cell r="ED422" t="str">
            <v/>
          </cell>
          <cell r="EE422" t="str">
            <v/>
          </cell>
          <cell r="EF422" t="str">
            <v/>
          </cell>
          <cell r="EH422" t="str">
            <v/>
          </cell>
          <cell r="EI422" t="str">
            <v/>
          </cell>
          <cell r="EJ422" t="str">
            <v/>
          </cell>
          <cell r="EL422" t="str">
            <v/>
          </cell>
          <cell r="EM422" t="str">
            <v/>
          </cell>
          <cell r="EN422" t="str">
            <v/>
          </cell>
          <cell r="EO422" t="str">
            <v/>
          </cell>
          <cell r="EP422" t="str">
            <v/>
          </cell>
          <cell r="EQ422" t="str">
            <v/>
          </cell>
          <cell r="ER422" t="str">
            <v/>
          </cell>
          <cell r="ES422" t="str">
            <v/>
          </cell>
          <cell r="ET422" t="str">
            <v/>
          </cell>
        </row>
        <row r="423">
          <cell r="DO423">
            <v>344</v>
          </cell>
          <cell r="DP423" t="str">
            <v/>
          </cell>
          <cell r="DQ423" t="str">
            <v/>
          </cell>
          <cell r="DR423" t="str">
            <v/>
          </cell>
          <cell r="DS423" t="str">
            <v/>
          </cell>
          <cell r="DT423" t="str">
            <v/>
          </cell>
          <cell r="DU423" t="str">
            <v/>
          </cell>
          <cell r="DV423" t="str">
            <v/>
          </cell>
          <cell r="DW423" t="str">
            <v/>
          </cell>
          <cell r="DX423" t="str">
            <v/>
          </cell>
          <cell r="DY423" t="str">
            <v/>
          </cell>
          <cell r="DZ423" t="str">
            <v/>
          </cell>
          <cell r="EA423" t="str">
            <v/>
          </cell>
          <cell r="EB423" t="str">
            <v/>
          </cell>
          <cell r="EC423" t="str">
            <v/>
          </cell>
          <cell r="ED423" t="str">
            <v/>
          </cell>
          <cell r="EE423" t="str">
            <v/>
          </cell>
          <cell r="EF423" t="str">
            <v/>
          </cell>
          <cell r="EH423" t="str">
            <v/>
          </cell>
          <cell r="EI423" t="str">
            <v/>
          </cell>
          <cell r="EJ423" t="str">
            <v/>
          </cell>
          <cell r="EL423" t="str">
            <v/>
          </cell>
          <cell r="EM423" t="str">
            <v/>
          </cell>
          <cell r="EN423" t="str">
            <v/>
          </cell>
          <cell r="EO423" t="str">
            <v/>
          </cell>
          <cell r="EP423" t="str">
            <v/>
          </cell>
          <cell r="EQ423" t="str">
            <v/>
          </cell>
          <cell r="ER423" t="str">
            <v/>
          </cell>
          <cell r="ES423" t="str">
            <v/>
          </cell>
          <cell r="ET423" t="str">
            <v/>
          </cell>
        </row>
        <row r="424">
          <cell r="DO424">
            <v>345</v>
          </cell>
          <cell r="DP424" t="str">
            <v/>
          </cell>
          <cell r="DQ424" t="str">
            <v/>
          </cell>
          <cell r="DR424" t="str">
            <v/>
          </cell>
          <cell r="DS424" t="str">
            <v/>
          </cell>
          <cell r="DT424" t="str">
            <v/>
          </cell>
          <cell r="DU424" t="str">
            <v/>
          </cell>
          <cell r="DV424" t="str">
            <v/>
          </cell>
          <cell r="DW424" t="str">
            <v/>
          </cell>
          <cell r="DX424" t="str">
            <v/>
          </cell>
          <cell r="DY424" t="str">
            <v/>
          </cell>
          <cell r="DZ424" t="str">
            <v/>
          </cell>
          <cell r="EA424" t="str">
            <v/>
          </cell>
          <cell r="EB424" t="str">
            <v/>
          </cell>
          <cell r="EC424" t="str">
            <v/>
          </cell>
          <cell r="ED424" t="str">
            <v/>
          </cell>
          <cell r="EE424" t="str">
            <v/>
          </cell>
          <cell r="EF424" t="str">
            <v/>
          </cell>
          <cell r="EH424" t="str">
            <v/>
          </cell>
          <cell r="EI424" t="str">
            <v/>
          </cell>
          <cell r="EJ424" t="str">
            <v/>
          </cell>
          <cell r="EL424" t="str">
            <v/>
          </cell>
          <cell r="EM424" t="str">
            <v/>
          </cell>
          <cell r="EN424" t="str">
            <v/>
          </cell>
          <cell r="EO424" t="str">
            <v/>
          </cell>
          <cell r="EP424" t="str">
            <v/>
          </cell>
          <cell r="EQ424" t="str">
            <v/>
          </cell>
          <cell r="ER424" t="str">
            <v/>
          </cell>
          <cell r="ES424" t="str">
            <v/>
          </cell>
          <cell r="ET424" t="str">
            <v/>
          </cell>
        </row>
        <row r="425">
          <cell r="DO425">
            <v>346</v>
          </cell>
          <cell r="DP425" t="str">
            <v/>
          </cell>
          <cell r="DQ425" t="str">
            <v/>
          </cell>
          <cell r="DR425" t="str">
            <v/>
          </cell>
          <cell r="DS425" t="str">
            <v/>
          </cell>
          <cell r="DT425" t="str">
            <v/>
          </cell>
          <cell r="DU425" t="str">
            <v/>
          </cell>
          <cell r="DV425" t="str">
            <v/>
          </cell>
          <cell r="DW425" t="str">
            <v/>
          </cell>
          <cell r="DX425" t="str">
            <v/>
          </cell>
          <cell r="DY425" t="str">
            <v/>
          </cell>
          <cell r="DZ425" t="str">
            <v/>
          </cell>
          <cell r="EA425" t="str">
            <v/>
          </cell>
          <cell r="EB425" t="str">
            <v/>
          </cell>
          <cell r="EC425" t="str">
            <v/>
          </cell>
          <cell r="ED425" t="str">
            <v/>
          </cell>
          <cell r="EE425" t="str">
            <v/>
          </cell>
          <cell r="EF425" t="str">
            <v/>
          </cell>
          <cell r="EH425" t="str">
            <v/>
          </cell>
          <cell r="EI425" t="str">
            <v/>
          </cell>
          <cell r="EJ425" t="str">
            <v/>
          </cell>
          <cell r="EL425" t="str">
            <v/>
          </cell>
          <cell r="EM425" t="str">
            <v/>
          </cell>
          <cell r="EN425" t="str">
            <v/>
          </cell>
          <cell r="EO425" t="str">
            <v/>
          </cell>
          <cell r="EP425" t="str">
            <v/>
          </cell>
          <cell r="EQ425" t="str">
            <v/>
          </cell>
          <cell r="ER425" t="str">
            <v/>
          </cell>
          <cell r="ES425" t="str">
            <v/>
          </cell>
          <cell r="ET425" t="str">
            <v/>
          </cell>
        </row>
        <row r="426">
          <cell r="DO426">
            <v>347</v>
          </cell>
          <cell r="DP426" t="str">
            <v/>
          </cell>
          <cell r="DQ426" t="str">
            <v/>
          </cell>
          <cell r="DR426" t="str">
            <v/>
          </cell>
          <cell r="DS426" t="str">
            <v/>
          </cell>
          <cell r="DT426" t="str">
            <v/>
          </cell>
          <cell r="DU426" t="str">
            <v/>
          </cell>
          <cell r="DV426" t="str">
            <v/>
          </cell>
          <cell r="DW426" t="str">
            <v/>
          </cell>
          <cell r="DX426" t="str">
            <v/>
          </cell>
          <cell r="DY426" t="str">
            <v/>
          </cell>
          <cell r="DZ426" t="str">
            <v/>
          </cell>
          <cell r="EA426" t="str">
            <v/>
          </cell>
          <cell r="EB426" t="str">
            <v/>
          </cell>
          <cell r="EC426" t="str">
            <v/>
          </cell>
          <cell r="ED426" t="str">
            <v/>
          </cell>
          <cell r="EE426" t="str">
            <v/>
          </cell>
          <cell r="EF426" t="str">
            <v/>
          </cell>
          <cell r="EH426" t="str">
            <v/>
          </cell>
          <cell r="EI426" t="str">
            <v/>
          </cell>
          <cell r="EJ426" t="str">
            <v/>
          </cell>
          <cell r="EL426" t="str">
            <v/>
          </cell>
          <cell r="EM426" t="str">
            <v/>
          </cell>
          <cell r="EN426" t="str">
            <v/>
          </cell>
          <cell r="EO426" t="str">
            <v/>
          </cell>
          <cell r="EP426" t="str">
            <v/>
          </cell>
          <cell r="EQ426" t="str">
            <v/>
          </cell>
          <cell r="ER426" t="str">
            <v/>
          </cell>
          <cell r="ES426" t="str">
            <v/>
          </cell>
          <cell r="ET426" t="str">
            <v/>
          </cell>
        </row>
        <row r="427">
          <cell r="DO427">
            <v>348</v>
          </cell>
          <cell r="DP427" t="str">
            <v/>
          </cell>
          <cell r="DQ427" t="str">
            <v/>
          </cell>
          <cell r="DR427" t="str">
            <v/>
          </cell>
          <cell r="DS427" t="str">
            <v/>
          </cell>
          <cell r="DT427" t="str">
            <v/>
          </cell>
          <cell r="DU427" t="str">
            <v/>
          </cell>
          <cell r="DV427" t="str">
            <v/>
          </cell>
          <cell r="DW427" t="str">
            <v/>
          </cell>
          <cell r="DX427" t="str">
            <v/>
          </cell>
          <cell r="DY427" t="str">
            <v/>
          </cell>
          <cell r="DZ427" t="str">
            <v/>
          </cell>
          <cell r="EA427" t="str">
            <v/>
          </cell>
          <cell r="EB427" t="str">
            <v/>
          </cell>
          <cell r="EC427" t="str">
            <v/>
          </cell>
          <cell r="ED427" t="str">
            <v/>
          </cell>
          <cell r="EE427" t="str">
            <v/>
          </cell>
          <cell r="EF427" t="str">
            <v/>
          </cell>
          <cell r="EH427" t="str">
            <v/>
          </cell>
          <cell r="EI427" t="str">
            <v/>
          </cell>
          <cell r="EJ427" t="str">
            <v/>
          </cell>
          <cell r="EL427" t="str">
            <v/>
          </cell>
          <cell r="EM427" t="str">
            <v/>
          </cell>
          <cell r="EN427" t="str">
            <v/>
          </cell>
          <cell r="EO427" t="str">
            <v/>
          </cell>
          <cell r="EP427" t="str">
            <v/>
          </cell>
          <cell r="EQ427" t="str">
            <v/>
          </cell>
          <cell r="ER427" t="str">
            <v/>
          </cell>
          <cell r="ES427" t="str">
            <v/>
          </cell>
          <cell r="ET427" t="str">
            <v/>
          </cell>
        </row>
        <row r="428">
          <cell r="DO428">
            <v>349</v>
          </cell>
          <cell r="DP428" t="str">
            <v/>
          </cell>
          <cell r="DQ428" t="str">
            <v/>
          </cell>
          <cell r="DR428" t="str">
            <v/>
          </cell>
          <cell r="DS428" t="str">
            <v/>
          </cell>
          <cell r="DT428" t="str">
            <v/>
          </cell>
          <cell r="DU428" t="str">
            <v/>
          </cell>
          <cell r="DV428" t="str">
            <v/>
          </cell>
          <cell r="DW428" t="str">
            <v/>
          </cell>
          <cell r="DX428" t="str">
            <v/>
          </cell>
          <cell r="DY428" t="str">
            <v/>
          </cell>
          <cell r="DZ428" t="str">
            <v/>
          </cell>
          <cell r="EA428" t="str">
            <v/>
          </cell>
          <cell r="EB428" t="str">
            <v/>
          </cell>
          <cell r="EC428" t="str">
            <v/>
          </cell>
          <cell r="ED428" t="str">
            <v/>
          </cell>
          <cell r="EE428" t="str">
            <v/>
          </cell>
          <cell r="EF428" t="str">
            <v/>
          </cell>
          <cell r="EH428" t="str">
            <v/>
          </cell>
          <cell r="EI428" t="str">
            <v/>
          </cell>
          <cell r="EJ428" t="str">
            <v/>
          </cell>
          <cell r="EL428" t="str">
            <v/>
          </cell>
          <cell r="EM428" t="str">
            <v/>
          </cell>
          <cell r="EN428" t="str">
            <v/>
          </cell>
          <cell r="EO428" t="str">
            <v/>
          </cell>
          <cell r="EP428" t="str">
            <v/>
          </cell>
          <cell r="EQ428" t="str">
            <v/>
          </cell>
          <cell r="ER428" t="str">
            <v/>
          </cell>
          <cell r="ES428" t="str">
            <v/>
          </cell>
          <cell r="ET428" t="str">
            <v/>
          </cell>
        </row>
        <row r="429">
          <cell r="DO429">
            <v>350</v>
          </cell>
          <cell r="DP429" t="str">
            <v/>
          </cell>
          <cell r="DQ429" t="str">
            <v/>
          </cell>
          <cell r="DR429" t="str">
            <v/>
          </cell>
          <cell r="DS429" t="str">
            <v/>
          </cell>
          <cell r="DT429" t="str">
            <v/>
          </cell>
          <cell r="DU429" t="str">
            <v/>
          </cell>
          <cell r="DV429" t="str">
            <v/>
          </cell>
          <cell r="DW429" t="str">
            <v/>
          </cell>
          <cell r="DX429" t="str">
            <v/>
          </cell>
          <cell r="DY429" t="str">
            <v/>
          </cell>
          <cell r="DZ429" t="str">
            <v/>
          </cell>
          <cell r="EA429" t="str">
            <v/>
          </cell>
          <cell r="EB429" t="str">
            <v/>
          </cell>
          <cell r="EC429" t="str">
            <v/>
          </cell>
          <cell r="ED429" t="str">
            <v/>
          </cell>
          <cell r="EE429" t="str">
            <v/>
          </cell>
          <cell r="EF429" t="str">
            <v/>
          </cell>
          <cell r="EH429" t="str">
            <v/>
          </cell>
          <cell r="EI429" t="str">
            <v/>
          </cell>
          <cell r="EJ429" t="str">
            <v/>
          </cell>
          <cell r="EL429" t="str">
            <v/>
          </cell>
          <cell r="EM429" t="str">
            <v/>
          </cell>
          <cell r="EN429" t="str">
            <v/>
          </cell>
          <cell r="EO429" t="str">
            <v/>
          </cell>
          <cell r="EP429" t="str">
            <v/>
          </cell>
          <cell r="EQ429" t="str">
            <v/>
          </cell>
          <cell r="ER429" t="str">
            <v/>
          </cell>
          <cell r="ES429" t="str">
            <v/>
          </cell>
          <cell r="ET429" t="str">
            <v/>
          </cell>
        </row>
        <row r="430">
          <cell r="DO430">
            <v>351</v>
          </cell>
          <cell r="DP430" t="str">
            <v/>
          </cell>
          <cell r="DQ430" t="str">
            <v/>
          </cell>
          <cell r="DR430" t="str">
            <v/>
          </cell>
          <cell r="DS430" t="str">
            <v/>
          </cell>
          <cell r="DT430" t="str">
            <v/>
          </cell>
          <cell r="DU430" t="str">
            <v/>
          </cell>
          <cell r="DV430" t="str">
            <v/>
          </cell>
          <cell r="DW430" t="str">
            <v/>
          </cell>
          <cell r="DX430" t="str">
            <v/>
          </cell>
          <cell r="DY430" t="str">
            <v/>
          </cell>
          <cell r="DZ430" t="str">
            <v/>
          </cell>
          <cell r="EA430" t="str">
            <v/>
          </cell>
          <cell r="EB430" t="str">
            <v/>
          </cell>
          <cell r="EC430" t="str">
            <v/>
          </cell>
          <cell r="ED430" t="str">
            <v/>
          </cell>
          <cell r="EE430" t="str">
            <v/>
          </cell>
          <cell r="EF430" t="str">
            <v/>
          </cell>
          <cell r="EH430" t="str">
            <v/>
          </cell>
          <cell r="EI430" t="str">
            <v/>
          </cell>
          <cell r="EJ430" t="str">
            <v/>
          </cell>
          <cell r="EL430" t="str">
            <v/>
          </cell>
          <cell r="EM430" t="str">
            <v/>
          </cell>
          <cell r="EN430" t="str">
            <v/>
          </cell>
          <cell r="EO430" t="str">
            <v/>
          </cell>
          <cell r="EP430" t="str">
            <v/>
          </cell>
          <cell r="EQ430" t="str">
            <v/>
          </cell>
          <cell r="ER430" t="str">
            <v/>
          </cell>
          <cell r="ES430" t="str">
            <v/>
          </cell>
          <cell r="ET430" t="str">
            <v/>
          </cell>
        </row>
        <row r="431">
          <cell r="DO431">
            <v>352</v>
          </cell>
          <cell r="DP431" t="str">
            <v/>
          </cell>
          <cell r="DQ431" t="str">
            <v/>
          </cell>
          <cell r="DR431" t="str">
            <v/>
          </cell>
          <cell r="DS431" t="str">
            <v/>
          </cell>
          <cell r="DT431" t="str">
            <v/>
          </cell>
          <cell r="DU431" t="str">
            <v/>
          </cell>
          <cell r="DV431" t="str">
            <v/>
          </cell>
          <cell r="DW431" t="str">
            <v/>
          </cell>
          <cell r="DX431" t="str">
            <v/>
          </cell>
          <cell r="DY431" t="str">
            <v/>
          </cell>
          <cell r="DZ431" t="str">
            <v/>
          </cell>
          <cell r="EA431" t="str">
            <v/>
          </cell>
          <cell r="EB431" t="str">
            <v/>
          </cell>
          <cell r="EC431" t="str">
            <v/>
          </cell>
          <cell r="ED431" t="str">
            <v/>
          </cell>
          <cell r="EE431" t="str">
            <v/>
          </cell>
          <cell r="EF431" t="str">
            <v/>
          </cell>
          <cell r="EH431" t="str">
            <v/>
          </cell>
          <cell r="EI431" t="str">
            <v/>
          </cell>
          <cell r="EJ431" t="str">
            <v/>
          </cell>
          <cell r="EL431" t="str">
            <v/>
          </cell>
          <cell r="EM431" t="str">
            <v/>
          </cell>
          <cell r="EN431" t="str">
            <v/>
          </cell>
          <cell r="EO431" t="str">
            <v/>
          </cell>
          <cell r="EP431" t="str">
            <v/>
          </cell>
          <cell r="EQ431" t="str">
            <v/>
          </cell>
          <cell r="ER431" t="str">
            <v/>
          </cell>
          <cell r="ES431" t="str">
            <v/>
          </cell>
          <cell r="ET431" t="str">
            <v/>
          </cell>
        </row>
        <row r="432">
          <cell r="DO432">
            <v>353</v>
          </cell>
          <cell r="DP432" t="str">
            <v/>
          </cell>
          <cell r="DQ432" t="str">
            <v/>
          </cell>
          <cell r="DR432" t="str">
            <v/>
          </cell>
          <cell r="DS432" t="str">
            <v/>
          </cell>
          <cell r="DT432" t="str">
            <v/>
          </cell>
          <cell r="DU432" t="str">
            <v/>
          </cell>
          <cell r="DV432" t="str">
            <v/>
          </cell>
          <cell r="DW432" t="str">
            <v/>
          </cell>
          <cell r="DX432" t="str">
            <v/>
          </cell>
          <cell r="DY432" t="str">
            <v/>
          </cell>
          <cell r="DZ432" t="str">
            <v/>
          </cell>
          <cell r="EA432" t="str">
            <v/>
          </cell>
          <cell r="EB432" t="str">
            <v/>
          </cell>
          <cell r="EC432" t="str">
            <v/>
          </cell>
          <cell r="ED432" t="str">
            <v/>
          </cell>
          <cell r="EE432" t="str">
            <v/>
          </cell>
          <cell r="EF432" t="str">
            <v/>
          </cell>
          <cell r="EH432" t="str">
            <v/>
          </cell>
          <cell r="EI432" t="str">
            <v/>
          </cell>
          <cell r="EJ432" t="str">
            <v/>
          </cell>
          <cell r="EL432" t="str">
            <v/>
          </cell>
          <cell r="EM432" t="str">
            <v/>
          </cell>
          <cell r="EN432" t="str">
            <v/>
          </cell>
          <cell r="EO432" t="str">
            <v/>
          </cell>
          <cell r="EP432" t="str">
            <v/>
          </cell>
          <cell r="EQ432" t="str">
            <v/>
          </cell>
          <cell r="ER432" t="str">
            <v/>
          </cell>
          <cell r="ES432" t="str">
            <v/>
          </cell>
          <cell r="ET432" t="str">
            <v/>
          </cell>
        </row>
        <row r="433">
          <cell r="DO433">
            <v>354</v>
          </cell>
          <cell r="DP433" t="str">
            <v/>
          </cell>
          <cell r="DQ433" t="str">
            <v/>
          </cell>
          <cell r="DR433" t="str">
            <v/>
          </cell>
          <cell r="DS433" t="str">
            <v/>
          </cell>
          <cell r="DT433" t="str">
            <v/>
          </cell>
          <cell r="DU433" t="str">
            <v/>
          </cell>
          <cell r="DV433" t="str">
            <v/>
          </cell>
          <cell r="DW433" t="str">
            <v/>
          </cell>
          <cell r="DX433" t="str">
            <v/>
          </cell>
          <cell r="DY433" t="str">
            <v/>
          </cell>
          <cell r="DZ433" t="str">
            <v/>
          </cell>
          <cell r="EA433" t="str">
            <v/>
          </cell>
          <cell r="EB433" t="str">
            <v/>
          </cell>
          <cell r="EC433" t="str">
            <v/>
          </cell>
          <cell r="ED433" t="str">
            <v/>
          </cell>
          <cell r="EE433" t="str">
            <v/>
          </cell>
          <cell r="EF433" t="str">
            <v/>
          </cell>
          <cell r="EH433" t="str">
            <v/>
          </cell>
          <cell r="EI433" t="str">
            <v/>
          </cell>
          <cell r="EJ433" t="str">
            <v/>
          </cell>
          <cell r="EL433" t="str">
            <v/>
          </cell>
          <cell r="EM433" t="str">
            <v/>
          </cell>
          <cell r="EN433" t="str">
            <v/>
          </cell>
          <cell r="EO433" t="str">
            <v/>
          </cell>
          <cell r="EP433" t="str">
            <v/>
          </cell>
          <cell r="EQ433" t="str">
            <v/>
          </cell>
          <cell r="ER433" t="str">
            <v/>
          </cell>
          <cell r="ES433" t="str">
            <v/>
          </cell>
          <cell r="ET433" t="str">
            <v/>
          </cell>
        </row>
        <row r="434">
          <cell r="DO434">
            <v>355</v>
          </cell>
          <cell r="DP434" t="str">
            <v/>
          </cell>
          <cell r="DQ434" t="str">
            <v/>
          </cell>
          <cell r="DR434" t="str">
            <v/>
          </cell>
          <cell r="DS434" t="str">
            <v/>
          </cell>
          <cell r="DT434" t="str">
            <v/>
          </cell>
          <cell r="DU434" t="str">
            <v/>
          </cell>
          <cell r="DV434" t="str">
            <v/>
          </cell>
          <cell r="DW434" t="str">
            <v/>
          </cell>
          <cell r="DX434" t="str">
            <v/>
          </cell>
          <cell r="DY434" t="str">
            <v/>
          </cell>
          <cell r="DZ434" t="str">
            <v/>
          </cell>
          <cell r="EA434" t="str">
            <v/>
          </cell>
          <cell r="EB434" t="str">
            <v/>
          </cell>
          <cell r="EC434" t="str">
            <v/>
          </cell>
          <cell r="ED434" t="str">
            <v/>
          </cell>
          <cell r="EE434" t="str">
            <v/>
          </cell>
          <cell r="EF434" t="str">
            <v/>
          </cell>
          <cell r="EH434" t="str">
            <v/>
          </cell>
          <cell r="EI434" t="str">
            <v/>
          </cell>
          <cell r="EJ434" t="str">
            <v/>
          </cell>
          <cell r="EL434" t="str">
            <v/>
          </cell>
          <cell r="EM434" t="str">
            <v/>
          </cell>
          <cell r="EN434" t="str">
            <v/>
          </cell>
          <cell r="EO434" t="str">
            <v/>
          </cell>
          <cell r="EP434" t="str">
            <v/>
          </cell>
          <cell r="EQ434" t="str">
            <v/>
          </cell>
          <cell r="ER434" t="str">
            <v/>
          </cell>
          <cell r="ES434" t="str">
            <v/>
          </cell>
          <cell r="ET434" t="str">
            <v/>
          </cell>
        </row>
        <row r="435">
          <cell r="DO435">
            <v>356</v>
          </cell>
          <cell r="DP435" t="str">
            <v/>
          </cell>
          <cell r="DQ435" t="str">
            <v/>
          </cell>
          <cell r="DR435" t="str">
            <v/>
          </cell>
          <cell r="DS435" t="str">
            <v/>
          </cell>
          <cell r="DT435" t="str">
            <v/>
          </cell>
          <cell r="DU435" t="str">
            <v/>
          </cell>
          <cell r="DV435" t="str">
            <v/>
          </cell>
          <cell r="DW435" t="str">
            <v/>
          </cell>
          <cell r="DX435" t="str">
            <v/>
          </cell>
          <cell r="DY435" t="str">
            <v/>
          </cell>
          <cell r="DZ435" t="str">
            <v/>
          </cell>
          <cell r="EA435" t="str">
            <v/>
          </cell>
          <cell r="EB435" t="str">
            <v/>
          </cell>
          <cell r="EC435" t="str">
            <v/>
          </cell>
          <cell r="ED435" t="str">
            <v/>
          </cell>
          <cell r="EE435" t="str">
            <v/>
          </cell>
          <cell r="EF435" t="str">
            <v/>
          </cell>
          <cell r="EH435" t="str">
            <v/>
          </cell>
          <cell r="EI435" t="str">
            <v/>
          </cell>
          <cell r="EJ435" t="str">
            <v/>
          </cell>
          <cell r="EL435" t="str">
            <v/>
          </cell>
          <cell r="EM435" t="str">
            <v/>
          </cell>
          <cell r="EN435" t="str">
            <v/>
          </cell>
          <cell r="EO435" t="str">
            <v/>
          </cell>
          <cell r="EP435" t="str">
            <v/>
          </cell>
          <cell r="EQ435" t="str">
            <v/>
          </cell>
          <cell r="ER435" t="str">
            <v/>
          </cell>
          <cell r="ES435" t="str">
            <v/>
          </cell>
          <cell r="ET435" t="str">
            <v/>
          </cell>
        </row>
        <row r="436">
          <cell r="DO436">
            <v>357</v>
          </cell>
          <cell r="DP436" t="str">
            <v/>
          </cell>
          <cell r="DQ436" t="str">
            <v/>
          </cell>
          <cell r="DR436" t="str">
            <v/>
          </cell>
          <cell r="DS436" t="str">
            <v/>
          </cell>
          <cell r="DT436" t="str">
            <v/>
          </cell>
          <cell r="DU436" t="str">
            <v/>
          </cell>
          <cell r="DV436" t="str">
            <v/>
          </cell>
          <cell r="DW436" t="str">
            <v/>
          </cell>
          <cell r="DX436" t="str">
            <v/>
          </cell>
          <cell r="DY436" t="str">
            <v/>
          </cell>
          <cell r="DZ436" t="str">
            <v/>
          </cell>
          <cell r="EA436" t="str">
            <v/>
          </cell>
          <cell r="EB436" t="str">
            <v/>
          </cell>
          <cell r="EC436" t="str">
            <v/>
          </cell>
          <cell r="ED436" t="str">
            <v/>
          </cell>
          <cell r="EE436" t="str">
            <v/>
          </cell>
          <cell r="EF436" t="str">
            <v/>
          </cell>
          <cell r="EH436" t="str">
            <v/>
          </cell>
          <cell r="EI436" t="str">
            <v/>
          </cell>
          <cell r="EJ436" t="str">
            <v/>
          </cell>
          <cell r="EL436" t="str">
            <v/>
          </cell>
          <cell r="EM436" t="str">
            <v/>
          </cell>
          <cell r="EN436" t="str">
            <v/>
          </cell>
          <cell r="EO436" t="str">
            <v/>
          </cell>
          <cell r="EP436" t="str">
            <v/>
          </cell>
          <cell r="EQ436" t="str">
            <v/>
          </cell>
          <cell r="ER436" t="str">
            <v/>
          </cell>
          <cell r="ES436" t="str">
            <v/>
          </cell>
          <cell r="ET436" t="str">
            <v/>
          </cell>
        </row>
        <row r="437">
          <cell r="DO437">
            <v>358</v>
          </cell>
          <cell r="DP437" t="str">
            <v/>
          </cell>
          <cell r="DQ437" t="str">
            <v/>
          </cell>
          <cell r="DR437" t="str">
            <v/>
          </cell>
          <cell r="DS437" t="str">
            <v/>
          </cell>
          <cell r="DT437" t="str">
            <v/>
          </cell>
          <cell r="DU437" t="str">
            <v/>
          </cell>
          <cell r="DV437" t="str">
            <v/>
          </cell>
          <cell r="DW437" t="str">
            <v/>
          </cell>
          <cell r="DX437" t="str">
            <v/>
          </cell>
          <cell r="DY437" t="str">
            <v/>
          </cell>
          <cell r="DZ437" t="str">
            <v/>
          </cell>
          <cell r="EA437" t="str">
            <v/>
          </cell>
          <cell r="EB437" t="str">
            <v/>
          </cell>
          <cell r="EC437" t="str">
            <v/>
          </cell>
          <cell r="ED437" t="str">
            <v/>
          </cell>
          <cell r="EE437" t="str">
            <v/>
          </cell>
          <cell r="EF437" t="str">
            <v/>
          </cell>
          <cell r="EH437" t="str">
            <v/>
          </cell>
          <cell r="EI437" t="str">
            <v/>
          </cell>
          <cell r="EJ437" t="str">
            <v/>
          </cell>
          <cell r="EL437" t="str">
            <v/>
          </cell>
          <cell r="EM437" t="str">
            <v/>
          </cell>
          <cell r="EN437" t="str">
            <v/>
          </cell>
          <cell r="EO437" t="str">
            <v/>
          </cell>
          <cell r="EP437" t="str">
            <v/>
          </cell>
          <cell r="EQ437" t="str">
            <v/>
          </cell>
          <cell r="ER437" t="str">
            <v/>
          </cell>
          <cell r="ES437" t="str">
            <v/>
          </cell>
          <cell r="ET437" t="str">
            <v/>
          </cell>
        </row>
        <row r="438">
          <cell r="DO438">
            <v>359</v>
          </cell>
          <cell r="DP438" t="str">
            <v/>
          </cell>
          <cell r="DQ438" t="str">
            <v/>
          </cell>
          <cell r="DR438" t="str">
            <v/>
          </cell>
          <cell r="DS438" t="str">
            <v/>
          </cell>
          <cell r="DT438" t="str">
            <v/>
          </cell>
          <cell r="DU438" t="str">
            <v/>
          </cell>
          <cell r="DV438" t="str">
            <v/>
          </cell>
          <cell r="DW438" t="str">
            <v/>
          </cell>
          <cell r="DX438" t="str">
            <v/>
          </cell>
          <cell r="DY438" t="str">
            <v/>
          </cell>
          <cell r="DZ438" t="str">
            <v/>
          </cell>
          <cell r="EA438" t="str">
            <v/>
          </cell>
          <cell r="EB438" t="str">
            <v/>
          </cell>
          <cell r="EC438" t="str">
            <v/>
          </cell>
          <cell r="ED438" t="str">
            <v/>
          </cell>
          <cell r="EE438" t="str">
            <v/>
          </cell>
          <cell r="EF438" t="str">
            <v/>
          </cell>
          <cell r="EH438" t="str">
            <v/>
          </cell>
          <cell r="EI438" t="str">
            <v/>
          </cell>
          <cell r="EJ438" t="str">
            <v/>
          </cell>
          <cell r="EL438" t="str">
            <v/>
          </cell>
          <cell r="EM438" t="str">
            <v/>
          </cell>
          <cell r="EN438" t="str">
            <v/>
          </cell>
          <cell r="EO438" t="str">
            <v/>
          </cell>
          <cell r="EP438" t="str">
            <v/>
          </cell>
          <cell r="EQ438" t="str">
            <v/>
          </cell>
          <cell r="ER438" t="str">
            <v/>
          </cell>
          <cell r="ES438" t="str">
            <v/>
          </cell>
          <cell r="ET438" t="str">
            <v/>
          </cell>
        </row>
        <row r="439">
          <cell r="DO439">
            <v>360</v>
          </cell>
          <cell r="DP439" t="str">
            <v/>
          </cell>
          <cell r="DQ439" t="str">
            <v/>
          </cell>
          <cell r="DR439" t="str">
            <v/>
          </cell>
          <cell r="DS439" t="str">
            <v/>
          </cell>
          <cell r="DT439" t="str">
            <v/>
          </cell>
          <cell r="DU439" t="str">
            <v/>
          </cell>
          <cell r="DV439" t="str">
            <v/>
          </cell>
          <cell r="DW439" t="str">
            <v/>
          </cell>
          <cell r="DX439" t="str">
            <v/>
          </cell>
          <cell r="DY439" t="str">
            <v/>
          </cell>
          <cell r="DZ439" t="str">
            <v/>
          </cell>
          <cell r="EA439" t="str">
            <v/>
          </cell>
          <cell r="EB439" t="str">
            <v/>
          </cell>
          <cell r="EC439" t="str">
            <v/>
          </cell>
          <cell r="ED439" t="str">
            <v/>
          </cell>
          <cell r="EE439" t="str">
            <v/>
          </cell>
          <cell r="EF439" t="str">
            <v/>
          </cell>
          <cell r="EH439" t="str">
            <v/>
          </cell>
          <cell r="EI439" t="str">
            <v/>
          </cell>
          <cell r="EJ439" t="str">
            <v/>
          </cell>
          <cell r="EL439" t="str">
            <v/>
          </cell>
          <cell r="EM439" t="str">
            <v/>
          </cell>
          <cell r="EN439" t="str">
            <v/>
          </cell>
          <cell r="EO439" t="str">
            <v/>
          </cell>
          <cell r="EP439" t="str">
            <v/>
          </cell>
          <cell r="EQ439" t="str">
            <v/>
          </cell>
          <cell r="ER439" t="str">
            <v/>
          </cell>
          <cell r="ES439" t="str">
            <v/>
          </cell>
          <cell r="ET439" t="str">
            <v/>
          </cell>
        </row>
        <row r="440">
          <cell r="DO440">
            <v>361</v>
          </cell>
          <cell r="DP440" t="str">
            <v/>
          </cell>
          <cell r="DQ440" t="str">
            <v/>
          </cell>
          <cell r="DR440" t="str">
            <v/>
          </cell>
          <cell r="DS440" t="str">
            <v/>
          </cell>
          <cell r="DT440" t="str">
            <v/>
          </cell>
          <cell r="DU440" t="str">
            <v/>
          </cell>
          <cell r="DV440" t="str">
            <v/>
          </cell>
          <cell r="DW440" t="str">
            <v/>
          </cell>
          <cell r="DX440" t="str">
            <v/>
          </cell>
          <cell r="DY440" t="str">
            <v/>
          </cell>
          <cell r="DZ440" t="str">
            <v/>
          </cell>
          <cell r="EA440" t="str">
            <v/>
          </cell>
          <cell r="EB440" t="str">
            <v/>
          </cell>
          <cell r="EC440" t="str">
            <v/>
          </cell>
          <cell r="ED440" t="str">
            <v/>
          </cell>
          <cell r="EE440" t="str">
            <v/>
          </cell>
          <cell r="EF440" t="str">
            <v/>
          </cell>
          <cell r="EH440" t="str">
            <v/>
          </cell>
          <cell r="EI440" t="str">
            <v/>
          </cell>
          <cell r="EJ440" t="str">
            <v/>
          </cell>
          <cell r="EL440" t="str">
            <v/>
          </cell>
          <cell r="EM440" t="str">
            <v/>
          </cell>
          <cell r="EN440" t="str">
            <v/>
          </cell>
          <cell r="EO440" t="str">
            <v/>
          </cell>
          <cell r="EP440" t="str">
            <v/>
          </cell>
          <cell r="EQ440" t="str">
            <v/>
          </cell>
          <cell r="ER440" t="str">
            <v/>
          </cell>
          <cell r="ES440" t="str">
            <v/>
          </cell>
          <cell r="ET440" t="str">
            <v/>
          </cell>
        </row>
        <row r="441">
          <cell r="DO441">
            <v>362</v>
          </cell>
          <cell r="DP441" t="str">
            <v/>
          </cell>
          <cell r="DQ441" t="str">
            <v/>
          </cell>
          <cell r="DR441" t="str">
            <v/>
          </cell>
          <cell r="DS441" t="str">
            <v/>
          </cell>
          <cell r="DT441" t="str">
            <v/>
          </cell>
          <cell r="DU441" t="str">
            <v/>
          </cell>
          <cell r="DV441" t="str">
            <v/>
          </cell>
          <cell r="DW441" t="str">
            <v/>
          </cell>
          <cell r="DX441" t="str">
            <v/>
          </cell>
          <cell r="DY441" t="str">
            <v/>
          </cell>
          <cell r="DZ441" t="str">
            <v/>
          </cell>
          <cell r="EA441" t="str">
            <v/>
          </cell>
          <cell r="EB441" t="str">
            <v/>
          </cell>
          <cell r="EC441" t="str">
            <v/>
          </cell>
          <cell r="ED441" t="str">
            <v/>
          </cell>
          <cell r="EE441" t="str">
            <v/>
          </cell>
          <cell r="EF441" t="str">
            <v/>
          </cell>
          <cell r="EH441" t="str">
            <v/>
          </cell>
          <cell r="EI441" t="str">
            <v/>
          </cell>
          <cell r="EJ441" t="str">
            <v/>
          </cell>
          <cell r="EL441" t="str">
            <v/>
          </cell>
          <cell r="EM441" t="str">
            <v/>
          </cell>
          <cell r="EN441" t="str">
            <v/>
          </cell>
          <cell r="EO441" t="str">
            <v/>
          </cell>
          <cell r="EP441" t="str">
            <v/>
          </cell>
          <cell r="EQ441" t="str">
            <v/>
          </cell>
          <cell r="ER441" t="str">
            <v/>
          </cell>
          <cell r="ES441" t="str">
            <v/>
          </cell>
          <cell r="ET441" t="str">
            <v/>
          </cell>
        </row>
        <row r="442">
          <cell r="DO442">
            <v>363</v>
          </cell>
          <cell r="DP442" t="str">
            <v/>
          </cell>
          <cell r="DQ442" t="str">
            <v/>
          </cell>
          <cell r="DR442" t="str">
            <v/>
          </cell>
          <cell r="DS442" t="str">
            <v/>
          </cell>
          <cell r="DT442" t="str">
            <v/>
          </cell>
          <cell r="DU442" t="str">
            <v/>
          </cell>
          <cell r="DV442" t="str">
            <v/>
          </cell>
          <cell r="DW442" t="str">
            <v/>
          </cell>
          <cell r="DX442" t="str">
            <v/>
          </cell>
          <cell r="DY442" t="str">
            <v/>
          </cell>
          <cell r="DZ442" t="str">
            <v/>
          </cell>
          <cell r="EA442" t="str">
            <v/>
          </cell>
          <cell r="EB442" t="str">
            <v/>
          </cell>
          <cell r="EC442" t="str">
            <v/>
          </cell>
          <cell r="ED442" t="str">
            <v/>
          </cell>
          <cell r="EE442" t="str">
            <v/>
          </cell>
          <cell r="EF442" t="str">
            <v/>
          </cell>
          <cell r="EH442" t="str">
            <v/>
          </cell>
          <cell r="EI442" t="str">
            <v/>
          </cell>
          <cell r="EJ442" t="str">
            <v/>
          </cell>
          <cell r="EL442" t="str">
            <v/>
          </cell>
          <cell r="EM442" t="str">
            <v/>
          </cell>
          <cell r="EN442" t="str">
            <v/>
          </cell>
          <cell r="EO442" t="str">
            <v/>
          </cell>
          <cell r="EP442" t="str">
            <v/>
          </cell>
          <cell r="EQ442" t="str">
            <v/>
          </cell>
          <cell r="ER442" t="str">
            <v/>
          </cell>
          <cell r="ES442" t="str">
            <v/>
          </cell>
          <cell r="ET442" t="str">
            <v/>
          </cell>
        </row>
        <row r="443">
          <cell r="DO443">
            <v>364</v>
          </cell>
          <cell r="DP443" t="str">
            <v/>
          </cell>
          <cell r="DQ443" t="str">
            <v/>
          </cell>
          <cell r="DR443" t="str">
            <v/>
          </cell>
          <cell r="DS443" t="str">
            <v/>
          </cell>
          <cell r="DT443" t="str">
            <v/>
          </cell>
          <cell r="DU443" t="str">
            <v/>
          </cell>
          <cell r="DV443" t="str">
            <v/>
          </cell>
          <cell r="DW443" t="str">
            <v/>
          </cell>
          <cell r="DX443" t="str">
            <v/>
          </cell>
          <cell r="DY443" t="str">
            <v/>
          </cell>
          <cell r="DZ443" t="str">
            <v/>
          </cell>
          <cell r="EA443" t="str">
            <v/>
          </cell>
          <cell r="EB443" t="str">
            <v/>
          </cell>
          <cell r="EC443" t="str">
            <v/>
          </cell>
          <cell r="ED443" t="str">
            <v/>
          </cell>
          <cell r="EE443" t="str">
            <v/>
          </cell>
          <cell r="EF443" t="str">
            <v/>
          </cell>
          <cell r="EH443" t="str">
            <v/>
          </cell>
          <cell r="EI443" t="str">
            <v/>
          </cell>
          <cell r="EJ443" t="str">
            <v/>
          </cell>
          <cell r="EL443" t="str">
            <v/>
          </cell>
          <cell r="EM443" t="str">
            <v/>
          </cell>
          <cell r="EN443" t="str">
            <v/>
          </cell>
          <cell r="EO443" t="str">
            <v/>
          </cell>
          <cell r="EP443" t="str">
            <v/>
          </cell>
          <cell r="EQ443" t="str">
            <v/>
          </cell>
          <cell r="ER443" t="str">
            <v/>
          </cell>
          <cell r="ES443" t="str">
            <v/>
          </cell>
          <cell r="ET443" t="str">
            <v/>
          </cell>
        </row>
        <row r="444">
          <cell r="DO444">
            <v>365</v>
          </cell>
          <cell r="DP444" t="str">
            <v/>
          </cell>
          <cell r="DQ444" t="str">
            <v/>
          </cell>
          <cell r="DR444" t="str">
            <v/>
          </cell>
          <cell r="DS444" t="str">
            <v/>
          </cell>
          <cell r="DT444" t="str">
            <v/>
          </cell>
          <cell r="DU444" t="str">
            <v/>
          </cell>
          <cell r="DV444" t="str">
            <v/>
          </cell>
          <cell r="DW444" t="str">
            <v/>
          </cell>
          <cell r="DX444" t="str">
            <v/>
          </cell>
          <cell r="DY444" t="str">
            <v/>
          </cell>
          <cell r="DZ444" t="str">
            <v/>
          </cell>
          <cell r="EA444" t="str">
            <v/>
          </cell>
          <cell r="EB444" t="str">
            <v/>
          </cell>
          <cell r="EC444" t="str">
            <v/>
          </cell>
          <cell r="ED444" t="str">
            <v/>
          </cell>
          <cell r="EE444" t="str">
            <v/>
          </cell>
          <cell r="EF444" t="str">
            <v/>
          </cell>
          <cell r="EH444" t="str">
            <v/>
          </cell>
          <cell r="EI444" t="str">
            <v/>
          </cell>
          <cell r="EJ444" t="str">
            <v/>
          </cell>
          <cell r="EL444" t="str">
            <v/>
          </cell>
          <cell r="EM444" t="str">
            <v/>
          </cell>
          <cell r="EN444" t="str">
            <v/>
          </cell>
          <cell r="EO444" t="str">
            <v/>
          </cell>
          <cell r="EP444" t="str">
            <v/>
          </cell>
          <cell r="EQ444" t="str">
            <v/>
          </cell>
          <cell r="ER444" t="str">
            <v/>
          </cell>
          <cell r="ES444" t="str">
            <v/>
          </cell>
          <cell r="ET444" t="str">
            <v/>
          </cell>
        </row>
        <row r="445">
          <cell r="DO445">
            <v>366</v>
          </cell>
          <cell r="DP445" t="str">
            <v/>
          </cell>
          <cell r="DQ445" t="str">
            <v/>
          </cell>
          <cell r="DR445" t="str">
            <v/>
          </cell>
          <cell r="DS445" t="str">
            <v/>
          </cell>
          <cell r="DT445" t="str">
            <v/>
          </cell>
          <cell r="DU445" t="str">
            <v/>
          </cell>
          <cell r="DV445" t="str">
            <v/>
          </cell>
          <cell r="DW445" t="str">
            <v/>
          </cell>
          <cell r="DX445" t="str">
            <v/>
          </cell>
          <cell r="DY445" t="str">
            <v/>
          </cell>
          <cell r="DZ445" t="str">
            <v/>
          </cell>
          <cell r="EA445" t="str">
            <v/>
          </cell>
          <cell r="EB445" t="str">
            <v/>
          </cell>
          <cell r="EC445" t="str">
            <v/>
          </cell>
          <cell r="ED445" t="str">
            <v/>
          </cell>
          <cell r="EE445" t="str">
            <v/>
          </cell>
          <cell r="EF445" t="str">
            <v/>
          </cell>
          <cell r="EH445" t="str">
            <v/>
          </cell>
          <cell r="EI445" t="str">
            <v/>
          </cell>
          <cell r="EJ445" t="str">
            <v/>
          </cell>
          <cell r="EL445" t="str">
            <v/>
          </cell>
          <cell r="EM445" t="str">
            <v/>
          </cell>
          <cell r="EN445" t="str">
            <v/>
          </cell>
          <cell r="EO445" t="str">
            <v/>
          </cell>
          <cell r="EP445" t="str">
            <v/>
          </cell>
          <cell r="EQ445" t="str">
            <v/>
          </cell>
          <cell r="ER445" t="str">
            <v/>
          </cell>
          <cell r="ES445" t="str">
            <v/>
          </cell>
          <cell r="ET445" t="str">
            <v/>
          </cell>
        </row>
        <row r="446">
          <cell r="DO446">
            <v>367</v>
          </cell>
          <cell r="DP446" t="str">
            <v/>
          </cell>
          <cell r="DQ446" t="str">
            <v/>
          </cell>
          <cell r="DR446" t="str">
            <v/>
          </cell>
          <cell r="DS446" t="str">
            <v/>
          </cell>
          <cell r="DT446" t="str">
            <v/>
          </cell>
          <cell r="DU446" t="str">
            <v/>
          </cell>
          <cell r="DV446" t="str">
            <v/>
          </cell>
          <cell r="DW446" t="str">
            <v/>
          </cell>
          <cell r="DX446" t="str">
            <v/>
          </cell>
          <cell r="DY446" t="str">
            <v/>
          </cell>
          <cell r="DZ446" t="str">
            <v/>
          </cell>
          <cell r="EA446" t="str">
            <v/>
          </cell>
          <cell r="EB446" t="str">
            <v/>
          </cell>
          <cell r="EC446" t="str">
            <v/>
          </cell>
          <cell r="ED446" t="str">
            <v/>
          </cell>
          <cell r="EE446" t="str">
            <v/>
          </cell>
          <cell r="EF446" t="str">
            <v/>
          </cell>
          <cell r="EH446" t="str">
            <v/>
          </cell>
          <cell r="EI446" t="str">
            <v/>
          </cell>
          <cell r="EJ446" t="str">
            <v/>
          </cell>
          <cell r="EL446" t="str">
            <v/>
          </cell>
          <cell r="EM446" t="str">
            <v/>
          </cell>
          <cell r="EN446" t="str">
            <v/>
          </cell>
          <cell r="EO446" t="str">
            <v/>
          </cell>
          <cell r="EP446" t="str">
            <v/>
          </cell>
          <cell r="EQ446" t="str">
            <v/>
          </cell>
          <cell r="ER446" t="str">
            <v/>
          </cell>
          <cell r="ES446" t="str">
            <v/>
          </cell>
          <cell r="ET446" t="str">
            <v/>
          </cell>
        </row>
        <row r="447">
          <cell r="DO447">
            <v>368</v>
          </cell>
          <cell r="DP447" t="str">
            <v/>
          </cell>
          <cell r="DQ447" t="str">
            <v/>
          </cell>
          <cell r="DR447" t="str">
            <v/>
          </cell>
          <cell r="DS447" t="str">
            <v/>
          </cell>
          <cell r="DT447" t="str">
            <v/>
          </cell>
          <cell r="DU447" t="str">
            <v/>
          </cell>
          <cell r="DV447" t="str">
            <v/>
          </cell>
          <cell r="DW447" t="str">
            <v/>
          </cell>
          <cell r="DX447" t="str">
            <v/>
          </cell>
          <cell r="DY447" t="str">
            <v/>
          </cell>
          <cell r="DZ447" t="str">
            <v/>
          </cell>
          <cell r="EA447" t="str">
            <v/>
          </cell>
          <cell r="EB447" t="str">
            <v/>
          </cell>
          <cell r="EC447" t="str">
            <v/>
          </cell>
          <cell r="ED447" t="str">
            <v/>
          </cell>
          <cell r="EE447" t="str">
            <v/>
          </cell>
          <cell r="EF447" t="str">
            <v/>
          </cell>
          <cell r="EH447" t="str">
            <v/>
          </cell>
          <cell r="EI447" t="str">
            <v/>
          </cell>
          <cell r="EJ447" t="str">
            <v/>
          </cell>
          <cell r="EL447" t="str">
            <v/>
          </cell>
          <cell r="EM447" t="str">
            <v/>
          </cell>
          <cell r="EN447" t="str">
            <v/>
          </cell>
          <cell r="EO447" t="str">
            <v/>
          </cell>
          <cell r="EP447" t="str">
            <v/>
          </cell>
          <cell r="EQ447" t="str">
            <v/>
          </cell>
          <cell r="ER447" t="str">
            <v/>
          </cell>
          <cell r="ES447" t="str">
            <v/>
          </cell>
          <cell r="ET447" t="str">
            <v/>
          </cell>
        </row>
        <row r="448">
          <cell r="DO448">
            <v>369</v>
          </cell>
          <cell r="DP448" t="str">
            <v/>
          </cell>
          <cell r="DQ448" t="str">
            <v/>
          </cell>
          <cell r="DR448" t="str">
            <v/>
          </cell>
          <cell r="DS448" t="str">
            <v/>
          </cell>
          <cell r="DT448" t="str">
            <v/>
          </cell>
          <cell r="DU448" t="str">
            <v/>
          </cell>
          <cell r="DV448" t="str">
            <v/>
          </cell>
          <cell r="DW448" t="str">
            <v/>
          </cell>
          <cell r="DX448" t="str">
            <v/>
          </cell>
          <cell r="DY448" t="str">
            <v/>
          </cell>
          <cell r="DZ448" t="str">
            <v/>
          </cell>
          <cell r="EA448" t="str">
            <v/>
          </cell>
          <cell r="EB448" t="str">
            <v/>
          </cell>
          <cell r="EC448" t="str">
            <v/>
          </cell>
          <cell r="ED448" t="str">
            <v/>
          </cell>
          <cell r="EE448" t="str">
            <v/>
          </cell>
          <cell r="EF448" t="str">
            <v/>
          </cell>
          <cell r="EH448" t="str">
            <v/>
          </cell>
          <cell r="EI448" t="str">
            <v/>
          </cell>
          <cell r="EJ448" t="str">
            <v/>
          </cell>
          <cell r="EL448" t="str">
            <v/>
          </cell>
          <cell r="EM448" t="str">
            <v/>
          </cell>
          <cell r="EN448" t="str">
            <v/>
          </cell>
          <cell r="EO448" t="str">
            <v/>
          </cell>
          <cell r="EP448" t="str">
            <v/>
          </cell>
          <cell r="EQ448" t="str">
            <v/>
          </cell>
          <cell r="ER448" t="str">
            <v/>
          </cell>
          <cell r="ES448" t="str">
            <v/>
          </cell>
          <cell r="ET448" t="str">
            <v/>
          </cell>
        </row>
        <row r="449">
          <cell r="DO449">
            <v>370</v>
          </cell>
          <cell r="DP449" t="str">
            <v/>
          </cell>
          <cell r="DQ449" t="str">
            <v/>
          </cell>
          <cell r="DR449" t="str">
            <v/>
          </cell>
          <cell r="DS449" t="str">
            <v/>
          </cell>
          <cell r="DT449" t="str">
            <v/>
          </cell>
          <cell r="DU449" t="str">
            <v/>
          </cell>
          <cell r="DV449" t="str">
            <v/>
          </cell>
          <cell r="DW449" t="str">
            <v/>
          </cell>
          <cell r="DX449" t="str">
            <v/>
          </cell>
          <cell r="DY449" t="str">
            <v/>
          </cell>
          <cell r="DZ449" t="str">
            <v/>
          </cell>
          <cell r="EA449" t="str">
            <v/>
          </cell>
          <cell r="EB449" t="str">
            <v/>
          </cell>
          <cell r="EC449" t="str">
            <v/>
          </cell>
          <cell r="ED449" t="str">
            <v/>
          </cell>
          <cell r="EE449" t="str">
            <v/>
          </cell>
          <cell r="EF449" t="str">
            <v/>
          </cell>
          <cell r="EH449" t="str">
            <v/>
          </cell>
          <cell r="EI449" t="str">
            <v/>
          </cell>
          <cell r="EJ449" t="str">
            <v/>
          </cell>
          <cell r="EL449" t="str">
            <v/>
          </cell>
          <cell r="EM449" t="str">
            <v/>
          </cell>
          <cell r="EN449" t="str">
            <v/>
          </cell>
          <cell r="EO449" t="str">
            <v/>
          </cell>
          <cell r="EP449" t="str">
            <v/>
          </cell>
          <cell r="EQ449" t="str">
            <v/>
          </cell>
          <cell r="ER449" t="str">
            <v/>
          </cell>
          <cell r="ES449" t="str">
            <v/>
          </cell>
          <cell r="ET449" t="str">
            <v/>
          </cell>
        </row>
        <row r="450">
          <cell r="DO450">
            <v>371</v>
          </cell>
          <cell r="DP450" t="str">
            <v/>
          </cell>
          <cell r="DQ450" t="str">
            <v/>
          </cell>
          <cell r="DR450" t="str">
            <v/>
          </cell>
          <cell r="DS450" t="str">
            <v/>
          </cell>
          <cell r="DT450" t="str">
            <v/>
          </cell>
          <cell r="DU450" t="str">
            <v/>
          </cell>
          <cell r="DV450" t="str">
            <v/>
          </cell>
          <cell r="DW450" t="str">
            <v/>
          </cell>
          <cell r="DX450" t="str">
            <v/>
          </cell>
          <cell r="DY450" t="str">
            <v/>
          </cell>
          <cell r="DZ450" t="str">
            <v/>
          </cell>
          <cell r="EA450" t="str">
            <v/>
          </cell>
          <cell r="EB450" t="str">
            <v/>
          </cell>
          <cell r="EC450" t="str">
            <v/>
          </cell>
          <cell r="ED450" t="str">
            <v/>
          </cell>
          <cell r="EE450" t="str">
            <v/>
          </cell>
          <cell r="EF450" t="str">
            <v/>
          </cell>
          <cell r="EH450" t="str">
            <v/>
          </cell>
          <cell r="EI450" t="str">
            <v/>
          </cell>
          <cell r="EJ450" t="str">
            <v/>
          </cell>
          <cell r="EL450" t="str">
            <v/>
          </cell>
          <cell r="EM450" t="str">
            <v/>
          </cell>
          <cell r="EN450" t="str">
            <v/>
          </cell>
          <cell r="EO450" t="str">
            <v/>
          </cell>
          <cell r="EP450" t="str">
            <v/>
          </cell>
          <cell r="EQ450" t="str">
            <v/>
          </cell>
          <cell r="ER450" t="str">
            <v/>
          </cell>
          <cell r="ES450" t="str">
            <v/>
          </cell>
          <cell r="ET450" t="str">
            <v/>
          </cell>
        </row>
        <row r="451">
          <cell r="DO451">
            <v>372</v>
          </cell>
          <cell r="DP451" t="str">
            <v/>
          </cell>
          <cell r="DQ451" t="str">
            <v/>
          </cell>
          <cell r="DR451" t="str">
            <v/>
          </cell>
          <cell r="DS451" t="str">
            <v/>
          </cell>
          <cell r="DT451" t="str">
            <v/>
          </cell>
          <cell r="DU451" t="str">
            <v/>
          </cell>
          <cell r="DV451" t="str">
            <v/>
          </cell>
          <cell r="DW451" t="str">
            <v/>
          </cell>
          <cell r="DX451" t="str">
            <v/>
          </cell>
          <cell r="DY451" t="str">
            <v/>
          </cell>
          <cell r="DZ451" t="str">
            <v/>
          </cell>
          <cell r="EA451" t="str">
            <v/>
          </cell>
          <cell r="EB451" t="str">
            <v/>
          </cell>
          <cell r="EC451" t="str">
            <v/>
          </cell>
          <cell r="ED451" t="str">
            <v/>
          </cell>
          <cell r="EE451" t="str">
            <v/>
          </cell>
          <cell r="EF451" t="str">
            <v/>
          </cell>
          <cell r="EH451" t="str">
            <v/>
          </cell>
          <cell r="EI451" t="str">
            <v/>
          </cell>
          <cell r="EJ451" t="str">
            <v/>
          </cell>
          <cell r="EL451" t="str">
            <v/>
          </cell>
          <cell r="EM451" t="str">
            <v/>
          </cell>
          <cell r="EN451" t="str">
            <v/>
          </cell>
          <cell r="EO451" t="str">
            <v/>
          </cell>
          <cell r="EP451" t="str">
            <v/>
          </cell>
          <cell r="EQ451" t="str">
            <v/>
          </cell>
          <cell r="ER451" t="str">
            <v/>
          </cell>
          <cell r="ES451" t="str">
            <v/>
          </cell>
          <cell r="ET451" t="str">
            <v/>
          </cell>
        </row>
        <row r="452">
          <cell r="DO452">
            <v>373</v>
          </cell>
          <cell r="DP452" t="str">
            <v/>
          </cell>
          <cell r="DQ452" t="str">
            <v/>
          </cell>
          <cell r="DR452" t="str">
            <v/>
          </cell>
          <cell r="DS452" t="str">
            <v/>
          </cell>
          <cell r="DT452" t="str">
            <v/>
          </cell>
          <cell r="DU452" t="str">
            <v/>
          </cell>
          <cell r="DV452" t="str">
            <v/>
          </cell>
          <cell r="DW452" t="str">
            <v/>
          </cell>
          <cell r="DX452" t="str">
            <v/>
          </cell>
          <cell r="DY452" t="str">
            <v/>
          </cell>
          <cell r="DZ452" t="str">
            <v/>
          </cell>
          <cell r="EA452" t="str">
            <v/>
          </cell>
          <cell r="EB452" t="str">
            <v/>
          </cell>
          <cell r="EC452" t="str">
            <v/>
          </cell>
          <cell r="ED452" t="str">
            <v/>
          </cell>
          <cell r="EE452" t="str">
            <v/>
          </cell>
          <cell r="EF452" t="str">
            <v/>
          </cell>
          <cell r="EH452" t="str">
            <v/>
          </cell>
          <cell r="EI452" t="str">
            <v/>
          </cell>
          <cell r="EJ452" t="str">
            <v/>
          </cell>
          <cell r="EL452" t="str">
            <v/>
          </cell>
          <cell r="EM452" t="str">
            <v/>
          </cell>
          <cell r="EN452" t="str">
            <v/>
          </cell>
          <cell r="EO452" t="str">
            <v/>
          </cell>
          <cell r="EP452" t="str">
            <v/>
          </cell>
          <cell r="EQ452" t="str">
            <v/>
          </cell>
          <cell r="ER452" t="str">
            <v/>
          </cell>
          <cell r="ES452" t="str">
            <v/>
          </cell>
          <cell r="ET452" t="str">
            <v/>
          </cell>
        </row>
        <row r="453">
          <cell r="DO453">
            <v>374</v>
          </cell>
          <cell r="DP453" t="str">
            <v/>
          </cell>
          <cell r="DQ453" t="str">
            <v/>
          </cell>
          <cell r="DR453" t="str">
            <v/>
          </cell>
          <cell r="DS453" t="str">
            <v/>
          </cell>
          <cell r="DT453" t="str">
            <v/>
          </cell>
          <cell r="DU453" t="str">
            <v/>
          </cell>
          <cell r="DV453" t="str">
            <v/>
          </cell>
          <cell r="DW453" t="str">
            <v/>
          </cell>
          <cell r="DX453" t="str">
            <v/>
          </cell>
          <cell r="DY453" t="str">
            <v/>
          </cell>
          <cell r="DZ453" t="str">
            <v/>
          </cell>
          <cell r="EA453" t="str">
            <v/>
          </cell>
          <cell r="EB453" t="str">
            <v/>
          </cell>
          <cell r="EC453" t="str">
            <v/>
          </cell>
          <cell r="ED453" t="str">
            <v/>
          </cell>
          <cell r="EE453" t="str">
            <v/>
          </cell>
          <cell r="EF453" t="str">
            <v/>
          </cell>
          <cell r="EH453" t="str">
            <v/>
          </cell>
          <cell r="EI453" t="str">
            <v/>
          </cell>
          <cell r="EJ453" t="str">
            <v/>
          </cell>
          <cell r="EL453" t="str">
            <v/>
          </cell>
          <cell r="EM453" t="str">
            <v/>
          </cell>
          <cell r="EN453" t="str">
            <v/>
          </cell>
          <cell r="EO453" t="str">
            <v/>
          </cell>
          <cell r="EP453" t="str">
            <v/>
          </cell>
          <cell r="EQ453" t="str">
            <v/>
          </cell>
          <cell r="ER453" t="str">
            <v/>
          </cell>
          <cell r="ES453" t="str">
            <v/>
          </cell>
          <cell r="ET453" t="str">
            <v/>
          </cell>
        </row>
        <row r="454">
          <cell r="DO454">
            <v>375</v>
          </cell>
          <cell r="DP454" t="str">
            <v/>
          </cell>
          <cell r="DQ454" t="str">
            <v/>
          </cell>
          <cell r="DR454" t="str">
            <v/>
          </cell>
          <cell r="DS454" t="str">
            <v/>
          </cell>
          <cell r="DT454" t="str">
            <v/>
          </cell>
          <cell r="DU454" t="str">
            <v/>
          </cell>
          <cell r="DV454" t="str">
            <v/>
          </cell>
          <cell r="DW454" t="str">
            <v/>
          </cell>
          <cell r="DX454" t="str">
            <v/>
          </cell>
          <cell r="DY454" t="str">
            <v/>
          </cell>
          <cell r="DZ454" t="str">
            <v/>
          </cell>
          <cell r="EA454" t="str">
            <v/>
          </cell>
          <cell r="EB454" t="str">
            <v/>
          </cell>
          <cell r="EC454" t="str">
            <v/>
          </cell>
          <cell r="ED454" t="str">
            <v/>
          </cell>
          <cell r="EE454" t="str">
            <v/>
          </cell>
          <cell r="EF454" t="str">
            <v/>
          </cell>
          <cell r="EH454" t="str">
            <v/>
          </cell>
          <cell r="EI454" t="str">
            <v/>
          </cell>
          <cell r="EJ454" t="str">
            <v/>
          </cell>
          <cell r="EL454" t="str">
            <v/>
          </cell>
          <cell r="EM454" t="str">
            <v/>
          </cell>
          <cell r="EN454" t="str">
            <v/>
          </cell>
          <cell r="EO454" t="str">
            <v/>
          </cell>
          <cell r="EP454" t="str">
            <v/>
          </cell>
          <cell r="EQ454" t="str">
            <v/>
          </cell>
          <cell r="ER454" t="str">
            <v/>
          </cell>
          <cell r="ES454" t="str">
            <v/>
          </cell>
          <cell r="ET454" t="str">
            <v/>
          </cell>
        </row>
        <row r="455">
          <cell r="DO455">
            <v>376</v>
          </cell>
          <cell r="DP455" t="str">
            <v/>
          </cell>
          <cell r="DQ455" t="str">
            <v/>
          </cell>
          <cell r="DR455" t="str">
            <v/>
          </cell>
          <cell r="DS455" t="str">
            <v/>
          </cell>
          <cell r="DT455" t="str">
            <v/>
          </cell>
          <cell r="DU455" t="str">
            <v/>
          </cell>
          <cell r="DV455" t="str">
            <v/>
          </cell>
          <cell r="DW455" t="str">
            <v/>
          </cell>
          <cell r="DX455" t="str">
            <v/>
          </cell>
          <cell r="DY455" t="str">
            <v/>
          </cell>
          <cell r="DZ455" t="str">
            <v/>
          </cell>
          <cell r="EA455" t="str">
            <v/>
          </cell>
          <cell r="EB455" t="str">
            <v/>
          </cell>
          <cell r="EC455" t="str">
            <v/>
          </cell>
          <cell r="ED455" t="str">
            <v/>
          </cell>
          <cell r="EE455" t="str">
            <v/>
          </cell>
          <cell r="EF455" t="str">
            <v/>
          </cell>
          <cell r="EH455" t="str">
            <v/>
          </cell>
          <cell r="EI455" t="str">
            <v/>
          </cell>
          <cell r="EJ455" t="str">
            <v/>
          </cell>
          <cell r="EL455" t="str">
            <v/>
          </cell>
          <cell r="EM455" t="str">
            <v/>
          </cell>
          <cell r="EN455" t="str">
            <v/>
          </cell>
          <cell r="EO455" t="str">
            <v/>
          </cell>
          <cell r="EP455" t="str">
            <v/>
          </cell>
          <cell r="EQ455" t="str">
            <v/>
          </cell>
          <cell r="ER455" t="str">
            <v/>
          </cell>
          <cell r="ES455" t="str">
            <v/>
          </cell>
          <cell r="ET455" t="str">
            <v/>
          </cell>
        </row>
        <row r="456">
          <cell r="DO456">
            <v>377</v>
          </cell>
          <cell r="DP456" t="str">
            <v/>
          </cell>
          <cell r="DQ456" t="str">
            <v/>
          </cell>
          <cell r="DR456" t="str">
            <v/>
          </cell>
          <cell r="DS456" t="str">
            <v/>
          </cell>
          <cell r="DT456" t="str">
            <v/>
          </cell>
          <cell r="DU456" t="str">
            <v/>
          </cell>
          <cell r="DV456" t="str">
            <v/>
          </cell>
          <cell r="DW456" t="str">
            <v/>
          </cell>
          <cell r="DX456" t="str">
            <v/>
          </cell>
          <cell r="DY456" t="str">
            <v/>
          </cell>
          <cell r="DZ456" t="str">
            <v/>
          </cell>
          <cell r="EA456" t="str">
            <v/>
          </cell>
          <cell r="EB456" t="str">
            <v/>
          </cell>
          <cell r="EC456" t="str">
            <v/>
          </cell>
          <cell r="ED456" t="str">
            <v/>
          </cell>
          <cell r="EE456" t="str">
            <v/>
          </cell>
          <cell r="EF456" t="str">
            <v/>
          </cell>
          <cell r="EH456" t="str">
            <v/>
          </cell>
          <cell r="EI456" t="str">
            <v/>
          </cell>
          <cell r="EJ456" t="str">
            <v/>
          </cell>
          <cell r="EL456" t="str">
            <v/>
          </cell>
          <cell r="EM456" t="str">
            <v/>
          </cell>
          <cell r="EN456" t="str">
            <v/>
          </cell>
          <cell r="EO456" t="str">
            <v/>
          </cell>
          <cell r="EP456" t="str">
            <v/>
          </cell>
          <cell r="EQ456" t="str">
            <v/>
          </cell>
          <cell r="ER456" t="str">
            <v/>
          </cell>
          <cell r="ES456" t="str">
            <v/>
          </cell>
          <cell r="ET456" t="str">
            <v/>
          </cell>
        </row>
        <row r="457">
          <cell r="DO457">
            <v>378</v>
          </cell>
          <cell r="DP457" t="str">
            <v/>
          </cell>
          <cell r="DQ457" t="str">
            <v/>
          </cell>
          <cell r="DR457" t="str">
            <v/>
          </cell>
          <cell r="DS457" t="str">
            <v/>
          </cell>
          <cell r="DT457" t="str">
            <v/>
          </cell>
          <cell r="DU457" t="str">
            <v/>
          </cell>
          <cell r="DV457" t="str">
            <v/>
          </cell>
          <cell r="DW457" t="str">
            <v/>
          </cell>
          <cell r="DX457" t="str">
            <v/>
          </cell>
          <cell r="DY457" t="str">
            <v/>
          </cell>
          <cell r="DZ457" t="str">
            <v/>
          </cell>
          <cell r="EA457" t="str">
            <v/>
          </cell>
          <cell r="EB457" t="str">
            <v/>
          </cell>
          <cell r="EC457" t="str">
            <v/>
          </cell>
          <cell r="ED457" t="str">
            <v/>
          </cell>
          <cell r="EE457" t="str">
            <v/>
          </cell>
          <cell r="EF457" t="str">
            <v/>
          </cell>
          <cell r="EH457" t="str">
            <v/>
          </cell>
          <cell r="EI457" t="str">
            <v/>
          </cell>
          <cell r="EJ457" t="str">
            <v/>
          </cell>
          <cell r="EL457" t="str">
            <v/>
          </cell>
          <cell r="EM457" t="str">
            <v/>
          </cell>
          <cell r="EN457" t="str">
            <v/>
          </cell>
          <cell r="EO457" t="str">
            <v/>
          </cell>
          <cell r="EP457" t="str">
            <v/>
          </cell>
          <cell r="EQ457" t="str">
            <v/>
          </cell>
          <cell r="ER457" t="str">
            <v/>
          </cell>
          <cell r="ES457" t="str">
            <v/>
          </cell>
          <cell r="ET457" t="str">
            <v/>
          </cell>
        </row>
        <row r="458">
          <cell r="DO458">
            <v>379</v>
          </cell>
          <cell r="DP458" t="str">
            <v/>
          </cell>
          <cell r="DQ458" t="str">
            <v/>
          </cell>
          <cell r="DR458" t="str">
            <v/>
          </cell>
          <cell r="DS458" t="str">
            <v/>
          </cell>
          <cell r="DT458" t="str">
            <v/>
          </cell>
          <cell r="DU458" t="str">
            <v/>
          </cell>
          <cell r="DV458" t="str">
            <v/>
          </cell>
          <cell r="DW458" t="str">
            <v/>
          </cell>
          <cell r="DX458" t="str">
            <v/>
          </cell>
          <cell r="DY458" t="str">
            <v/>
          </cell>
          <cell r="DZ458" t="str">
            <v/>
          </cell>
          <cell r="EA458" t="str">
            <v/>
          </cell>
          <cell r="EB458" t="str">
            <v/>
          </cell>
          <cell r="EC458" t="str">
            <v/>
          </cell>
          <cell r="ED458" t="str">
            <v/>
          </cell>
          <cell r="EE458" t="str">
            <v/>
          </cell>
          <cell r="EF458" t="str">
            <v/>
          </cell>
          <cell r="EH458" t="str">
            <v/>
          </cell>
          <cell r="EI458" t="str">
            <v/>
          </cell>
          <cell r="EJ458" t="str">
            <v/>
          </cell>
          <cell r="EL458" t="str">
            <v/>
          </cell>
          <cell r="EM458" t="str">
            <v/>
          </cell>
          <cell r="EN458" t="str">
            <v/>
          </cell>
          <cell r="EO458" t="str">
            <v/>
          </cell>
          <cell r="EP458" t="str">
            <v/>
          </cell>
          <cell r="EQ458" t="str">
            <v/>
          </cell>
          <cell r="ER458" t="str">
            <v/>
          </cell>
          <cell r="ES458" t="str">
            <v/>
          </cell>
          <cell r="ET458" t="str">
            <v/>
          </cell>
        </row>
        <row r="459">
          <cell r="DO459">
            <v>380</v>
          </cell>
          <cell r="DP459" t="str">
            <v/>
          </cell>
          <cell r="DQ459" t="str">
            <v/>
          </cell>
          <cell r="DR459" t="str">
            <v/>
          </cell>
          <cell r="DS459" t="str">
            <v/>
          </cell>
          <cell r="DT459" t="str">
            <v/>
          </cell>
          <cell r="DU459" t="str">
            <v/>
          </cell>
          <cell r="DV459" t="str">
            <v/>
          </cell>
          <cell r="DW459" t="str">
            <v/>
          </cell>
          <cell r="DX459" t="str">
            <v/>
          </cell>
          <cell r="DY459" t="str">
            <v/>
          </cell>
          <cell r="DZ459" t="str">
            <v/>
          </cell>
          <cell r="EA459" t="str">
            <v/>
          </cell>
          <cell r="EB459" t="str">
            <v/>
          </cell>
          <cell r="EC459" t="str">
            <v/>
          </cell>
          <cell r="ED459" t="str">
            <v/>
          </cell>
          <cell r="EE459" t="str">
            <v/>
          </cell>
          <cell r="EF459" t="str">
            <v/>
          </cell>
          <cell r="EH459" t="str">
            <v/>
          </cell>
          <cell r="EI459" t="str">
            <v/>
          </cell>
          <cell r="EJ459" t="str">
            <v/>
          </cell>
          <cell r="EL459" t="str">
            <v/>
          </cell>
          <cell r="EM459" t="str">
            <v/>
          </cell>
          <cell r="EN459" t="str">
            <v/>
          </cell>
          <cell r="EO459" t="str">
            <v/>
          </cell>
          <cell r="EP459" t="str">
            <v/>
          </cell>
          <cell r="EQ459" t="str">
            <v/>
          </cell>
          <cell r="ER459" t="str">
            <v/>
          </cell>
          <cell r="ES459" t="str">
            <v/>
          </cell>
          <cell r="ET459" t="str">
            <v/>
          </cell>
        </row>
        <row r="460">
          <cell r="DO460">
            <v>381</v>
          </cell>
          <cell r="DP460" t="str">
            <v/>
          </cell>
          <cell r="DQ460" t="str">
            <v/>
          </cell>
          <cell r="DR460" t="str">
            <v/>
          </cell>
          <cell r="DS460" t="str">
            <v/>
          </cell>
          <cell r="DT460" t="str">
            <v/>
          </cell>
          <cell r="DU460" t="str">
            <v/>
          </cell>
          <cell r="DV460" t="str">
            <v/>
          </cell>
          <cell r="DW460" t="str">
            <v/>
          </cell>
          <cell r="DX460" t="str">
            <v/>
          </cell>
          <cell r="DY460" t="str">
            <v/>
          </cell>
          <cell r="DZ460" t="str">
            <v/>
          </cell>
          <cell r="EA460" t="str">
            <v/>
          </cell>
          <cell r="EB460" t="str">
            <v/>
          </cell>
          <cell r="EC460" t="str">
            <v/>
          </cell>
          <cell r="ED460" t="str">
            <v/>
          </cell>
          <cell r="EE460" t="str">
            <v/>
          </cell>
          <cell r="EF460" t="str">
            <v/>
          </cell>
          <cell r="EH460" t="str">
            <v/>
          </cell>
          <cell r="EI460" t="str">
            <v/>
          </cell>
          <cell r="EJ460" t="str">
            <v/>
          </cell>
          <cell r="EL460" t="str">
            <v/>
          </cell>
          <cell r="EM460" t="str">
            <v/>
          </cell>
          <cell r="EN460" t="str">
            <v/>
          </cell>
          <cell r="EO460" t="str">
            <v/>
          </cell>
          <cell r="EP460" t="str">
            <v/>
          </cell>
          <cell r="EQ460" t="str">
            <v/>
          </cell>
          <cell r="ER460" t="str">
            <v/>
          </cell>
          <cell r="ES460" t="str">
            <v/>
          </cell>
          <cell r="ET460" t="str">
            <v/>
          </cell>
        </row>
        <row r="461">
          <cell r="DO461">
            <v>382</v>
          </cell>
          <cell r="DP461" t="str">
            <v/>
          </cell>
          <cell r="DQ461" t="str">
            <v/>
          </cell>
          <cell r="DR461" t="str">
            <v/>
          </cell>
          <cell r="DS461" t="str">
            <v/>
          </cell>
          <cell r="DT461" t="str">
            <v/>
          </cell>
          <cell r="DU461" t="str">
            <v/>
          </cell>
          <cell r="DV461" t="str">
            <v/>
          </cell>
          <cell r="DW461" t="str">
            <v/>
          </cell>
          <cell r="DX461" t="str">
            <v/>
          </cell>
          <cell r="DY461" t="str">
            <v/>
          </cell>
          <cell r="DZ461" t="str">
            <v/>
          </cell>
          <cell r="EA461" t="str">
            <v/>
          </cell>
          <cell r="EB461" t="str">
            <v/>
          </cell>
          <cell r="EC461" t="str">
            <v/>
          </cell>
          <cell r="ED461" t="str">
            <v/>
          </cell>
          <cell r="EE461" t="str">
            <v/>
          </cell>
          <cell r="EF461" t="str">
            <v/>
          </cell>
          <cell r="EH461" t="str">
            <v/>
          </cell>
          <cell r="EI461" t="str">
            <v/>
          </cell>
          <cell r="EJ461" t="str">
            <v/>
          </cell>
          <cell r="EL461" t="str">
            <v/>
          </cell>
          <cell r="EM461" t="str">
            <v/>
          </cell>
          <cell r="EN461" t="str">
            <v/>
          </cell>
          <cell r="EO461" t="str">
            <v/>
          </cell>
          <cell r="EP461" t="str">
            <v/>
          </cell>
          <cell r="EQ461" t="str">
            <v/>
          </cell>
          <cell r="ER461" t="str">
            <v/>
          </cell>
          <cell r="ES461" t="str">
            <v/>
          </cell>
          <cell r="ET461" t="str">
            <v/>
          </cell>
        </row>
        <row r="462">
          <cell r="DO462">
            <v>383</v>
          </cell>
          <cell r="DP462" t="str">
            <v/>
          </cell>
          <cell r="DQ462" t="str">
            <v/>
          </cell>
          <cell r="DR462" t="str">
            <v/>
          </cell>
          <cell r="DS462" t="str">
            <v/>
          </cell>
          <cell r="DT462" t="str">
            <v/>
          </cell>
          <cell r="DU462" t="str">
            <v/>
          </cell>
          <cell r="DV462" t="str">
            <v/>
          </cell>
          <cell r="DW462" t="str">
            <v/>
          </cell>
          <cell r="DX462" t="str">
            <v/>
          </cell>
          <cell r="DY462" t="str">
            <v/>
          </cell>
          <cell r="DZ462" t="str">
            <v/>
          </cell>
          <cell r="EA462" t="str">
            <v/>
          </cell>
          <cell r="EB462" t="str">
            <v/>
          </cell>
          <cell r="EC462" t="str">
            <v/>
          </cell>
          <cell r="ED462" t="str">
            <v/>
          </cell>
          <cell r="EE462" t="str">
            <v/>
          </cell>
          <cell r="EF462" t="str">
            <v/>
          </cell>
          <cell r="EH462" t="str">
            <v/>
          </cell>
          <cell r="EI462" t="str">
            <v/>
          </cell>
          <cell r="EJ462" t="str">
            <v/>
          </cell>
          <cell r="EL462" t="str">
            <v/>
          </cell>
          <cell r="EM462" t="str">
            <v/>
          </cell>
          <cell r="EN462" t="str">
            <v/>
          </cell>
          <cell r="EO462" t="str">
            <v/>
          </cell>
          <cell r="EP462" t="str">
            <v/>
          </cell>
          <cell r="EQ462" t="str">
            <v/>
          </cell>
          <cell r="ER462" t="str">
            <v/>
          </cell>
          <cell r="ES462" t="str">
            <v/>
          </cell>
          <cell r="ET462" t="str">
            <v/>
          </cell>
        </row>
        <row r="463">
          <cell r="DO463">
            <v>384</v>
          </cell>
          <cell r="DP463" t="str">
            <v/>
          </cell>
          <cell r="DQ463" t="str">
            <v/>
          </cell>
          <cell r="DR463" t="str">
            <v/>
          </cell>
          <cell r="DS463" t="str">
            <v/>
          </cell>
          <cell r="DT463" t="str">
            <v/>
          </cell>
          <cell r="DU463" t="str">
            <v/>
          </cell>
          <cell r="DV463" t="str">
            <v/>
          </cell>
          <cell r="DW463" t="str">
            <v/>
          </cell>
          <cell r="DX463" t="str">
            <v/>
          </cell>
          <cell r="DY463" t="str">
            <v/>
          </cell>
          <cell r="DZ463" t="str">
            <v/>
          </cell>
          <cell r="EA463" t="str">
            <v/>
          </cell>
          <cell r="EB463" t="str">
            <v/>
          </cell>
          <cell r="EC463" t="str">
            <v/>
          </cell>
          <cell r="ED463" t="str">
            <v/>
          </cell>
          <cell r="EE463" t="str">
            <v/>
          </cell>
          <cell r="EF463" t="str">
            <v/>
          </cell>
          <cell r="EH463" t="str">
            <v/>
          </cell>
          <cell r="EI463" t="str">
            <v/>
          </cell>
          <cell r="EJ463" t="str">
            <v/>
          </cell>
          <cell r="EL463" t="str">
            <v/>
          </cell>
          <cell r="EM463" t="str">
            <v/>
          </cell>
          <cell r="EN463" t="str">
            <v/>
          </cell>
          <cell r="EO463" t="str">
            <v/>
          </cell>
          <cell r="EP463" t="str">
            <v/>
          </cell>
          <cell r="EQ463" t="str">
            <v/>
          </cell>
          <cell r="ER463" t="str">
            <v/>
          </cell>
          <cell r="ES463" t="str">
            <v/>
          </cell>
          <cell r="ET463" t="str">
            <v/>
          </cell>
        </row>
        <row r="464">
          <cell r="DO464">
            <v>385</v>
          </cell>
          <cell r="DP464" t="str">
            <v/>
          </cell>
          <cell r="DQ464" t="str">
            <v/>
          </cell>
          <cell r="DR464" t="str">
            <v/>
          </cell>
          <cell r="DS464" t="str">
            <v/>
          </cell>
          <cell r="DT464" t="str">
            <v/>
          </cell>
          <cell r="DU464" t="str">
            <v/>
          </cell>
          <cell r="DV464" t="str">
            <v/>
          </cell>
          <cell r="DW464" t="str">
            <v/>
          </cell>
          <cell r="DX464" t="str">
            <v/>
          </cell>
          <cell r="DY464" t="str">
            <v/>
          </cell>
          <cell r="DZ464" t="str">
            <v/>
          </cell>
          <cell r="EA464" t="str">
            <v/>
          </cell>
          <cell r="EB464" t="str">
            <v/>
          </cell>
          <cell r="EC464" t="str">
            <v/>
          </cell>
          <cell r="ED464" t="str">
            <v/>
          </cell>
          <cell r="EE464" t="str">
            <v/>
          </cell>
          <cell r="EF464" t="str">
            <v/>
          </cell>
          <cell r="EH464" t="str">
            <v/>
          </cell>
          <cell r="EI464" t="str">
            <v/>
          </cell>
          <cell r="EJ464" t="str">
            <v/>
          </cell>
          <cell r="EL464" t="str">
            <v/>
          </cell>
          <cell r="EM464" t="str">
            <v/>
          </cell>
          <cell r="EN464" t="str">
            <v/>
          </cell>
          <cell r="EO464" t="str">
            <v/>
          </cell>
          <cell r="EP464" t="str">
            <v/>
          </cell>
          <cell r="EQ464" t="str">
            <v/>
          </cell>
          <cell r="ER464" t="str">
            <v/>
          </cell>
          <cell r="ES464" t="str">
            <v/>
          </cell>
          <cell r="ET464" t="str">
            <v/>
          </cell>
        </row>
        <row r="465">
          <cell r="DO465">
            <v>386</v>
          </cell>
          <cell r="DP465" t="str">
            <v/>
          </cell>
          <cell r="DQ465" t="str">
            <v/>
          </cell>
          <cell r="DR465" t="str">
            <v/>
          </cell>
          <cell r="DS465" t="str">
            <v/>
          </cell>
          <cell r="DT465" t="str">
            <v/>
          </cell>
          <cell r="DU465" t="str">
            <v/>
          </cell>
          <cell r="DV465" t="str">
            <v/>
          </cell>
          <cell r="DW465" t="str">
            <v/>
          </cell>
          <cell r="DX465" t="str">
            <v/>
          </cell>
          <cell r="DY465" t="str">
            <v/>
          </cell>
          <cell r="DZ465" t="str">
            <v/>
          </cell>
          <cell r="EA465" t="str">
            <v/>
          </cell>
          <cell r="EB465" t="str">
            <v/>
          </cell>
          <cell r="EC465" t="str">
            <v/>
          </cell>
          <cell r="ED465" t="str">
            <v/>
          </cell>
          <cell r="EE465" t="str">
            <v/>
          </cell>
          <cell r="EF465" t="str">
            <v/>
          </cell>
          <cell r="EH465" t="str">
            <v/>
          </cell>
          <cell r="EI465" t="str">
            <v/>
          </cell>
          <cell r="EJ465" t="str">
            <v/>
          </cell>
          <cell r="EL465" t="str">
            <v/>
          </cell>
          <cell r="EM465" t="str">
            <v/>
          </cell>
          <cell r="EN465" t="str">
            <v/>
          </cell>
          <cell r="EO465" t="str">
            <v/>
          </cell>
          <cell r="EP465" t="str">
            <v/>
          </cell>
          <cell r="EQ465" t="str">
            <v/>
          </cell>
          <cell r="ER465" t="str">
            <v/>
          </cell>
          <cell r="ES465" t="str">
            <v/>
          </cell>
          <cell r="ET465" t="str">
            <v/>
          </cell>
        </row>
        <row r="466">
          <cell r="DO466">
            <v>387</v>
          </cell>
          <cell r="DP466" t="str">
            <v/>
          </cell>
          <cell r="DQ466" t="str">
            <v/>
          </cell>
          <cell r="DR466" t="str">
            <v/>
          </cell>
          <cell r="DS466" t="str">
            <v/>
          </cell>
          <cell r="DT466" t="str">
            <v/>
          </cell>
          <cell r="DU466" t="str">
            <v/>
          </cell>
          <cell r="DV466" t="str">
            <v/>
          </cell>
          <cell r="DW466" t="str">
            <v/>
          </cell>
          <cell r="DX466" t="str">
            <v/>
          </cell>
          <cell r="DY466" t="str">
            <v/>
          </cell>
          <cell r="DZ466" t="str">
            <v/>
          </cell>
          <cell r="EA466" t="str">
            <v/>
          </cell>
          <cell r="EB466" t="str">
            <v/>
          </cell>
          <cell r="EC466" t="str">
            <v/>
          </cell>
          <cell r="ED466" t="str">
            <v/>
          </cell>
          <cell r="EE466" t="str">
            <v/>
          </cell>
          <cell r="EF466" t="str">
            <v/>
          </cell>
          <cell r="EH466" t="str">
            <v/>
          </cell>
          <cell r="EI466" t="str">
            <v/>
          </cell>
          <cell r="EJ466" t="str">
            <v/>
          </cell>
          <cell r="EL466" t="str">
            <v/>
          </cell>
          <cell r="EM466" t="str">
            <v/>
          </cell>
          <cell r="EN466" t="str">
            <v/>
          </cell>
          <cell r="EO466" t="str">
            <v/>
          </cell>
          <cell r="EP466" t="str">
            <v/>
          </cell>
          <cell r="EQ466" t="str">
            <v/>
          </cell>
          <cell r="ER466" t="str">
            <v/>
          </cell>
          <cell r="ES466" t="str">
            <v/>
          </cell>
          <cell r="ET466" t="str">
            <v/>
          </cell>
        </row>
        <row r="467">
          <cell r="DO467">
            <v>388</v>
          </cell>
          <cell r="DP467" t="str">
            <v/>
          </cell>
          <cell r="DQ467" t="str">
            <v/>
          </cell>
          <cell r="DR467" t="str">
            <v/>
          </cell>
          <cell r="DS467" t="str">
            <v/>
          </cell>
          <cell r="DT467" t="str">
            <v/>
          </cell>
          <cell r="DU467" t="str">
            <v/>
          </cell>
          <cell r="DV467" t="str">
            <v/>
          </cell>
          <cell r="DW467" t="str">
            <v/>
          </cell>
          <cell r="DX467" t="str">
            <v/>
          </cell>
          <cell r="DY467" t="str">
            <v/>
          </cell>
          <cell r="DZ467" t="str">
            <v/>
          </cell>
          <cell r="EA467" t="str">
            <v/>
          </cell>
          <cell r="EB467" t="str">
            <v/>
          </cell>
          <cell r="EC467" t="str">
            <v/>
          </cell>
          <cell r="ED467" t="str">
            <v/>
          </cell>
          <cell r="EE467" t="str">
            <v/>
          </cell>
          <cell r="EF467" t="str">
            <v/>
          </cell>
          <cell r="EH467" t="str">
            <v/>
          </cell>
          <cell r="EI467" t="str">
            <v/>
          </cell>
          <cell r="EJ467" t="str">
            <v/>
          </cell>
          <cell r="EL467" t="str">
            <v/>
          </cell>
          <cell r="EM467" t="str">
            <v/>
          </cell>
          <cell r="EN467" t="str">
            <v/>
          </cell>
          <cell r="EO467" t="str">
            <v/>
          </cell>
          <cell r="EP467" t="str">
            <v/>
          </cell>
          <cell r="EQ467" t="str">
            <v/>
          </cell>
          <cell r="ER467" t="str">
            <v/>
          </cell>
          <cell r="ES467" t="str">
            <v/>
          </cell>
          <cell r="ET467" t="str">
            <v/>
          </cell>
        </row>
        <row r="468">
          <cell r="DO468">
            <v>389</v>
          </cell>
          <cell r="DP468" t="str">
            <v/>
          </cell>
          <cell r="DQ468" t="str">
            <v/>
          </cell>
          <cell r="DR468" t="str">
            <v/>
          </cell>
          <cell r="DS468" t="str">
            <v/>
          </cell>
          <cell r="DT468" t="str">
            <v/>
          </cell>
          <cell r="DU468" t="str">
            <v/>
          </cell>
          <cell r="DV468" t="str">
            <v/>
          </cell>
          <cell r="DW468" t="str">
            <v/>
          </cell>
          <cell r="DX468" t="str">
            <v/>
          </cell>
          <cell r="DY468" t="str">
            <v/>
          </cell>
          <cell r="DZ468" t="str">
            <v/>
          </cell>
          <cell r="EA468" t="str">
            <v/>
          </cell>
          <cell r="EB468" t="str">
            <v/>
          </cell>
          <cell r="EC468" t="str">
            <v/>
          </cell>
          <cell r="ED468" t="str">
            <v/>
          </cell>
          <cell r="EE468" t="str">
            <v/>
          </cell>
          <cell r="EF468" t="str">
            <v/>
          </cell>
          <cell r="EH468" t="str">
            <v/>
          </cell>
          <cell r="EI468" t="str">
            <v/>
          </cell>
          <cell r="EJ468" t="str">
            <v/>
          </cell>
          <cell r="EL468" t="str">
            <v/>
          </cell>
          <cell r="EM468" t="str">
            <v/>
          </cell>
          <cell r="EN468" t="str">
            <v/>
          </cell>
          <cell r="EO468" t="str">
            <v/>
          </cell>
          <cell r="EP468" t="str">
            <v/>
          </cell>
          <cell r="EQ468" t="str">
            <v/>
          </cell>
          <cell r="ER468" t="str">
            <v/>
          </cell>
          <cell r="ES468" t="str">
            <v/>
          </cell>
          <cell r="ET468" t="str">
            <v/>
          </cell>
        </row>
        <row r="469">
          <cell r="DO469">
            <v>390</v>
          </cell>
          <cell r="DP469" t="str">
            <v/>
          </cell>
          <cell r="DQ469" t="str">
            <v/>
          </cell>
          <cell r="DR469" t="str">
            <v/>
          </cell>
          <cell r="DS469" t="str">
            <v/>
          </cell>
          <cell r="DT469" t="str">
            <v/>
          </cell>
          <cell r="DU469" t="str">
            <v/>
          </cell>
          <cell r="DV469" t="str">
            <v/>
          </cell>
          <cell r="DW469" t="str">
            <v/>
          </cell>
          <cell r="DX469" t="str">
            <v/>
          </cell>
          <cell r="DY469" t="str">
            <v/>
          </cell>
          <cell r="DZ469" t="str">
            <v/>
          </cell>
          <cell r="EA469" t="str">
            <v/>
          </cell>
          <cell r="EB469" t="str">
            <v/>
          </cell>
          <cell r="EC469" t="str">
            <v/>
          </cell>
          <cell r="ED469" t="str">
            <v/>
          </cell>
          <cell r="EE469" t="str">
            <v/>
          </cell>
          <cell r="EF469" t="str">
            <v/>
          </cell>
          <cell r="EH469" t="str">
            <v/>
          </cell>
          <cell r="EI469" t="str">
            <v/>
          </cell>
          <cell r="EJ469" t="str">
            <v/>
          </cell>
          <cell r="EL469" t="str">
            <v/>
          </cell>
          <cell r="EM469" t="str">
            <v/>
          </cell>
          <cell r="EN469" t="str">
            <v/>
          </cell>
          <cell r="EO469" t="str">
            <v/>
          </cell>
          <cell r="EP469" t="str">
            <v/>
          </cell>
          <cell r="EQ469" t="str">
            <v/>
          </cell>
          <cell r="ER469" t="str">
            <v/>
          </cell>
          <cell r="ES469" t="str">
            <v/>
          </cell>
          <cell r="ET469" t="str">
            <v/>
          </cell>
        </row>
        <row r="470">
          <cell r="DO470">
            <v>391</v>
          </cell>
          <cell r="DP470" t="str">
            <v/>
          </cell>
          <cell r="DQ470" t="str">
            <v/>
          </cell>
          <cell r="DR470" t="str">
            <v/>
          </cell>
          <cell r="DS470" t="str">
            <v/>
          </cell>
          <cell r="DT470" t="str">
            <v/>
          </cell>
          <cell r="DU470" t="str">
            <v/>
          </cell>
          <cell r="DV470" t="str">
            <v/>
          </cell>
          <cell r="DW470" t="str">
            <v/>
          </cell>
          <cell r="DX470" t="str">
            <v/>
          </cell>
          <cell r="DY470" t="str">
            <v/>
          </cell>
          <cell r="DZ470" t="str">
            <v/>
          </cell>
          <cell r="EA470" t="str">
            <v/>
          </cell>
          <cell r="EB470" t="str">
            <v/>
          </cell>
          <cell r="EC470" t="str">
            <v/>
          </cell>
          <cell r="ED470" t="str">
            <v/>
          </cell>
          <cell r="EE470" t="str">
            <v/>
          </cell>
          <cell r="EF470" t="str">
            <v/>
          </cell>
          <cell r="EH470" t="str">
            <v/>
          </cell>
          <cell r="EI470" t="str">
            <v/>
          </cell>
          <cell r="EJ470" t="str">
            <v/>
          </cell>
          <cell r="EL470" t="str">
            <v/>
          </cell>
          <cell r="EM470" t="str">
            <v/>
          </cell>
          <cell r="EN470" t="str">
            <v/>
          </cell>
          <cell r="EO470" t="str">
            <v/>
          </cell>
          <cell r="EP470" t="str">
            <v/>
          </cell>
          <cell r="EQ470" t="str">
            <v/>
          </cell>
          <cell r="ER470" t="str">
            <v/>
          </cell>
          <cell r="ES470" t="str">
            <v/>
          </cell>
          <cell r="ET470" t="str">
            <v/>
          </cell>
        </row>
        <row r="471">
          <cell r="DO471">
            <v>392</v>
          </cell>
          <cell r="DP471" t="str">
            <v/>
          </cell>
          <cell r="DQ471" t="str">
            <v/>
          </cell>
          <cell r="DR471" t="str">
            <v/>
          </cell>
          <cell r="DS471" t="str">
            <v/>
          </cell>
          <cell r="DT471" t="str">
            <v/>
          </cell>
          <cell r="DU471" t="str">
            <v/>
          </cell>
          <cell r="DV471" t="str">
            <v/>
          </cell>
          <cell r="DW471" t="str">
            <v/>
          </cell>
          <cell r="DX471" t="str">
            <v/>
          </cell>
          <cell r="DY471" t="str">
            <v/>
          </cell>
          <cell r="DZ471" t="str">
            <v/>
          </cell>
          <cell r="EA471" t="str">
            <v/>
          </cell>
          <cell r="EB471" t="str">
            <v/>
          </cell>
          <cell r="EC471" t="str">
            <v/>
          </cell>
          <cell r="ED471" t="str">
            <v/>
          </cell>
          <cell r="EE471" t="str">
            <v/>
          </cell>
          <cell r="EF471" t="str">
            <v/>
          </cell>
          <cell r="EH471" t="str">
            <v/>
          </cell>
          <cell r="EI471" t="str">
            <v/>
          </cell>
          <cell r="EJ471" t="str">
            <v/>
          </cell>
          <cell r="EL471" t="str">
            <v/>
          </cell>
          <cell r="EM471" t="str">
            <v/>
          </cell>
          <cell r="EN471" t="str">
            <v/>
          </cell>
          <cell r="EO471" t="str">
            <v/>
          </cell>
          <cell r="EP471" t="str">
            <v/>
          </cell>
          <cell r="EQ471" t="str">
            <v/>
          </cell>
          <cell r="ER471" t="str">
            <v/>
          </cell>
          <cell r="ES471" t="str">
            <v/>
          </cell>
          <cell r="ET471" t="str">
            <v/>
          </cell>
        </row>
        <row r="472">
          <cell r="DO472">
            <v>393</v>
          </cell>
          <cell r="DP472" t="str">
            <v/>
          </cell>
          <cell r="DQ472" t="str">
            <v/>
          </cell>
          <cell r="DR472" t="str">
            <v/>
          </cell>
          <cell r="DS472" t="str">
            <v/>
          </cell>
          <cell r="DT472" t="str">
            <v/>
          </cell>
          <cell r="DU472" t="str">
            <v/>
          </cell>
          <cell r="DV472" t="str">
            <v/>
          </cell>
          <cell r="DW472" t="str">
            <v/>
          </cell>
          <cell r="DX472" t="str">
            <v/>
          </cell>
          <cell r="DY472" t="str">
            <v/>
          </cell>
          <cell r="DZ472" t="str">
            <v/>
          </cell>
          <cell r="EA472" t="str">
            <v/>
          </cell>
          <cell r="EB472" t="str">
            <v/>
          </cell>
          <cell r="EC472" t="str">
            <v/>
          </cell>
          <cell r="ED472" t="str">
            <v/>
          </cell>
          <cell r="EE472" t="str">
            <v/>
          </cell>
          <cell r="EF472" t="str">
            <v/>
          </cell>
          <cell r="EH472" t="str">
            <v/>
          </cell>
          <cell r="EI472" t="str">
            <v/>
          </cell>
          <cell r="EJ472" t="str">
            <v/>
          </cell>
          <cell r="EL472" t="str">
            <v/>
          </cell>
          <cell r="EM472" t="str">
            <v/>
          </cell>
          <cell r="EN472" t="str">
            <v/>
          </cell>
          <cell r="EO472" t="str">
            <v/>
          </cell>
          <cell r="EP472" t="str">
            <v/>
          </cell>
          <cell r="EQ472" t="str">
            <v/>
          </cell>
          <cell r="ER472" t="str">
            <v/>
          </cell>
          <cell r="ES472" t="str">
            <v/>
          </cell>
          <cell r="ET472" t="str">
            <v/>
          </cell>
        </row>
        <row r="473">
          <cell r="DO473">
            <v>394</v>
          </cell>
          <cell r="DP473" t="str">
            <v/>
          </cell>
          <cell r="DQ473" t="str">
            <v/>
          </cell>
          <cell r="DR473" t="str">
            <v/>
          </cell>
          <cell r="DS473" t="str">
            <v/>
          </cell>
          <cell r="DT473" t="str">
            <v/>
          </cell>
          <cell r="DU473" t="str">
            <v/>
          </cell>
          <cell r="DV473" t="str">
            <v/>
          </cell>
          <cell r="DW473" t="str">
            <v/>
          </cell>
          <cell r="DX473" t="str">
            <v/>
          </cell>
          <cell r="DY473" t="str">
            <v/>
          </cell>
          <cell r="DZ473" t="str">
            <v/>
          </cell>
          <cell r="EA473" t="str">
            <v/>
          </cell>
          <cell r="EB473" t="str">
            <v/>
          </cell>
          <cell r="EC473" t="str">
            <v/>
          </cell>
          <cell r="ED473" t="str">
            <v/>
          </cell>
          <cell r="EE473" t="str">
            <v/>
          </cell>
          <cell r="EF473" t="str">
            <v/>
          </cell>
          <cell r="EH473" t="str">
            <v/>
          </cell>
          <cell r="EI473" t="str">
            <v/>
          </cell>
          <cell r="EJ473" t="str">
            <v/>
          </cell>
          <cell r="EL473" t="str">
            <v/>
          </cell>
          <cell r="EM473" t="str">
            <v/>
          </cell>
          <cell r="EN473" t="str">
            <v/>
          </cell>
          <cell r="EO473" t="str">
            <v/>
          </cell>
          <cell r="EP473" t="str">
            <v/>
          </cell>
          <cell r="EQ473" t="str">
            <v/>
          </cell>
          <cell r="ER473" t="str">
            <v/>
          </cell>
          <cell r="ES473" t="str">
            <v/>
          </cell>
          <cell r="ET473" t="str">
            <v/>
          </cell>
        </row>
        <row r="474">
          <cell r="DO474">
            <v>395</v>
          </cell>
          <cell r="DP474" t="str">
            <v/>
          </cell>
          <cell r="DQ474" t="str">
            <v/>
          </cell>
          <cell r="DR474" t="str">
            <v/>
          </cell>
          <cell r="DS474" t="str">
            <v/>
          </cell>
          <cell r="DT474" t="str">
            <v/>
          </cell>
          <cell r="DU474" t="str">
            <v/>
          </cell>
          <cell r="DV474" t="str">
            <v/>
          </cell>
          <cell r="DW474" t="str">
            <v/>
          </cell>
          <cell r="DX474" t="str">
            <v/>
          </cell>
          <cell r="DY474" t="str">
            <v/>
          </cell>
          <cell r="DZ474" t="str">
            <v/>
          </cell>
          <cell r="EA474" t="str">
            <v/>
          </cell>
          <cell r="EB474" t="str">
            <v/>
          </cell>
          <cell r="EC474" t="str">
            <v/>
          </cell>
          <cell r="ED474" t="str">
            <v/>
          </cell>
          <cell r="EE474" t="str">
            <v/>
          </cell>
          <cell r="EF474" t="str">
            <v/>
          </cell>
          <cell r="EH474" t="str">
            <v/>
          </cell>
          <cell r="EI474" t="str">
            <v/>
          </cell>
          <cell r="EJ474" t="str">
            <v/>
          </cell>
          <cell r="EL474" t="str">
            <v/>
          </cell>
          <cell r="EM474" t="str">
            <v/>
          </cell>
          <cell r="EN474" t="str">
            <v/>
          </cell>
          <cell r="EO474" t="str">
            <v/>
          </cell>
          <cell r="EP474" t="str">
            <v/>
          </cell>
          <cell r="EQ474" t="str">
            <v/>
          </cell>
          <cell r="ER474" t="str">
            <v/>
          </cell>
          <cell r="ES474" t="str">
            <v/>
          </cell>
          <cell r="ET474" t="str">
            <v/>
          </cell>
        </row>
        <row r="475">
          <cell r="DO475">
            <v>396</v>
          </cell>
          <cell r="DP475" t="str">
            <v/>
          </cell>
          <cell r="DQ475" t="str">
            <v/>
          </cell>
          <cell r="DR475" t="str">
            <v/>
          </cell>
          <cell r="DS475" t="str">
            <v/>
          </cell>
          <cell r="DT475" t="str">
            <v/>
          </cell>
          <cell r="DU475" t="str">
            <v/>
          </cell>
          <cell r="DV475" t="str">
            <v/>
          </cell>
          <cell r="DW475" t="str">
            <v/>
          </cell>
          <cell r="DX475" t="str">
            <v/>
          </cell>
          <cell r="DY475" t="str">
            <v/>
          </cell>
          <cell r="DZ475" t="str">
            <v/>
          </cell>
          <cell r="EA475" t="str">
            <v/>
          </cell>
          <cell r="EB475" t="str">
            <v/>
          </cell>
          <cell r="EC475" t="str">
            <v/>
          </cell>
          <cell r="ED475" t="str">
            <v/>
          </cell>
          <cell r="EE475" t="str">
            <v/>
          </cell>
          <cell r="EF475" t="str">
            <v/>
          </cell>
          <cell r="EH475" t="str">
            <v/>
          </cell>
          <cell r="EI475" t="str">
            <v/>
          </cell>
          <cell r="EJ475" t="str">
            <v/>
          </cell>
          <cell r="EL475" t="str">
            <v/>
          </cell>
          <cell r="EM475" t="str">
            <v/>
          </cell>
          <cell r="EN475" t="str">
            <v/>
          </cell>
          <cell r="EO475" t="str">
            <v/>
          </cell>
          <cell r="EP475" t="str">
            <v/>
          </cell>
          <cell r="EQ475" t="str">
            <v/>
          </cell>
          <cell r="ER475" t="str">
            <v/>
          </cell>
          <cell r="ES475" t="str">
            <v/>
          </cell>
          <cell r="ET475" t="str">
            <v/>
          </cell>
        </row>
        <row r="476">
          <cell r="DO476">
            <v>397</v>
          </cell>
          <cell r="DP476" t="str">
            <v/>
          </cell>
          <cell r="DQ476" t="str">
            <v/>
          </cell>
          <cell r="DR476" t="str">
            <v/>
          </cell>
          <cell r="DS476" t="str">
            <v/>
          </cell>
          <cell r="DT476" t="str">
            <v/>
          </cell>
          <cell r="DU476" t="str">
            <v/>
          </cell>
          <cell r="DV476" t="str">
            <v/>
          </cell>
          <cell r="DW476" t="str">
            <v/>
          </cell>
          <cell r="DX476" t="str">
            <v/>
          </cell>
          <cell r="DY476" t="str">
            <v/>
          </cell>
          <cell r="DZ476" t="str">
            <v/>
          </cell>
          <cell r="EA476" t="str">
            <v/>
          </cell>
          <cell r="EB476" t="str">
            <v/>
          </cell>
          <cell r="EC476" t="str">
            <v/>
          </cell>
          <cell r="ED476" t="str">
            <v/>
          </cell>
          <cell r="EE476" t="str">
            <v/>
          </cell>
          <cell r="EF476" t="str">
            <v/>
          </cell>
          <cell r="EH476" t="str">
            <v/>
          </cell>
          <cell r="EI476" t="str">
            <v/>
          </cell>
          <cell r="EJ476" t="str">
            <v/>
          </cell>
          <cell r="EL476" t="str">
            <v/>
          </cell>
          <cell r="EM476" t="str">
            <v/>
          </cell>
          <cell r="EN476" t="str">
            <v/>
          </cell>
          <cell r="EO476" t="str">
            <v/>
          </cell>
          <cell r="EP476" t="str">
            <v/>
          </cell>
          <cell r="EQ476" t="str">
            <v/>
          </cell>
          <cell r="ER476" t="str">
            <v/>
          </cell>
          <cell r="ES476" t="str">
            <v/>
          </cell>
          <cell r="ET476" t="str">
            <v/>
          </cell>
        </row>
        <row r="477">
          <cell r="DO477">
            <v>398</v>
          </cell>
          <cell r="DP477" t="str">
            <v/>
          </cell>
          <cell r="DQ477" t="str">
            <v/>
          </cell>
          <cell r="DR477" t="str">
            <v/>
          </cell>
          <cell r="DS477" t="str">
            <v/>
          </cell>
          <cell r="DT477" t="str">
            <v/>
          </cell>
          <cell r="DU477" t="str">
            <v/>
          </cell>
          <cell r="DV477" t="str">
            <v/>
          </cell>
          <cell r="DW477" t="str">
            <v/>
          </cell>
          <cell r="DX477" t="str">
            <v/>
          </cell>
          <cell r="DY477" t="str">
            <v/>
          </cell>
          <cell r="DZ477" t="str">
            <v/>
          </cell>
          <cell r="EA477" t="str">
            <v/>
          </cell>
          <cell r="EB477" t="str">
            <v/>
          </cell>
          <cell r="EC477" t="str">
            <v/>
          </cell>
          <cell r="ED477" t="str">
            <v/>
          </cell>
          <cell r="EE477" t="str">
            <v/>
          </cell>
          <cell r="EF477" t="str">
            <v/>
          </cell>
          <cell r="EH477" t="str">
            <v/>
          </cell>
          <cell r="EI477" t="str">
            <v/>
          </cell>
          <cell r="EJ477" t="str">
            <v/>
          </cell>
          <cell r="EL477" t="str">
            <v/>
          </cell>
          <cell r="EM477" t="str">
            <v/>
          </cell>
          <cell r="EN477" t="str">
            <v/>
          </cell>
          <cell r="EO477" t="str">
            <v/>
          </cell>
          <cell r="EP477" t="str">
            <v/>
          </cell>
          <cell r="EQ477" t="str">
            <v/>
          </cell>
          <cell r="ER477" t="str">
            <v/>
          </cell>
          <cell r="ES477" t="str">
            <v/>
          </cell>
          <cell r="ET477" t="str">
            <v/>
          </cell>
        </row>
        <row r="478">
          <cell r="DO478">
            <v>399</v>
          </cell>
          <cell r="DP478" t="str">
            <v/>
          </cell>
          <cell r="DQ478" t="str">
            <v/>
          </cell>
          <cell r="DR478" t="str">
            <v/>
          </cell>
          <cell r="DS478" t="str">
            <v/>
          </cell>
          <cell r="DT478" t="str">
            <v/>
          </cell>
          <cell r="DU478" t="str">
            <v/>
          </cell>
          <cell r="DV478" t="str">
            <v/>
          </cell>
          <cell r="DW478" t="str">
            <v/>
          </cell>
          <cell r="DX478" t="str">
            <v/>
          </cell>
          <cell r="DY478" t="str">
            <v/>
          </cell>
          <cell r="DZ478" t="str">
            <v/>
          </cell>
          <cell r="EA478" t="str">
            <v/>
          </cell>
          <cell r="EB478" t="str">
            <v/>
          </cell>
          <cell r="EC478" t="str">
            <v/>
          </cell>
          <cell r="ED478" t="str">
            <v/>
          </cell>
          <cell r="EE478" t="str">
            <v/>
          </cell>
          <cell r="EF478" t="str">
            <v/>
          </cell>
          <cell r="EH478" t="str">
            <v/>
          </cell>
          <cell r="EI478" t="str">
            <v/>
          </cell>
          <cell r="EJ478" t="str">
            <v/>
          </cell>
          <cell r="EL478" t="str">
            <v/>
          </cell>
          <cell r="EM478" t="str">
            <v/>
          </cell>
          <cell r="EN478" t="str">
            <v/>
          </cell>
          <cell r="EO478" t="str">
            <v/>
          </cell>
          <cell r="EP478" t="str">
            <v/>
          </cell>
          <cell r="EQ478" t="str">
            <v/>
          </cell>
          <cell r="ER478" t="str">
            <v/>
          </cell>
          <cell r="ES478" t="str">
            <v/>
          </cell>
          <cell r="ET478" t="str">
            <v/>
          </cell>
        </row>
        <row r="479">
          <cell r="DO479">
            <v>400</v>
          </cell>
          <cell r="DP479" t="str">
            <v/>
          </cell>
          <cell r="DQ479" t="str">
            <v/>
          </cell>
          <cell r="DR479" t="str">
            <v/>
          </cell>
          <cell r="DS479" t="str">
            <v/>
          </cell>
          <cell r="DT479" t="str">
            <v/>
          </cell>
          <cell r="DU479" t="str">
            <v/>
          </cell>
          <cell r="DV479" t="str">
            <v/>
          </cell>
          <cell r="DW479" t="str">
            <v/>
          </cell>
          <cell r="DX479" t="str">
            <v/>
          </cell>
          <cell r="DY479" t="str">
            <v/>
          </cell>
          <cell r="DZ479" t="str">
            <v/>
          </cell>
          <cell r="EA479" t="str">
            <v/>
          </cell>
          <cell r="EB479" t="str">
            <v/>
          </cell>
          <cell r="EC479" t="str">
            <v/>
          </cell>
          <cell r="ED479" t="str">
            <v/>
          </cell>
          <cell r="EE479" t="str">
            <v/>
          </cell>
          <cell r="EF479" t="str">
            <v/>
          </cell>
          <cell r="EH479" t="str">
            <v/>
          </cell>
          <cell r="EI479" t="str">
            <v/>
          </cell>
          <cell r="EJ479" t="str">
            <v/>
          </cell>
          <cell r="EL479" t="str">
            <v/>
          </cell>
          <cell r="EM479" t="str">
            <v/>
          </cell>
          <cell r="EN479" t="str">
            <v/>
          </cell>
          <cell r="EO479" t="str">
            <v/>
          </cell>
          <cell r="EP479" t="str">
            <v/>
          </cell>
          <cell r="EQ479" t="str">
            <v/>
          </cell>
          <cell r="ER479" t="str">
            <v/>
          </cell>
          <cell r="ES479" t="str">
            <v/>
          </cell>
          <cell r="ET479" t="str">
            <v/>
          </cell>
        </row>
        <row r="480">
          <cell r="DO480">
            <v>401</v>
          </cell>
          <cell r="DP480" t="str">
            <v/>
          </cell>
          <cell r="DQ480" t="str">
            <v/>
          </cell>
          <cell r="DR480" t="str">
            <v/>
          </cell>
          <cell r="DS480" t="str">
            <v/>
          </cell>
          <cell r="DT480" t="str">
            <v/>
          </cell>
          <cell r="DU480" t="str">
            <v/>
          </cell>
          <cell r="DV480" t="str">
            <v/>
          </cell>
          <cell r="DW480" t="str">
            <v/>
          </cell>
          <cell r="DX480" t="str">
            <v/>
          </cell>
          <cell r="DY480" t="str">
            <v/>
          </cell>
          <cell r="DZ480" t="str">
            <v/>
          </cell>
          <cell r="EA480" t="str">
            <v/>
          </cell>
          <cell r="EB480" t="str">
            <v/>
          </cell>
          <cell r="EC480" t="str">
            <v/>
          </cell>
          <cell r="ED480" t="str">
            <v/>
          </cell>
          <cell r="EE480" t="str">
            <v/>
          </cell>
          <cell r="EF480" t="str">
            <v/>
          </cell>
          <cell r="EH480" t="str">
            <v/>
          </cell>
          <cell r="EI480" t="str">
            <v/>
          </cell>
          <cell r="EJ480" t="str">
            <v/>
          </cell>
          <cell r="EL480" t="str">
            <v/>
          </cell>
          <cell r="EM480" t="str">
            <v/>
          </cell>
          <cell r="EN480" t="str">
            <v/>
          </cell>
          <cell r="EO480" t="str">
            <v/>
          </cell>
          <cell r="EP480" t="str">
            <v/>
          </cell>
          <cell r="EQ480" t="str">
            <v/>
          </cell>
          <cell r="ER480" t="str">
            <v/>
          </cell>
          <cell r="ES480" t="str">
            <v/>
          </cell>
          <cell r="ET480" t="str">
            <v/>
          </cell>
        </row>
        <row r="481">
          <cell r="DO481">
            <v>402</v>
          </cell>
          <cell r="DP481" t="str">
            <v/>
          </cell>
          <cell r="DQ481" t="str">
            <v/>
          </cell>
          <cell r="DR481" t="str">
            <v/>
          </cell>
          <cell r="DS481" t="str">
            <v/>
          </cell>
          <cell r="DT481" t="str">
            <v/>
          </cell>
          <cell r="DU481" t="str">
            <v/>
          </cell>
          <cell r="DV481" t="str">
            <v/>
          </cell>
          <cell r="DW481" t="str">
            <v/>
          </cell>
          <cell r="DX481" t="str">
            <v/>
          </cell>
          <cell r="DY481" t="str">
            <v/>
          </cell>
          <cell r="DZ481" t="str">
            <v/>
          </cell>
          <cell r="EA481" t="str">
            <v/>
          </cell>
          <cell r="EB481" t="str">
            <v/>
          </cell>
          <cell r="EC481" t="str">
            <v/>
          </cell>
          <cell r="ED481" t="str">
            <v/>
          </cell>
          <cell r="EE481" t="str">
            <v/>
          </cell>
          <cell r="EF481" t="str">
            <v/>
          </cell>
          <cell r="EH481" t="str">
            <v/>
          </cell>
          <cell r="EI481" t="str">
            <v/>
          </cell>
          <cell r="EJ481" t="str">
            <v/>
          </cell>
          <cell r="EL481" t="str">
            <v/>
          </cell>
          <cell r="EM481" t="str">
            <v/>
          </cell>
          <cell r="EN481" t="str">
            <v/>
          </cell>
          <cell r="EO481" t="str">
            <v/>
          </cell>
          <cell r="EP481" t="str">
            <v/>
          </cell>
          <cell r="EQ481" t="str">
            <v/>
          </cell>
          <cell r="ER481" t="str">
            <v/>
          </cell>
          <cell r="ES481" t="str">
            <v/>
          </cell>
          <cell r="ET481" t="str">
            <v/>
          </cell>
        </row>
        <row r="482">
          <cell r="DO482">
            <v>403</v>
          </cell>
          <cell r="DP482" t="str">
            <v/>
          </cell>
          <cell r="DQ482" t="str">
            <v/>
          </cell>
          <cell r="DR482" t="str">
            <v/>
          </cell>
          <cell r="DS482" t="str">
            <v/>
          </cell>
          <cell r="DT482" t="str">
            <v/>
          </cell>
          <cell r="DU482" t="str">
            <v/>
          </cell>
          <cell r="DV482" t="str">
            <v/>
          </cell>
          <cell r="DW482" t="str">
            <v/>
          </cell>
          <cell r="DX482" t="str">
            <v/>
          </cell>
          <cell r="DY482" t="str">
            <v/>
          </cell>
          <cell r="DZ482" t="str">
            <v/>
          </cell>
          <cell r="EA482" t="str">
            <v/>
          </cell>
          <cell r="EB482" t="str">
            <v/>
          </cell>
          <cell r="EC482" t="str">
            <v/>
          </cell>
          <cell r="ED482" t="str">
            <v/>
          </cell>
          <cell r="EE482" t="str">
            <v/>
          </cell>
          <cell r="EF482" t="str">
            <v/>
          </cell>
          <cell r="EH482" t="str">
            <v/>
          </cell>
          <cell r="EI482" t="str">
            <v/>
          </cell>
          <cell r="EJ482" t="str">
            <v/>
          </cell>
          <cell r="EL482" t="str">
            <v/>
          </cell>
          <cell r="EM482" t="str">
            <v/>
          </cell>
          <cell r="EN482" t="str">
            <v/>
          </cell>
          <cell r="EO482" t="str">
            <v/>
          </cell>
          <cell r="EP482" t="str">
            <v/>
          </cell>
          <cell r="EQ482" t="str">
            <v/>
          </cell>
          <cell r="ER482" t="str">
            <v/>
          </cell>
          <cell r="ES482" t="str">
            <v/>
          </cell>
          <cell r="ET482" t="str">
            <v/>
          </cell>
        </row>
        <row r="483">
          <cell r="DO483">
            <v>404</v>
          </cell>
          <cell r="DP483" t="str">
            <v/>
          </cell>
          <cell r="DQ483" t="str">
            <v/>
          </cell>
          <cell r="DR483" t="str">
            <v/>
          </cell>
          <cell r="DS483" t="str">
            <v/>
          </cell>
          <cell r="DT483" t="str">
            <v/>
          </cell>
          <cell r="DU483" t="str">
            <v/>
          </cell>
          <cell r="DV483" t="str">
            <v/>
          </cell>
          <cell r="DW483" t="str">
            <v/>
          </cell>
          <cell r="DX483" t="str">
            <v/>
          </cell>
          <cell r="DY483" t="str">
            <v/>
          </cell>
          <cell r="DZ483" t="str">
            <v/>
          </cell>
          <cell r="EA483" t="str">
            <v/>
          </cell>
          <cell r="EB483" t="str">
            <v/>
          </cell>
          <cell r="EC483" t="str">
            <v/>
          </cell>
          <cell r="ED483" t="str">
            <v/>
          </cell>
          <cell r="EE483" t="str">
            <v/>
          </cell>
          <cell r="EF483" t="str">
            <v/>
          </cell>
          <cell r="EH483" t="str">
            <v/>
          </cell>
          <cell r="EI483" t="str">
            <v/>
          </cell>
          <cell r="EJ483" t="str">
            <v/>
          </cell>
          <cell r="EL483" t="str">
            <v/>
          </cell>
          <cell r="EM483" t="str">
            <v/>
          </cell>
          <cell r="EN483" t="str">
            <v/>
          </cell>
          <cell r="EO483" t="str">
            <v/>
          </cell>
          <cell r="EP483" t="str">
            <v/>
          </cell>
          <cell r="EQ483" t="str">
            <v/>
          </cell>
          <cell r="ER483" t="str">
            <v/>
          </cell>
          <cell r="ES483" t="str">
            <v/>
          </cell>
          <cell r="ET483" t="str">
            <v/>
          </cell>
        </row>
        <row r="484">
          <cell r="DO484">
            <v>405</v>
          </cell>
          <cell r="DP484" t="str">
            <v/>
          </cell>
          <cell r="DQ484" t="str">
            <v/>
          </cell>
          <cell r="DR484" t="str">
            <v/>
          </cell>
          <cell r="DS484" t="str">
            <v/>
          </cell>
          <cell r="DT484" t="str">
            <v/>
          </cell>
          <cell r="DU484" t="str">
            <v/>
          </cell>
          <cell r="DV484" t="str">
            <v/>
          </cell>
          <cell r="DW484" t="str">
            <v/>
          </cell>
          <cell r="DX484" t="str">
            <v/>
          </cell>
          <cell r="DY484" t="str">
            <v/>
          </cell>
          <cell r="DZ484" t="str">
            <v/>
          </cell>
          <cell r="EA484" t="str">
            <v/>
          </cell>
          <cell r="EB484" t="str">
            <v/>
          </cell>
          <cell r="EC484" t="str">
            <v/>
          </cell>
          <cell r="ED484" t="str">
            <v/>
          </cell>
          <cell r="EE484" t="str">
            <v/>
          </cell>
          <cell r="EF484" t="str">
            <v/>
          </cell>
          <cell r="EH484" t="str">
            <v/>
          </cell>
          <cell r="EI484" t="str">
            <v/>
          </cell>
          <cell r="EJ484" t="str">
            <v/>
          </cell>
          <cell r="EL484" t="str">
            <v/>
          </cell>
          <cell r="EM484" t="str">
            <v/>
          </cell>
          <cell r="EN484" t="str">
            <v/>
          </cell>
          <cell r="EO484" t="str">
            <v/>
          </cell>
          <cell r="EP484" t="str">
            <v/>
          </cell>
          <cell r="EQ484" t="str">
            <v/>
          </cell>
          <cell r="ER484" t="str">
            <v/>
          </cell>
          <cell r="ES484" t="str">
            <v/>
          </cell>
          <cell r="ET484" t="str">
            <v/>
          </cell>
        </row>
        <row r="485">
          <cell r="DO485">
            <v>406</v>
          </cell>
          <cell r="DP485" t="str">
            <v/>
          </cell>
          <cell r="DQ485" t="str">
            <v/>
          </cell>
          <cell r="DR485" t="str">
            <v/>
          </cell>
          <cell r="DS485" t="str">
            <v/>
          </cell>
          <cell r="DT485" t="str">
            <v/>
          </cell>
          <cell r="DU485" t="str">
            <v/>
          </cell>
          <cell r="DV485" t="str">
            <v/>
          </cell>
          <cell r="DW485" t="str">
            <v/>
          </cell>
          <cell r="DX485" t="str">
            <v/>
          </cell>
          <cell r="DY485" t="str">
            <v/>
          </cell>
          <cell r="DZ485" t="str">
            <v/>
          </cell>
          <cell r="EA485" t="str">
            <v/>
          </cell>
          <cell r="EB485" t="str">
            <v/>
          </cell>
          <cell r="EC485" t="str">
            <v/>
          </cell>
          <cell r="ED485" t="str">
            <v/>
          </cell>
          <cell r="EE485" t="str">
            <v/>
          </cell>
          <cell r="EF485" t="str">
            <v/>
          </cell>
          <cell r="EH485" t="str">
            <v/>
          </cell>
          <cell r="EI485" t="str">
            <v/>
          </cell>
          <cell r="EJ485" t="str">
            <v/>
          </cell>
          <cell r="EL485" t="str">
            <v/>
          </cell>
          <cell r="EM485" t="str">
            <v/>
          </cell>
          <cell r="EN485" t="str">
            <v/>
          </cell>
          <cell r="EO485" t="str">
            <v/>
          </cell>
          <cell r="EP485" t="str">
            <v/>
          </cell>
          <cell r="EQ485" t="str">
            <v/>
          </cell>
          <cell r="ER485" t="str">
            <v/>
          </cell>
          <cell r="ES485" t="str">
            <v/>
          </cell>
          <cell r="ET485" t="str">
            <v/>
          </cell>
        </row>
        <row r="486">
          <cell r="DO486">
            <v>407</v>
          </cell>
          <cell r="DP486" t="str">
            <v/>
          </cell>
          <cell r="DQ486" t="str">
            <v/>
          </cell>
          <cell r="DR486" t="str">
            <v/>
          </cell>
          <cell r="DS486" t="str">
            <v/>
          </cell>
          <cell r="DT486" t="str">
            <v/>
          </cell>
          <cell r="DU486" t="str">
            <v/>
          </cell>
          <cell r="DV486" t="str">
            <v/>
          </cell>
          <cell r="DW486" t="str">
            <v/>
          </cell>
          <cell r="DX486" t="str">
            <v/>
          </cell>
          <cell r="DY486" t="str">
            <v/>
          </cell>
          <cell r="DZ486" t="str">
            <v/>
          </cell>
          <cell r="EA486" t="str">
            <v/>
          </cell>
          <cell r="EB486" t="str">
            <v/>
          </cell>
          <cell r="EC486" t="str">
            <v/>
          </cell>
          <cell r="ED486" t="str">
            <v/>
          </cell>
          <cell r="EE486" t="str">
            <v/>
          </cell>
          <cell r="EF486" t="str">
            <v/>
          </cell>
          <cell r="EH486" t="str">
            <v/>
          </cell>
          <cell r="EI486" t="str">
            <v/>
          </cell>
          <cell r="EJ486" t="str">
            <v/>
          </cell>
          <cell r="EL486" t="str">
            <v/>
          </cell>
          <cell r="EM486" t="str">
            <v/>
          </cell>
          <cell r="EN486" t="str">
            <v/>
          </cell>
          <cell r="EO486" t="str">
            <v/>
          </cell>
          <cell r="EP486" t="str">
            <v/>
          </cell>
          <cell r="EQ486" t="str">
            <v/>
          </cell>
          <cell r="ER486" t="str">
            <v/>
          </cell>
          <cell r="ES486" t="str">
            <v/>
          </cell>
          <cell r="ET486" t="str">
            <v/>
          </cell>
        </row>
        <row r="487">
          <cell r="DO487">
            <v>408</v>
          </cell>
          <cell r="DP487" t="str">
            <v/>
          </cell>
          <cell r="DQ487" t="str">
            <v/>
          </cell>
          <cell r="DR487" t="str">
            <v/>
          </cell>
          <cell r="DS487" t="str">
            <v/>
          </cell>
          <cell r="DT487" t="str">
            <v/>
          </cell>
          <cell r="DU487" t="str">
            <v/>
          </cell>
          <cell r="DV487" t="str">
            <v/>
          </cell>
          <cell r="DW487" t="str">
            <v/>
          </cell>
          <cell r="DX487" t="str">
            <v/>
          </cell>
          <cell r="DY487" t="str">
            <v/>
          </cell>
          <cell r="DZ487" t="str">
            <v/>
          </cell>
          <cell r="EA487" t="str">
            <v/>
          </cell>
          <cell r="EB487" t="str">
            <v/>
          </cell>
          <cell r="EC487" t="str">
            <v/>
          </cell>
          <cell r="ED487" t="str">
            <v/>
          </cell>
          <cell r="EE487" t="str">
            <v/>
          </cell>
          <cell r="EF487" t="str">
            <v/>
          </cell>
          <cell r="EH487" t="str">
            <v/>
          </cell>
          <cell r="EI487" t="str">
            <v/>
          </cell>
          <cell r="EJ487" t="str">
            <v/>
          </cell>
          <cell r="EL487" t="str">
            <v/>
          </cell>
          <cell r="EM487" t="str">
            <v/>
          </cell>
          <cell r="EN487" t="str">
            <v/>
          </cell>
          <cell r="EO487" t="str">
            <v/>
          </cell>
          <cell r="EP487" t="str">
            <v/>
          </cell>
          <cell r="EQ487" t="str">
            <v/>
          </cell>
          <cell r="ER487" t="str">
            <v/>
          </cell>
          <cell r="ES487" t="str">
            <v/>
          </cell>
          <cell r="ET487" t="str">
            <v/>
          </cell>
        </row>
        <row r="488">
          <cell r="DO488">
            <v>409</v>
          </cell>
          <cell r="DP488" t="str">
            <v/>
          </cell>
          <cell r="DQ488" t="str">
            <v/>
          </cell>
          <cell r="DR488" t="str">
            <v/>
          </cell>
          <cell r="DS488" t="str">
            <v/>
          </cell>
          <cell r="DT488" t="str">
            <v/>
          </cell>
          <cell r="DU488" t="str">
            <v/>
          </cell>
          <cell r="DV488" t="str">
            <v/>
          </cell>
          <cell r="DW488" t="str">
            <v/>
          </cell>
          <cell r="DX488" t="str">
            <v/>
          </cell>
          <cell r="DY488" t="str">
            <v/>
          </cell>
          <cell r="DZ488" t="str">
            <v/>
          </cell>
          <cell r="EA488" t="str">
            <v/>
          </cell>
          <cell r="EB488" t="str">
            <v/>
          </cell>
          <cell r="EC488" t="str">
            <v/>
          </cell>
          <cell r="ED488" t="str">
            <v/>
          </cell>
          <cell r="EE488" t="str">
            <v/>
          </cell>
          <cell r="EF488" t="str">
            <v/>
          </cell>
          <cell r="EH488" t="str">
            <v/>
          </cell>
          <cell r="EI488" t="str">
            <v/>
          </cell>
          <cell r="EJ488" t="str">
            <v/>
          </cell>
          <cell r="EL488" t="str">
            <v/>
          </cell>
          <cell r="EM488" t="str">
            <v/>
          </cell>
          <cell r="EN488" t="str">
            <v/>
          </cell>
          <cell r="EO488" t="str">
            <v/>
          </cell>
          <cell r="EP488" t="str">
            <v/>
          </cell>
          <cell r="EQ488" t="str">
            <v/>
          </cell>
          <cell r="ER488" t="str">
            <v/>
          </cell>
          <cell r="ES488" t="str">
            <v/>
          </cell>
          <cell r="ET488" t="str">
            <v/>
          </cell>
        </row>
        <row r="489">
          <cell r="DO489">
            <v>410</v>
          </cell>
          <cell r="DP489" t="str">
            <v/>
          </cell>
          <cell r="DQ489" t="str">
            <v/>
          </cell>
          <cell r="DR489" t="str">
            <v/>
          </cell>
          <cell r="DS489" t="str">
            <v/>
          </cell>
          <cell r="DT489" t="str">
            <v/>
          </cell>
          <cell r="DU489" t="str">
            <v/>
          </cell>
          <cell r="DV489" t="str">
            <v/>
          </cell>
          <cell r="DW489" t="str">
            <v/>
          </cell>
          <cell r="DX489" t="str">
            <v/>
          </cell>
          <cell r="DY489" t="str">
            <v/>
          </cell>
          <cell r="DZ489" t="str">
            <v/>
          </cell>
          <cell r="EA489" t="str">
            <v/>
          </cell>
          <cell r="EB489" t="str">
            <v/>
          </cell>
          <cell r="EC489" t="str">
            <v/>
          </cell>
          <cell r="ED489" t="str">
            <v/>
          </cell>
          <cell r="EE489" t="str">
            <v/>
          </cell>
          <cell r="EF489" t="str">
            <v/>
          </cell>
          <cell r="EH489" t="str">
            <v/>
          </cell>
          <cell r="EI489" t="str">
            <v/>
          </cell>
          <cell r="EJ489" t="str">
            <v/>
          </cell>
          <cell r="EL489" t="str">
            <v/>
          </cell>
          <cell r="EM489" t="str">
            <v/>
          </cell>
          <cell r="EN489" t="str">
            <v/>
          </cell>
          <cell r="EO489" t="str">
            <v/>
          </cell>
          <cell r="EP489" t="str">
            <v/>
          </cell>
          <cell r="EQ489" t="str">
            <v/>
          </cell>
          <cell r="ER489" t="str">
            <v/>
          </cell>
          <cell r="ES489" t="str">
            <v/>
          </cell>
          <cell r="ET489" t="str">
            <v/>
          </cell>
        </row>
        <row r="490">
          <cell r="DO490">
            <v>411</v>
          </cell>
          <cell r="DP490" t="str">
            <v/>
          </cell>
          <cell r="DQ490" t="str">
            <v/>
          </cell>
          <cell r="DR490" t="str">
            <v/>
          </cell>
          <cell r="DS490" t="str">
            <v/>
          </cell>
          <cell r="DT490" t="str">
            <v/>
          </cell>
          <cell r="DU490" t="str">
            <v/>
          </cell>
          <cell r="DV490" t="str">
            <v/>
          </cell>
          <cell r="DW490" t="str">
            <v/>
          </cell>
          <cell r="DX490" t="str">
            <v/>
          </cell>
          <cell r="DY490" t="str">
            <v/>
          </cell>
          <cell r="DZ490" t="str">
            <v/>
          </cell>
          <cell r="EA490" t="str">
            <v/>
          </cell>
          <cell r="EB490" t="str">
            <v/>
          </cell>
          <cell r="EC490" t="str">
            <v/>
          </cell>
          <cell r="ED490" t="str">
            <v/>
          </cell>
          <cell r="EE490" t="str">
            <v/>
          </cell>
          <cell r="EF490" t="str">
            <v/>
          </cell>
          <cell r="EH490" t="str">
            <v/>
          </cell>
          <cell r="EI490" t="str">
            <v/>
          </cell>
          <cell r="EJ490" t="str">
            <v/>
          </cell>
          <cell r="EL490" t="str">
            <v/>
          </cell>
          <cell r="EM490" t="str">
            <v/>
          </cell>
          <cell r="EN490" t="str">
            <v/>
          </cell>
          <cell r="EO490" t="str">
            <v/>
          </cell>
          <cell r="EP490" t="str">
            <v/>
          </cell>
          <cell r="EQ490" t="str">
            <v/>
          </cell>
          <cell r="ER490" t="str">
            <v/>
          </cell>
          <cell r="ES490" t="str">
            <v/>
          </cell>
          <cell r="ET490" t="str">
            <v/>
          </cell>
        </row>
        <row r="491">
          <cell r="DO491">
            <v>412</v>
          </cell>
          <cell r="DP491" t="str">
            <v/>
          </cell>
          <cell r="DQ491" t="str">
            <v/>
          </cell>
          <cell r="DR491" t="str">
            <v/>
          </cell>
          <cell r="DS491" t="str">
            <v/>
          </cell>
          <cell r="DT491" t="str">
            <v/>
          </cell>
          <cell r="DU491" t="str">
            <v/>
          </cell>
          <cell r="DV491" t="str">
            <v/>
          </cell>
          <cell r="DW491" t="str">
            <v/>
          </cell>
          <cell r="DX491" t="str">
            <v/>
          </cell>
          <cell r="DY491" t="str">
            <v/>
          </cell>
          <cell r="DZ491" t="str">
            <v/>
          </cell>
          <cell r="EA491" t="str">
            <v/>
          </cell>
          <cell r="EB491" t="str">
            <v/>
          </cell>
          <cell r="EC491" t="str">
            <v/>
          </cell>
          <cell r="ED491" t="str">
            <v/>
          </cell>
          <cell r="EE491" t="str">
            <v/>
          </cell>
          <cell r="EF491" t="str">
            <v/>
          </cell>
          <cell r="EH491" t="str">
            <v/>
          </cell>
          <cell r="EI491" t="str">
            <v/>
          </cell>
          <cell r="EJ491" t="str">
            <v/>
          </cell>
          <cell r="EL491" t="str">
            <v/>
          </cell>
          <cell r="EM491" t="str">
            <v/>
          </cell>
          <cell r="EN491" t="str">
            <v/>
          </cell>
          <cell r="EO491" t="str">
            <v/>
          </cell>
          <cell r="EP491" t="str">
            <v/>
          </cell>
          <cell r="EQ491" t="str">
            <v/>
          </cell>
          <cell r="ER491" t="str">
            <v/>
          </cell>
          <cell r="ES491" t="str">
            <v/>
          </cell>
          <cell r="ET491" t="str">
            <v/>
          </cell>
        </row>
        <row r="492">
          <cell r="DO492">
            <v>413</v>
          </cell>
          <cell r="DP492" t="str">
            <v/>
          </cell>
          <cell r="DQ492" t="str">
            <v/>
          </cell>
          <cell r="DR492" t="str">
            <v/>
          </cell>
          <cell r="DS492" t="str">
            <v/>
          </cell>
          <cell r="DT492" t="str">
            <v/>
          </cell>
          <cell r="DU492" t="str">
            <v/>
          </cell>
          <cell r="DV492" t="str">
            <v/>
          </cell>
          <cell r="DW492" t="str">
            <v/>
          </cell>
          <cell r="DX492" t="str">
            <v/>
          </cell>
          <cell r="DY492" t="str">
            <v/>
          </cell>
          <cell r="DZ492" t="str">
            <v/>
          </cell>
          <cell r="EA492" t="str">
            <v/>
          </cell>
          <cell r="EB492" t="str">
            <v/>
          </cell>
          <cell r="EC492" t="str">
            <v/>
          </cell>
          <cell r="ED492" t="str">
            <v/>
          </cell>
          <cell r="EE492" t="str">
            <v/>
          </cell>
          <cell r="EF492" t="str">
            <v/>
          </cell>
          <cell r="EH492" t="str">
            <v/>
          </cell>
          <cell r="EI492" t="str">
            <v/>
          </cell>
          <cell r="EJ492" t="str">
            <v/>
          </cell>
          <cell r="EL492" t="str">
            <v/>
          </cell>
          <cell r="EM492" t="str">
            <v/>
          </cell>
          <cell r="EN492" t="str">
            <v/>
          </cell>
          <cell r="EO492" t="str">
            <v/>
          </cell>
          <cell r="EP492" t="str">
            <v/>
          </cell>
          <cell r="EQ492" t="str">
            <v/>
          </cell>
          <cell r="ER492" t="str">
            <v/>
          </cell>
          <cell r="ES492" t="str">
            <v/>
          </cell>
          <cell r="ET492" t="str">
            <v/>
          </cell>
        </row>
        <row r="493">
          <cell r="DO493">
            <v>414</v>
          </cell>
          <cell r="DP493" t="str">
            <v/>
          </cell>
          <cell r="DQ493" t="str">
            <v/>
          </cell>
          <cell r="DR493" t="str">
            <v/>
          </cell>
          <cell r="DS493" t="str">
            <v/>
          </cell>
          <cell r="DT493" t="str">
            <v/>
          </cell>
          <cell r="DU493" t="str">
            <v/>
          </cell>
          <cell r="DV493" t="str">
            <v/>
          </cell>
          <cell r="DW493" t="str">
            <v/>
          </cell>
          <cell r="DX493" t="str">
            <v/>
          </cell>
          <cell r="DY493" t="str">
            <v/>
          </cell>
          <cell r="DZ493" t="str">
            <v/>
          </cell>
          <cell r="EA493" t="str">
            <v/>
          </cell>
          <cell r="EB493" t="str">
            <v/>
          </cell>
          <cell r="EC493" t="str">
            <v/>
          </cell>
          <cell r="ED493" t="str">
            <v/>
          </cell>
          <cell r="EE493" t="str">
            <v/>
          </cell>
          <cell r="EF493" t="str">
            <v/>
          </cell>
          <cell r="EH493" t="str">
            <v/>
          </cell>
          <cell r="EI493" t="str">
            <v/>
          </cell>
          <cell r="EJ493" t="str">
            <v/>
          </cell>
          <cell r="EL493" t="str">
            <v/>
          </cell>
          <cell r="EM493" t="str">
            <v/>
          </cell>
          <cell r="EN493" t="str">
            <v/>
          </cell>
          <cell r="EO493" t="str">
            <v/>
          </cell>
          <cell r="EP493" t="str">
            <v/>
          </cell>
          <cell r="EQ493" t="str">
            <v/>
          </cell>
          <cell r="ER493" t="str">
            <v/>
          </cell>
          <cell r="ES493" t="str">
            <v/>
          </cell>
          <cell r="ET493" t="str">
            <v/>
          </cell>
        </row>
        <row r="494">
          <cell r="DO494">
            <v>415</v>
          </cell>
          <cell r="DP494" t="str">
            <v/>
          </cell>
          <cell r="DQ494" t="str">
            <v/>
          </cell>
          <cell r="DR494" t="str">
            <v/>
          </cell>
          <cell r="DS494" t="str">
            <v/>
          </cell>
          <cell r="DT494" t="str">
            <v/>
          </cell>
          <cell r="DU494" t="str">
            <v/>
          </cell>
          <cell r="DV494" t="str">
            <v/>
          </cell>
          <cell r="DW494" t="str">
            <v/>
          </cell>
          <cell r="DX494" t="str">
            <v/>
          </cell>
          <cell r="DY494" t="str">
            <v/>
          </cell>
          <cell r="DZ494" t="str">
            <v/>
          </cell>
          <cell r="EA494" t="str">
            <v/>
          </cell>
          <cell r="EB494" t="str">
            <v/>
          </cell>
          <cell r="EC494" t="str">
            <v/>
          </cell>
          <cell r="ED494" t="str">
            <v/>
          </cell>
          <cell r="EE494" t="str">
            <v/>
          </cell>
          <cell r="EF494" t="str">
            <v/>
          </cell>
          <cell r="EH494" t="str">
            <v/>
          </cell>
          <cell r="EI494" t="str">
            <v/>
          </cell>
          <cell r="EJ494" t="str">
            <v/>
          </cell>
          <cell r="EL494" t="str">
            <v/>
          </cell>
          <cell r="EM494" t="str">
            <v/>
          </cell>
          <cell r="EN494" t="str">
            <v/>
          </cell>
          <cell r="EO494" t="str">
            <v/>
          </cell>
          <cell r="EP494" t="str">
            <v/>
          </cell>
          <cell r="EQ494" t="str">
            <v/>
          </cell>
          <cell r="ER494" t="str">
            <v/>
          </cell>
          <cell r="ES494" t="str">
            <v/>
          </cell>
          <cell r="ET494" t="str">
            <v/>
          </cell>
        </row>
        <row r="495">
          <cell r="DO495">
            <v>416</v>
          </cell>
          <cell r="DP495" t="str">
            <v/>
          </cell>
          <cell r="DQ495" t="str">
            <v/>
          </cell>
          <cell r="DR495" t="str">
            <v/>
          </cell>
          <cell r="DS495" t="str">
            <v/>
          </cell>
          <cell r="DT495" t="str">
            <v/>
          </cell>
          <cell r="DU495" t="str">
            <v/>
          </cell>
          <cell r="DV495" t="str">
            <v/>
          </cell>
          <cell r="DW495" t="str">
            <v/>
          </cell>
          <cell r="DX495" t="str">
            <v/>
          </cell>
          <cell r="DY495" t="str">
            <v/>
          </cell>
          <cell r="DZ495" t="str">
            <v/>
          </cell>
          <cell r="EA495" t="str">
            <v/>
          </cell>
          <cell r="EB495" t="str">
            <v/>
          </cell>
          <cell r="EC495" t="str">
            <v/>
          </cell>
          <cell r="ED495" t="str">
            <v/>
          </cell>
          <cell r="EE495" t="str">
            <v/>
          </cell>
          <cell r="EF495" t="str">
            <v/>
          </cell>
          <cell r="EH495" t="str">
            <v/>
          </cell>
          <cell r="EI495" t="str">
            <v/>
          </cell>
          <cell r="EJ495" t="str">
            <v/>
          </cell>
          <cell r="EL495" t="str">
            <v/>
          </cell>
          <cell r="EM495" t="str">
            <v/>
          </cell>
          <cell r="EN495" t="str">
            <v/>
          </cell>
          <cell r="EO495" t="str">
            <v/>
          </cell>
          <cell r="EP495" t="str">
            <v/>
          </cell>
          <cell r="EQ495" t="str">
            <v/>
          </cell>
          <cell r="ER495" t="str">
            <v/>
          </cell>
          <cell r="ES495" t="str">
            <v/>
          </cell>
          <cell r="ET495" t="str">
            <v/>
          </cell>
        </row>
        <row r="496">
          <cell r="DO496">
            <v>417</v>
          </cell>
          <cell r="DP496" t="str">
            <v/>
          </cell>
          <cell r="DQ496" t="str">
            <v/>
          </cell>
          <cell r="DR496" t="str">
            <v/>
          </cell>
          <cell r="DS496" t="str">
            <v/>
          </cell>
          <cell r="DT496" t="str">
            <v/>
          </cell>
          <cell r="DU496" t="str">
            <v/>
          </cell>
          <cell r="DV496" t="str">
            <v/>
          </cell>
          <cell r="DW496" t="str">
            <v/>
          </cell>
          <cell r="DX496" t="str">
            <v/>
          </cell>
          <cell r="DY496" t="str">
            <v/>
          </cell>
          <cell r="DZ496" t="str">
            <v/>
          </cell>
          <cell r="EA496" t="str">
            <v/>
          </cell>
          <cell r="EB496" t="str">
            <v/>
          </cell>
          <cell r="EC496" t="str">
            <v/>
          </cell>
          <cell r="ED496" t="str">
            <v/>
          </cell>
          <cell r="EE496" t="str">
            <v/>
          </cell>
          <cell r="EF496" t="str">
            <v/>
          </cell>
          <cell r="EH496" t="str">
            <v/>
          </cell>
          <cell r="EI496" t="str">
            <v/>
          </cell>
          <cell r="EJ496" t="str">
            <v/>
          </cell>
          <cell r="EL496" t="str">
            <v/>
          </cell>
          <cell r="EM496" t="str">
            <v/>
          </cell>
          <cell r="EN496" t="str">
            <v/>
          </cell>
          <cell r="EO496" t="str">
            <v/>
          </cell>
          <cell r="EP496" t="str">
            <v/>
          </cell>
          <cell r="EQ496" t="str">
            <v/>
          </cell>
          <cell r="ER496" t="str">
            <v/>
          </cell>
          <cell r="ES496" t="str">
            <v/>
          </cell>
          <cell r="ET496" t="str">
            <v/>
          </cell>
        </row>
        <row r="497">
          <cell r="DO497">
            <v>418</v>
          </cell>
          <cell r="DP497" t="str">
            <v/>
          </cell>
          <cell r="DQ497" t="str">
            <v/>
          </cell>
          <cell r="DR497" t="str">
            <v/>
          </cell>
          <cell r="DS497" t="str">
            <v/>
          </cell>
          <cell r="DT497" t="str">
            <v/>
          </cell>
          <cell r="DU497" t="str">
            <v/>
          </cell>
          <cell r="DV497" t="str">
            <v/>
          </cell>
          <cell r="DW497" t="str">
            <v/>
          </cell>
          <cell r="DX497" t="str">
            <v/>
          </cell>
          <cell r="DY497" t="str">
            <v/>
          </cell>
          <cell r="DZ497" t="str">
            <v/>
          </cell>
          <cell r="EA497" t="str">
            <v/>
          </cell>
          <cell r="EB497" t="str">
            <v/>
          </cell>
          <cell r="EC497" t="str">
            <v/>
          </cell>
          <cell r="ED497" t="str">
            <v/>
          </cell>
          <cell r="EE497" t="str">
            <v/>
          </cell>
          <cell r="EF497" t="str">
            <v/>
          </cell>
          <cell r="EH497" t="str">
            <v/>
          </cell>
          <cell r="EI497" t="str">
            <v/>
          </cell>
          <cell r="EJ497" t="str">
            <v/>
          </cell>
          <cell r="EL497" t="str">
            <v/>
          </cell>
          <cell r="EM497" t="str">
            <v/>
          </cell>
          <cell r="EN497" t="str">
            <v/>
          </cell>
          <cell r="EO497" t="str">
            <v/>
          </cell>
          <cell r="EP497" t="str">
            <v/>
          </cell>
          <cell r="EQ497" t="str">
            <v/>
          </cell>
          <cell r="ER497" t="str">
            <v/>
          </cell>
          <cell r="ES497" t="str">
            <v/>
          </cell>
          <cell r="ET497" t="str">
            <v/>
          </cell>
        </row>
        <row r="498">
          <cell r="DO498">
            <v>419</v>
          </cell>
          <cell r="DP498" t="str">
            <v/>
          </cell>
          <cell r="DQ498" t="str">
            <v/>
          </cell>
          <cell r="DR498" t="str">
            <v/>
          </cell>
          <cell r="DS498" t="str">
            <v/>
          </cell>
          <cell r="DT498" t="str">
            <v/>
          </cell>
          <cell r="DU498" t="str">
            <v/>
          </cell>
          <cell r="DV498" t="str">
            <v/>
          </cell>
          <cell r="DW498" t="str">
            <v/>
          </cell>
          <cell r="DX498" t="str">
            <v/>
          </cell>
          <cell r="DY498" t="str">
            <v/>
          </cell>
          <cell r="DZ498" t="str">
            <v/>
          </cell>
          <cell r="EA498" t="str">
            <v/>
          </cell>
          <cell r="EB498" t="str">
            <v/>
          </cell>
          <cell r="EC498" t="str">
            <v/>
          </cell>
          <cell r="ED498" t="str">
            <v/>
          </cell>
          <cell r="EE498" t="str">
            <v/>
          </cell>
          <cell r="EF498" t="str">
            <v/>
          </cell>
          <cell r="EH498" t="str">
            <v/>
          </cell>
          <cell r="EI498" t="str">
            <v/>
          </cell>
          <cell r="EJ498" t="str">
            <v/>
          </cell>
          <cell r="EL498" t="str">
            <v/>
          </cell>
          <cell r="EM498" t="str">
            <v/>
          </cell>
          <cell r="EN498" t="str">
            <v/>
          </cell>
          <cell r="EO498" t="str">
            <v/>
          </cell>
          <cell r="EP498" t="str">
            <v/>
          </cell>
          <cell r="EQ498" t="str">
            <v/>
          </cell>
          <cell r="ER498" t="str">
            <v/>
          </cell>
          <cell r="ES498" t="str">
            <v/>
          </cell>
          <cell r="ET498" t="str">
            <v/>
          </cell>
        </row>
        <row r="499">
          <cell r="DO499">
            <v>420</v>
          </cell>
          <cell r="DP499" t="str">
            <v/>
          </cell>
          <cell r="DQ499" t="str">
            <v/>
          </cell>
          <cell r="DR499" t="str">
            <v/>
          </cell>
          <cell r="DS499" t="str">
            <v/>
          </cell>
          <cell r="DT499" t="str">
            <v/>
          </cell>
          <cell r="DU499" t="str">
            <v/>
          </cell>
          <cell r="DV499" t="str">
            <v/>
          </cell>
          <cell r="DW499" t="str">
            <v/>
          </cell>
          <cell r="DX499" t="str">
            <v/>
          </cell>
          <cell r="DY499" t="str">
            <v/>
          </cell>
          <cell r="DZ499" t="str">
            <v/>
          </cell>
          <cell r="EA499" t="str">
            <v/>
          </cell>
          <cell r="EB499" t="str">
            <v/>
          </cell>
          <cell r="EC499" t="str">
            <v/>
          </cell>
          <cell r="ED499" t="str">
            <v/>
          </cell>
          <cell r="EE499" t="str">
            <v/>
          </cell>
          <cell r="EF499" t="str">
            <v/>
          </cell>
          <cell r="EH499" t="str">
            <v/>
          </cell>
          <cell r="EI499" t="str">
            <v/>
          </cell>
          <cell r="EJ499" t="str">
            <v/>
          </cell>
          <cell r="EL499" t="str">
            <v/>
          </cell>
          <cell r="EM499" t="str">
            <v/>
          </cell>
          <cell r="EN499" t="str">
            <v/>
          </cell>
          <cell r="EO499" t="str">
            <v/>
          </cell>
          <cell r="EP499" t="str">
            <v/>
          </cell>
          <cell r="EQ499" t="str">
            <v/>
          </cell>
          <cell r="ER499" t="str">
            <v/>
          </cell>
          <cell r="ES499" t="str">
            <v/>
          </cell>
          <cell r="ET499" t="str">
            <v/>
          </cell>
        </row>
        <row r="500">
          <cell r="DO500">
            <v>421</v>
          </cell>
          <cell r="DP500" t="str">
            <v/>
          </cell>
          <cell r="DQ500" t="str">
            <v/>
          </cell>
          <cell r="DR500" t="str">
            <v/>
          </cell>
          <cell r="DS500" t="str">
            <v/>
          </cell>
          <cell r="DT500" t="str">
            <v/>
          </cell>
          <cell r="DU500" t="str">
            <v/>
          </cell>
          <cell r="DV500" t="str">
            <v/>
          </cell>
          <cell r="DW500" t="str">
            <v/>
          </cell>
          <cell r="DX500" t="str">
            <v/>
          </cell>
          <cell r="DY500" t="str">
            <v/>
          </cell>
          <cell r="DZ500" t="str">
            <v/>
          </cell>
          <cell r="EA500" t="str">
            <v/>
          </cell>
          <cell r="EB500" t="str">
            <v/>
          </cell>
          <cell r="EC500" t="str">
            <v/>
          </cell>
          <cell r="ED500" t="str">
            <v/>
          </cell>
          <cell r="EE500" t="str">
            <v/>
          </cell>
          <cell r="EF500" t="str">
            <v/>
          </cell>
          <cell r="EH500" t="str">
            <v/>
          </cell>
          <cell r="EI500" t="str">
            <v/>
          </cell>
          <cell r="EJ500" t="str">
            <v/>
          </cell>
          <cell r="EL500" t="str">
            <v/>
          </cell>
          <cell r="EM500" t="str">
            <v/>
          </cell>
          <cell r="EN500" t="str">
            <v/>
          </cell>
          <cell r="EO500" t="str">
            <v/>
          </cell>
          <cell r="EP500" t="str">
            <v/>
          </cell>
          <cell r="EQ500" t="str">
            <v/>
          </cell>
          <cell r="ER500" t="str">
            <v/>
          </cell>
          <cell r="ES500" t="str">
            <v/>
          </cell>
          <cell r="ET500" t="str">
            <v/>
          </cell>
        </row>
        <row r="501">
          <cell r="DO501">
            <v>422</v>
          </cell>
          <cell r="DP501" t="str">
            <v/>
          </cell>
          <cell r="DQ501" t="str">
            <v/>
          </cell>
          <cell r="DR501" t="str">
            <v/>
          </cell>
          <cell r="DS501" t="str">
            <v/>
          </cell>
          <cell r="DT501" t="str">
            <v/>
          </cell>
          <cell r="DU501" t="str">
            <v/>
          </cell>
          <cell r="DV501" t="str">
            <v/>
          </cell>
          <cell r="DW501" t="str">
            <v/>
          </cell>
          <cell r="DX501" t="str">
            <v/>
          </cell>
          <cell r="DY501" t="str">
            <v/>
          </cell>
          <cell r="DZ501" t="str">
            <v/>
          </cell>
          <cell r="EA501" t="str">
            <v/>
          </cell>
          <cell r="EB501" t="str">
            <v/>
          </cell>
          <cell r="EC501" t="str">
            <v/>
          </cell>
          <cell r="ED501" t="str">
            <v/>
          </cell>
          <cell r="EE501" t="str">
            <v/>
          </cell>
          <cell r="EF501" t="str">
            <v/>
          </cell>
          <cell r="EH501" t="str">
            <v/>
          </cell>
          <cell r="EI501" t="str">
            <v/>
          </cell>
          <cell r="EJ501" t="str">
            <v/>
          </cell>
          <cell r="EL501" t="str">
            <v/>
          </cell>
          <cell r="EM501" t="str">
            <v/>
          </cell>
          <cell r="EN501" t="str">
            <v/>
          </cell>
          <cell r="EO501" t="str">
            <v/>
          </cell>
          <cell r="EP501" t="str">
            <v/>
          </cell>
          <cell r="EQ501" t="str">
            <v/>
          </cell>
          <cell r="ER501" t="str">
            <v/>
          </cell>
          <cell r="ES501" t="str">
            <v/>
          </cell>
          <cell r="ET501" t="str">
            <v/>
          </cell>
        </row>
        <row r="502">
          <cell r="DO502">
            <v>423</v>
          </cell>
          <cell r="DP502" t="str">
            <v/>
          </cell>
          <cell r="DQ502" t="str">
            <v/>
          </cell>
          <cell r="DR502" t="str">
            <v/>
          </cell>
          <cell r="DS502" t="str">
            <v/>
          </cell>
          <cell r="DT502" t="str">
            <v/>
          </cell>
          <cell r="DU502" t="str">
            <v/>
          </cell>
          <cell r="DV502" t="str">
            <v/>
          </cell>
          <cell r="DW502" t="str">
            <v/>
          </cell>
          <cell r="DX502" t="str">
            <v/>
          </cell>
          <cell r="DY502" t="str">
            <v/>
          </cell>
          <cell r="DZ502" t="str">
            <v/>
          </cell>
          <cell r="EA502" t="str">
            <v/>
          </cell>
          <cell r="EB502" t="str">
            <v/>
          </cell>
          <cell r="EC502" t="str">
            <v/>
          </cell>
          <cell r="ED502" t="str">
            <v/>
          </cell>
          <cell r="EE502" t="str">
            <v/>
          </cell>
          <cell r="EF502" t="str">
            <v/>
          </cell>
          <cell r="EH502" t="str">
            <v/>
          </cell>
          <cell r="EI502" t="str">
            <v/>
          </cell>
          <cell r="EJ502" t="str">
            <v/>
          </cell>
          <cell r="EL502" t="str">
            <v/>
          </cell>
          <cell r="EM502" t="str">
            <v/>
          </cell>
          <cell r="EN502" t="str">
            <v/>
          </cell>
          <cell r="EO502" t="str">
            <v/>
          </cell>
          <cell r="EP502" t="str">
            <v/>
          </cell>
          <cell r="EQ502" t="str">
            <v/>
          </cell>
          <cell r="ER502" t="str">
            <v/>
          </cell>
          <cell r="ES502" t="str">
            <v/>
          </cell>
          <cell r="ET502" t="str">
            <v/>
          </cell>
        </row>
        <row r="503">
          <cell r="DO503">
            <v>424</v>
          </cell>
          <cell r="DP503" t="str">
            <v/>
          </cell>
          <cell r="DQ503" t="str">
            <v/>
          </cell>
          <cell r="DR503" t="str">
            <v/>
          </cell>
          <cell r="DS503" t="str">
            <v/>
          </cell>
          <cell r="DT503" t="str">
            <v/>
          </cell>
          <cell r="DU503" t="str">
            <v/>
          </cell>
          <cell r="DV503" t="str">
            <v/>
          </cell>
          <cell r="DW503" t="str">
            <v/>
          </cell>
          <cell r="DX503" t="str">
            <v/>
          </cell>
          <cell r="DY503" t="str">
            <v/>
          </cell>
          <cell r="DZ503" t="str">
            <v/>
          </cell>
          <cell r="EA503" t="str">
            <v/>
          </cell>
          <cell r="EB503" t="str">
            <v/>
          </cell>
          <cell r="EC503" t="str">
            <v/>
          </cell>
          <cell r="ED503" t="str">
            <v/>
          </cell>
          <cell r="EE503" t="str">
            <v/>
          </cell>
          <cell r="EF503" t="str">
            <v/>
          </cell>
          <cell r="EH503" t="str">
            <v/>
          </cell>
          <cell r="EI503" t="str">
            <v/>
          </cell>
          <cell r="EJ503" t="str">
            <v/>
          </cell>
          <cell r="EL503" t="str">
            <v/>
          </cell>
          <cell r="EM503" t="str">
            <v/>
          </cell>
          <cell r="EN503" t="str">
            <v/>
          </cell>
          <cell r="EO503" t="str">
            <v/>
          </cell>
          <cell r="EP503" t="str">
            <v/>
          </cell>
          <cell r="EQ503" t="str">
            <v/>
          </cell>
          <cell r="ER503" t="str">
            <v/>
          </cell>
          <cell r="ES503" t="str">
            <v/>
          </cell>
          <cell r="ET503" t="str">
            <v/>
          </cell>
        </row>
        <row r="504">
          <cell r="DO504">
            <v>425</v>
          </cell>
          <cell r="DP504" t="str">
            <v/>
          </cell>
          <cell r="DQ504" t="str">
            <v/>
          </cell>
          <cell r="DR504" t="str">
            <v/>
          </cell>
          <cell r="DS504" t="str">
            <v/>
          </cell>
          <cell r="DT504" t="str">
            <v/>
          </cell>
          <cell r="DU504" t="str">
            <v/>
          </cell>
          <cell r="DV504" t="str">
            <v/>
          </cell>
          <cell r="DW504" t="str">
            <v/>
          </cell>
          <cell r="DX504" t="str">
            <v/>
          </cell>
          <cell r="DY504" t="str">
            <v/>
          </cell>
          <cell r="DZ504" t="str">
            <v/>
          </cell>
          <cell r="EA504" t="str">
            <v/>
          </cell>
          <cell r="EB504" t="str">
            <v/>
          </cell>
          <cell r="EC504" t="str">
            <v/>
          </cell>
          <cell r="ED504" t="str">
            <v/>
          </cell>
          <cell r="EE504" t="str">
            <v/>
          </cell>
          <cell r="EF504" t="str">
            <v/>
          </cell>
          <cell r="EH504" t="str">
            <v/>
          </cell>
          <cell r="EI504" t="str">
            <v/>
          </cell>
          <cell r="EJ504" t="str">
            <v/>
          </cell>
          <cell r="EL504" t="str">
            <v/>
          </cell>
          <cell r="EM504" t="str">
            <v/>
          </cell>
          <cell r="EN504" t="str">
            <v/>
          </cell>
          <cell r="EO504" t="str">
            <v/>
          </cell>
          <cell r="EP504" t="str">
            <v/>
          </cell>
          <cell r="EQ504" t="str">
            <v/>
          </cell>
          <cell r="ER504" t="str">
            <v/>
          </cell>
          <cell r="ES504" t="str">
            <v/>
          </cell>
          <cell r="ET504" t="str">
            <v/>
          </cell>
        </row>
        <row r="505">
          <cell r="DO505">
            <v>426</v>
          </cell>
          <cell r="DP505" t="str">
            <v/>
          </cell>
          <cell r="DQ505" t="str">
            <v/>
          </cell>
          <cell r="DR505" t="str">
            <v/>
          </cell>
          <cell r="DS505" t="str">
            <v/>
          </cell>
          <cell r="DT505" t="str">
            <v/>
          </cell>
          <cell r="DU505" t="str">
            <v/>
          </cell>
          <cell r="DV505" t="str">
            <v/>
          </cell>
          <cell r="DW505" t="str">
            <v/>
          </cell>
          <cell r="DX505" t="str">
            <v/>
          </cell>
          <cell r="DY505" t="str">
            <v/>
          </cell>
          <cell r="DZ505" t="str">
            <v/>
          </cell>
          <cell r="EA505" t="str">
            <v/>
          </cell>
          <cell r="EB505" t="str">
            <v/>
          </cell>
          <cell r="EC505" t="str">
            <v/>
          </cell>
          <cell r="ED505" t="str">
            <v/>
          </cell>
          <cell r="EE505" t="str">
            <v/>
          </cell>
          <cell r="EF505" t="str">
            <v/>
          </cell>
          <cell r="EH505" t="str">
            <v/>
          </cell>
          <cell r="EI505" t="str">
            <v/>
          </cell>
          <cell r="EJ505" t="str">
            <v/>
          </cell>
          <cell r="EL505" t="str">
            <v/>
          </cell>
          <cell r="EM505" t="str">
            <v/>
          </cell>
          <cell r="EN505" t="str">
            <v/>
          </cell>
          <cell r="EO505" t="str">
            <v/>
          </cell>
          <cell r="EP505" t="str">
            <v/>
          </cell>
          <cell r="EQ505" t="str">
            <v/>
          </cell>
          <cell r="ER505" t="str">
            <v/>
          </cell>
          <cell r="ES505" t="str">
            <v/>
          </cell>
          <cell r="ET505" t="str">
            <v/>
          </cell>
        </row>
        <row r="506">
          <cell r="DO506">
            <v>427</v>
          </cell>
          <cell r="DP506" t="str">
            <v/>
          </cell>
          <cell r="DQ506" t="str">
            <v/>
          </cell>
          <cell r="DR506" t="str">
            <v/>
          </cell>
          <cell r="DS506" t="str">
            <v/>
          </cell>
          <cell r="DT506" t="str">
            <v/>
          </cell>
          <cell r="DU506" t="str">
            <v/>
          </cell>
          <cell r="DV506" t="str">
            <v/>
          </cell>
          <cell r="DW506" t="str">
            <v/>
          </cell>
          <cell r="DX506" t="str">
            <v/>
          </cell>
          <cell r="DY506" t="str">
            <v/>
          </cell>
          <cell r="DZ506" t="str">
            <v/>
          </cell>
          <cell r="EA506" t="str">
            <v/>
          </cell>
          <cell r="EB506" t="str">
            <v/>
          </cell>
          <cell r="EC506" t="str">
            <v/>
          </cell>
          <cell r="ED506" t="str">
            <v/>
          </cell>
          <cell r="EE506" t="str">
            <v/>
          </cell>
          <cell r="EF506" t="str">
            <v/>
          </cell>
          <cell r="EH506" t="str">
            <v/>
          </cell>
          <cell r="EI506" t="str">
            <v/>
          </cell>
          <cell r="EJ506" t="str">
            <v/>
          </cell>
          <cell r="EL506" t="str">
            <v/>
          </cell>
          <cell r="EM506" t="str">
            <v/>
          </cell>
          <cell r="EN506" t="str">
            <v/>
          </cell>
          <cell r="EO506" t="str">
            <v/>
          </cell>
          <cell r="EP506" t="str">
            <v/>
          </cell>
          <cell r="EQ506" t="str">
            <v/>
          </cell>
          <cell r="ER506" t="str">
            <v/>
          </cell>
          <cell r="ES506" t="str">
            <v/>
          </cell>
          <cell r="ET506" t="str">
            <v/>
          </cell>
        </row>
        <row r="507">
          <cell r="DO507">
            <v>428</v>
          </cell>
          <cell r="DP507" t="str">
            <v/>
          </cell>
          <cell r="DQ507" t="str">
            <v/>
          </cell>
          <cell r="DR507" t="str">
            <v/>
          </cell>
          <cell r="DS507" t="str">
            <v/>
          </cell>
          <cell r="DT507" t="str">
            <v/>
          </cell>
          <cell r="DU507" t="str">
            <v/>
          </cell>
          <cell r="DV507" t="str">
            <v/>
          </cell>
          <cell r="DW507" t="str">
            <v/>
          </cell>
          <cell r="DX507" t="str">
            <v/>
          </cell>
          <cell r="DY507" t="str">
            <v/>
          </cell>
          <cell r="DZ507" t="str">
            <v/>
          </cell>
          <cell r="EA507" t="str">
            <v/>
          </cell>
          <cell r="EB507" t="str">
            <v/>
          </cell>
          <cell r="EC507" t="str">
            <v/>
          </cell>
          <cell r="ED507" t="str">
            <v/>
          </cell>
          <cell r="EE507" t="str">
            <v/>
          </cell>
          <cell r="EF507" t="str">
            <v/>
          </cell>
          <cell r="EH507" t="str">
            <v/>
          </cell>
          <cell r="EI507" t="str">
            <v/>
          </cell>
          <cell r="EJ507" t="str">
            <v/>
          </cell>
          <cell r="EL507" t="str">
            <v/>
          </cell>
          <cell r="EM507" t="str">
            <v/>
          </cell>
          <cell r="EN507" t="str">
            <v/>
          </cell>
          <cell r="EO507" t="str">
            <v/>
          </cell>
          <cell r="EP507" t="str">
            <v/>
          </cell>
          <cell r="EQ507" t="str">
            <v/>
          </cell>
          <cell r="ER507" t="str">
            <v/>
          </cell>
          <cell r="ES507" t="str">
            <v/>
          </cell>
          <cell r="ET507" t="str">
            <v/>
          </cell>
        </row>
        <row r="508">
          <cell r="DO508">
            <v>429</v>
          </cell>
          <cell r="DP508" t="str">
            <v/>
          </cell>
          <cell r="DQ508" t="str">
            <v/>
          </cell>
          <cell r="DR508" t="str">
            <v/>
          </cell>
          <cell r="DS508" t="str">
            <v/>
          </cell>
          <cell r="DT508" t="str">
            <v/>
          </cell>
          <cell r="DU508" t="str">
            <v/>
          </cell>
          <cell r="DV508" t="str">
            <v/>
          </cell>
          <cell r="DW508" t="str">
            <v/>
          </cell>
          <cell r="DX508" t="str">
            <v/>
          </cell>
          <cell r="DY508" t="str">
            <v/>
          </cell>
          <cell r="DZ508" t="str">
            <v/>
          </cell>
          <cell r="EA508" t="str">
            <v/>
          </cell>
          <cell r="EB508" t="str">
            <v/>
          </cell>
          <cell r="EC508" t="str">
            <v/>
          </cell>
          <cell r="ED508" t="str">
            <v/>
          </cell>
          <cell r="EE508" t="str">
            <v/>
          </cell>
          <cell r="EF508" t="str">
            <v/>
          </cell>
          <cell r="EH508" t="str">
            <v/>
          </cell>
          <cell r="EI508" t="str">
            <v/>
          </cell>
          <cell r="EJ508" t="str">
            <v/>
          </cell>
          <cell r="EL508" t="str">
            <v/>
          </cell>
          <cell r="EM508" t="str">
            <v/>
          </cell>
          <cell r="EN508" t="str">
            <v/>
          </cell>
          <cell r="EO508" t="str">
            <v/>
          </cell>
          <cell r="EP508" t="str">
            <v/>
          </cell>
          <cell r="EQ508" t="str">
            <v/>
          </cell>
          <cell r="ER508" t="str">
            <v/>
          </cell>
          <cell r="ES508" t="str">
            <v/>
          </cell>
          <cell r="ET508" t="str">
            <v/>
          </cell>
        </row>
        <row r="509">
          <cell r="DO509">
            <v>430</v>
          </cell>
          <cell r="DP509" t="str">
            <v/>
          </cell>
          <cell r="DQ509" t="str">
            <v/>
          </cell>
          <cell r="DR509" t="str">
            <v/>
          </cell>
          <cell r="DS509" t="str">
            <v/>
          </cell>
          <cell r="DT509" t="str">
            <v/>
          </cell>
          <cell r="DU509" t="str">
            <v/>
          </cell>
          <cell r="DV509" t="str">
            <v/>
          </cell>
          <cell r="DW509" t="str">
            <v/>
          </cell>
          <cell r="DX509" t="str">
            <v/>
          </cell>
          <cell r="DY509" t="str">
            <v/>
          </cell>
          <cell r="DZ509" t="str">
            <v/>
          </cell>
          <cell r="EA509" t="str">
            <v/>
          </cell>
          <cell r="EB509" t="str">
            <v/>
          </cell>
          <cell r="EC509" t="str">
            <v/>
          </cell>
          <cell r="ED509" t="str">
            <v/>
          </cell>
          <cell r="EE509" t="str">
            <v/>
          </cell>
          <cell r="EF509" t="str">
            <v/>
          </cell>
          <cell r="EH509" t="str">
            <v/>
          </cell>
          <cell r="EI509" t="str">
            <v/>
          </cell>
          <cell r="EJ509" t="str">
            <v/>
          </cell>
          <cell r="EL509" t="str">
            <v/>
          </cell>
          <cell r="EM509" t="str">
            <v/>
          </cell>
          <cell r="EN509" t="str">
            <v/>
          </cell>
          <cell r="EO509" t="str">
            <v/>
          </cell>
          <cell r="EP509" t="str">
            <v/>
          </cell>
          <cell r="EQ509" t="str">
            <v/>
          </cell>
          <cell r="ER509" t="str">
            <v/>
          </cell>
          <cell r="ES509" t="str">
            <v/>
          </cell>
          <cell r="ET509" t="str">
            <v/>
          </cell>
        </row>
        <row r="510">
          <cell r="DO510">
            <v>431</v>
          </cell>
          <cell r="DP510" t="str">
            <v/>
          </cell>
          <cell r="DQ510" t="str">
            <v/>
          </cell>
          <cell r="DR510" t="str">
            <v/>
          </cell>
          <cell r="DS510" t="str">
            <v/>
          </cell>
          <cell r="DT510" t="str">
            <v/>
          </cell>
          <cell r="DU510" t="str">
            <v/>
          </cell>
          <cell r="DV510" t="str">
            <v/>
          </cell>
          <cell r="DW510" t="str">
            <v/>
          </cell>
          <cell r="DX510" t="str">
            <v/>
          </cell>
          <cell r="DY510" t="str">
            <v/>
          </cell>
          <cell r="DZ510" t="str">
            <v/>
          </cell>
          <cell r="EA510" t="str">
            <v/>
          </cell>
          <cell r="EB510" t="str">
            <v/>
          </cell>
          <cell r="EC510" t="str">
            <v/>
          </cell>
          <cell r="ED510" t="str">
            <v/>
          </cell>
          <cell r="EE510" t="str">
            <v/>
          </cell>
          <cell r="EF510" t="str">
            <v/>
          </cell>
          <cell r="EH510" t="str">
            <v/>
          </cell>
          <cell r="EI510" t="str">
            <v/>
          </cell>
          <cell r="EJ510" t="str">
            <v/>
          </cell>
          <cell r="EL510" t="str">
            <v/>
          </cell>
          <cell r="EM510" t="str">
            <v/>
          </cell>
          <cell r="EN510" t="str">
            <v/>
          </cell>
          <cell r="EO510" t="str">
            <v/>
          </cell>
          <cell r="EP510" t="str">
            <v/>
          </cell>
          <cell r="EQ510" t="str">
            <v/>
          </cell>
          <cell r="ER510" t="str">
            <v/>
          </cell>
          <cell r="ES510" t="str">
            <v/>
          </cell>
          <cell r="ET510" t="str">
            <v/>
          </cell>
        </row>
        <row r="511">
          <cell r="DO511">
            <v>432</v>
          </cell>
          <cell r="DP511" t="str">
            <v/>
          </cell>
          <cell r="DQ511" t="str">
            <v/>
          </cell>
          <cell r="DR511" t="str">
            <v/>
          </cell>
          <cell r="DS511" t="str">
            <v/>
          </cell>
          <cell r="DT511" t="str">
            <v/>
          </cell>
          <cell r="DU511" t="str">
            <v/>
          </cell>
          <cell r="DV511" t="str">
            <v/>
          </cell>
          <cell r="DW511" t="str">
            <v/>
          </cell>
          <cell r="DX511" t="str">
            <v/>
          </cell>
          <cell r="DY511" t="str">
            <v/>
          </cell>
          <cell r="DZ511" t="str">
            <v/>
          </cell>
          <cell r="EA511" t="str">
            <v/>
          </cell>
          <cell r="EB511" t="str">
            <v/>
          </cell>
          <cell r="EC511" t="str">
            <v/>
          </cell>
          <cell r="ED511" t="str">
            <v/>
          </cell>
          <cell r="EE511" t="str">
            <v/>
          </cell>
          <cell r="EF511" t="str">
            <v/>
          </cell>
          <cell r="EH511" t="str">
            <v/>
          </cell>
          <cell r="EI511" t="str">
            <v/>
          </cell>
          <cell r="EJ511" t="str">
            <v/>
          </cell>
          <cell r="EL511" t="str">
            <v/>
          </cell>
          <cell r="EM511" t="str">
            <v/>
          </cell>
          <cell r="EN511" t="str">
            <v/>
          </cell>
          <cell r="EO511" t="str">
            <v/>
          </cell>
          <cell r="EP511" t="str">
            <v/>
          </cell>
          <cell r="EQ511" t="str">
            <v/>
          </cell>
          <cell r="ER511" t="str">
            <v/>
          </cell>
          <cell r="ES511" t="str">
            <v/>
          </cell>
          <cell r="ET511" t="str">
            <v/>
          </cell>
        </row>
        <row r="512">
          <cell r="DO512">
            <v>433</v>
          </cell>
          <cell r="DP512" t="str">
            <v/>
          </cell>
          <cell r="DQ512" t="str">
            <v/>
          </cell>
          <cell r="DR512" t="str">
            <v/>
          </cell>
          <cell r="DS512" t="str">
            <v/>
          </cell>
          <cell r="DT512" t="str">
            <v/>
          </cell>
          <cell r="DU512" t="str">
            <v/>
          </cell>
          <cell r="DV512" t="str">
            <v/>
          </cell>
          <cell r="DW512" t="str">
            <v/>
          </cell>
          <cell r="DX512" t="str">
            <v/>
          </cell>
          <cell r="DY512" t="str">
            <v/>
          </cell>
          <cell r="DZ512" t="str">
            <v/>
          </cell>
          <cell r="EA512" t="str">
            <v/>
          </cell>
          <cell r="EB512" t="str">
            <v/>
          </cell>
          <cell r="EC512" t="str">
            <v/>
          </cell>
          <cell r="ED512" t="str">
            <v/>
          </cell>
          <cell r="EE512" t="str">
            <v/>
          </cell>
          <cell r="EF512" t="str">
            <v/>
          </cell>
          <cell r="EH512" t="str">
            <v/>
          </cell>
          <cell r="EI512" t="str">
            <v/>
          </cell>
          <cell r="EJ512" t="str">
            <v/>
          </cell>
          <cell r="EL512" t="str">
            <v/>
          </cell>
          <cell r="EM512" t="str">
            <v/>
          </cell>
          <cell r="EN512" t="str">
            <v/>
          </cell>
          <cell r="EO512" t="str">
            <v/>
          </cell>
          <cell r="EP512" t="str">
            <v/>
          </cell>
          <cell r="EQ512" t="str">
            <v/>
          </cell>
          <cell r="ER512" t="str">
            <v/>
          </cell>
          <cell r="ES512" t="str">
            <v/>
          </cell>
          <cell r="ET512" t="str">
            <v/>
          </cell>
        </row>
        <row r="513">
          <cell r="DO513">
            <v>434</v>
          </cell>
          <cell r="DP513" t="str">
            <v/>
          </cell>
          <cell r="DQ513" t="str">
            <v/>
          </cell>
          <cell r="DR513" t="str">
            <v/>
          </cell>
          <cell r="DS513" t="str">
            <v/>
          </cell>
          <cell r="DT513" t="str">
            <v/>
          </cell>
          <cell r="DU513" t="str">
            <v/>
          </cell>
          <cell r="DV513" t="str">
            <v/>
          </cell>
          <cell r="DW513" t="str">
            <v/>
          </cell>
          <cell r="DX513" t="str">
            <v/>
          </cell>
          <cell r="DY513" t="str">
            <v/>
          </cell>
          <cell r="DZ513" t="str">
            <v/>
          </cell>
          <cell r="EA513" t="str">
            <v/>
          </cell>
          <cell r="EB513" t="str">
            <v/>
          </cell>
          <cell r="EC513" t="str">
            <v/>
          </cell>
          <cell r="ED513" t="str">
            <v/>
          </cell>
          <cell r="EE513" t="str">
            <v/>
          </cell>
          <cell r="EF513" t="str">
            <v/>
          </cell>
          <cell r="EH513" t="str">
            <v/>
          </cell>
          <cell r="EI513" t="str">
            <v/>
          </cell>
          <cell r="EJ513" t="str">
            <v/>
          </cell>
          <cell r="EL513" t="str">
            <v/>
          </cell>
          <cell r="EM513" t="str">
            <v/>
          </cell>
          <cell r="EN513" t="str">
            <v/>
          </cell>
          <cell r="EO513" t="str">
            <v/>
          </cell>
          <cell r="EP513" t="str">
            <v/>
          </cell>
          <cell r="EQ513" t="str">
            <v/>
          </cell>
          <cell r="ER513" t="str">
            <v/>
          </cell>
          <cell r="ES513" t="str">
            <v/>
          </cell>
          <cell r="ET513" t="str">
            <v/>
          </cell>
        </row>
        <row r="514">
          <cell r="DO514">
            <v>435</v>
          </cell>
          <cell r="DP514" t="str">
            <v/>
          </cell>
          <cell r="DQ514" t="str">
            <v/>
          </cell>
          <cell r="DR514" t="str">
            <v/>
          </cell>
          <cell r="DS514" t="str">
            <v/>
          </cell>
          <cell r="DT514" t="str">
            <v/>
          </cell>
          <cell r="DU514" t="str">
            <v/>
          </cell>
          <cell r="DV514" t="str">
            <v/>
          </cell>
          <cell r="DW514" t="str">
            <v/>
          </cell>
          <cell r="DX514" t="str">
            <v/>
          </cell>
          <cell r="DY514" t="str">
            <v/>
          </cell>
          <cell r="DZ514" t="str">
            <v/>
          </cell>
          <cell r="EA514" t="str">
            <v/>
          </cell>
          <cell r="EB514" t="str">
            <v/>
          </cell>
          <cell r="EC514" t="str">
            <v/>
          </cell>
          <cell r="ED514" t="str">
            <v/>
          </cell>
          <cell r="EE514" t="str">
            <v/>
          </cell>
          <cell r="EF514" t="str">
            <v/>
          </cell>
          <cell r="EH514" t="str">
            <v/>
          </cell>
          <cell r="EI514" t="str">
            <v/>
          </cell>
          <cell r="EJ514" t="str">
            <v/>
          </cell>
          <cell r="EL514" t="str">
            <v/>
          </cell>
          <cell r="EM514" t="str">
            <v/>
          </cell>
          <cell r="EN514" t="str">
            <v/>
          </cell>
          <cell r="EO514" t="str">
            <v/>
          </cell>
          <cell r="EP514" t="str">
            <v/>
          </cell>
          <cell r="EQ514" t="str">
            <v/>
          </cell>
          <cell r="ER514" t="str">
            <v/>
          </cell>
          <cell r="ES514" t="str">
            <v/>
          </cell>
          <cell r="ET514" t="str">
            <v/>
          </cell>
        </row>
        <row r="515">
          <cell r="DO515">
            <v>436</v>
          </cell>
          <cell r="DP515" t="str">
            <v/>
          </cell>
          <cell r="DQ515" t="str">
            <v/>
          </cell>
          <cell r="DR515" t="str">
            <v/>
          </cell>
          <cell r="DS515" t="str">
            <v/>
          </cell>
          <cell r="DT515" t="str">
            <v/>
          </cell>
          <cell r="DU515" t="str">
            <v/>
          </cell>
          <cell r="DV515" t="str">
            <v/>
          </cell>
          <cell r="DW515" t="str">
            <v/>
          </cell>
          <cell r="DX515" t="str">
            <v/>
          </cell>
          <cell r="DY515" t="str">
            <v/>
          </cell>
          <cell r="DZ515" t="str">
            <v/>
          </cell>
          <cell r="EA515" t="str">
            <v/>
          </cell>
          <cell r="EB515" t="str">
            <v/>
          </cell>
          <cell r="EC515" t="str">
            <v/>
          </cell>
          <cell r="ED515" t="str">
            <v/>
          </cell>
          <cell r="EE515" t="str">
            <v/>
          </cell>
          <cell r="EF515" t="str">
            <v/>
          </cell>
          <cell r="EH515" t="str">
            <v/>
          </cell>
          <cell r="EI515" t="str">
            <v/>
          </cell>
          <cell r="EJ515" t="str">
            <v/>
          </cell>
          <cell r="EL515" t="str">
            <v/>
          </cell>
          <cell r="EM515" t="str">
            <v/>
          </cell>
          <cell r="EN515" t="str">
            <v/>
          </cell>
          <cell r="EO515" t="str">
            <v/>
          </cell>
          <cell r="EP515" t="str">
            <v/>
          </cell>
          <cell r="EQ515" t="str">
            <v/>
          </cell>
          <cell r="ER515" t="str">
            <v/>
          </cell>
          <cell r="ES515" t="str">
            <v/>
          </cell>
          <cell r="ET515" t="str">
            <v/>
          </cell>
        </row>
        <row r="516">
          <cell r="DO516">
            <v>437</v>
          </cell>
          <cell r="DP516" t="str">
            <v/>
          </cell>
          <cell r="DQ516" t="str">
            <v/>
          </cell>
          <cell r="DR516" t="str">
            <v/>
          </cell>
          <cell r="DS516" t="str">
            <v/>
          </cell>
          <cell r="DT516" t="str">
            <v/>
          </cell>
          <cell r="DU516" t="str">
            <v/>
          </cell>
          <cell r="DV516" t="str">
            <v/>
          </cell>
          <cell r="DW516" t="str">
            <v/>
          </cell>
          <cell r="DX516" t="str">
            <v/>
          </cell>
          <cell r="DY516" t="str">
            <v/>
          </cell>
          <cell r="DZ516" t="str">
            <v/>
          </cell>
          <cell r="EA516" t="str">
            <v/>
          </cell>
          <cell r="EB516" t="str">
            <v/>
          </cell>
          <cell r="EC516" t="str">
            <v/>
          </cell>
          <cell r="ED516" t="str">
            <v/>
          </cell>
          <cell r="EE516" t="str">
            <v/>
          </cell>
          <cell r="EF516" t="str">
            <v/>
          </cell>
          <cell r="EH516" t="str">
            <v/>
          </cell>
          <cell r="EI516" t="str">
            <v/>
          </cell>
          <cell r="EJ516" t="str">
            <v/>
          </cell>
          <cell r="EL516" t="str">
            <v/>
          </cell>
          <cell r="EM516" t="str">
            <v/>
          </cell>
          <cell r="EN516" t="str">
            <v/>
          </cell>
          <cell r="EO516" t="str">
            <v/>
          </cell>
          <cell r="EP516" t="str">
            <v/>
          </cell>
          <cell r="EQ516" t="str">
            <v/>
          </cell>
          <cell r="ER516" t="str">
            <v/>
          </cell>
          <cell r="ES516" t="str">
            <v/>
          </cell>
          <cell r="ET516" t="str">
            <v/>
          </cell>
        </row>
        <row r="517">
          <cell r="DO517">
            <v>438</v>
          </cell>
          <cell r="DP517" t="str">
            <v/>
          </cell>
          <cell r="DQ517" t="str">
            <v/>
          </cell>
          <cell r="DR517" t="str">
            <v/>
          </cell>
          <cell r="DS517" t="str">
            <v/>
          </cell>
          <cell r="DT517" t="str">
            <v/>
          </cell>
          <cell r="DU517" t="str">
            <v/>
          </cell>
          <cell r="DV517" t="str">
            <v/>
          </cell>
          <cell r="DW517" t="str">
            <v/>
          </cell>
          <cell r="DX517" t="str">
            <v/>
          </cell>
          <cell r="DY517" t="str">
            <v/>
          </cell>
          <cell r="DZ517" t="str">
            <v/>
          </cell>
          <cell r="EA517" t="str">
            <v/>
          </cell>
          <cell r="EB517" t="str">
            <v/>
          </cell>
          <cell r="EC517" t="str">
            <v/>
          </cell>
          <cell r="ED517" t="str">
            <v/>
          </cell>
          <cell r="EE517" t="str">
            <v/>
          </cell>
          <cell r="EF517" t="str">
            <v/>
          </cell>
          <cell r="EH517" t="str">
            <v/>
          </cell>
          <cell r="EI517" t="str">
            <v/>
          </cell>
          <cell r="EJ517" t="str">
            <v/>
          </cell>
          <cell r="EL517" t="str">
            <v/>
          </cell>
          <cell r="EM517" t="str">
            <v/>
          </cell>
          <cell r="EN517" t="str">
            <v/>
          </cell>
          <cell r="EO517" t="str">
            <v/>
          </cell>
          <cell r="EP517" t="str">
            <v/>
          </cell>
          <cell r="EQ517" t="str">
            <v/>
          </cell>
          <cell r="ER517" t="str">
            <v/>
          </cell>
          <cell r="ES517" t="str">
            <v/>
          </cell>
          <cell r="ET517" t="str">
            <v/>
          </cell>
        </row>
        <row r="518">
          <cell r="DO518">
            <v>439</v>
          </cell>
          <cell r="DP518" t="str">
            <v/>
          </cell>
          <cell r="DQ518" t="str">
            <v/>
          </cell>
          <cell r="DR518" t="str">
            <v/>
          </cell>
          <cell r="DS518" t="str">
            <v/>
          </cell>
          <cell r="DT518" t="str">
            <v/>
          </cell>
          <cell r="DU518" t="str">
            <v/>
          </cell>
          <cell r="DV518" t="str">
            <v/>
          </cell>
          <cell r="DW518" t="str">
            <v/>
          </cell>
          <cell r="DX518" t="str">
            <v/>
          </cell>
          <cell r="DY518" t="str">
            <v/>
          </cell>
          <cell r="DZ518" t="str">
            <v/>
          </cell>
          <cell r="EA518" t="str">
            <v/>
          </cell>
          <cell r="EB518" t="str">
            <v/>
          </cell>
          <cell r="EC518" t="str">
            <v/>
          </cell>
          <cell r="ED518" t="str">
            <v/>
          </cell>
          <cell r="EE518" t="str">
            <v/>
          </cell>
          <cell r="EF518" t="str">
            <v/>
          </cell>
          <cell r="EH518" t="str">
            <v/>
          </cell>
          <cell r="EI518" t="str">
            <v/>
          </cell>
          <cell r="EJ518" t="str">
            <v/>
          </cell>
          <cell r="EL518" t="str">
            <v/>
          </cell>
          <cell r="EM518" t="str">
            <v/>
          </cell>
          <cell r="EN518" t="str">
            <v/>
          </cell>
          <cell r="EO518" t="str">
            <v/>
          </cell>
          <cell r="EP518" t="str">
            <v/>
          </cell>
          <cell r="EQ518" t="str">
            <v/>
          </cell>
          <cell r="ER518" t="str">
            <v/>
          </cell>
          <cell r="ES518" t="str">
            <v/>
          </cell>
          <cell r="ET518" t="str">
            <v/>
          </cell>
        </row>
        <row r="519">
          <cell r="DO519">
            <v>440</v>
          </cell>
          <cell r="DP519" t="str">
            <v/>
          </cell>
          <cell r="DQ519" t="str">
            <v/>
          </cell>
          <cell r="DR519" t="str">
            <v/>
          </cell>
          <cell r="DS519" t="str">
            <v/>
          </cell>
          <cell r="DT519" t="str">
            <v/>
          </cell>
          <cell r="DU519" t="str">
            <v/>
          </cell>
          <cell r="DV519" t="str">
            <v/>
          </cell>
          <cell r="DW519" t="str">
            <v/>
          </cell>
          <cell r="DX519" t="str">
            <v/>
          </cell>
          <cell r="DY519" t="str">
            <v/>
          </cell>
          <cell r="DZ519" t="str">
            <v/>
          </cell>
          <cell r="EA519" t="str">
            <v/>
          </cell>
          <cell r="EB519" t="str">
            <v/>
          </cell>
          <cell r="EC519" t="str">
            <v/>
          </cell>
          <cell r="ED519" t="str">
            <v/>
          </cell>
          <cell r="EE519" t="str">
            <v/>
          </cell>
          <cell r="EF519" t="str">
            <v/>
          </cell>
          <cell r="EH519" t="str">
            <v/>
          </cell>
          <cell r="EI519" t="str">
            <v/>
          </cell>
          <cell r="EJ519" t="str">
            <v/>
          </cell>
          <cell r="EL519" t="str">
            <v/>
          </cell>
          <cell r="EM519" t="str">
            <v/>
          </cell>
          <cell r="EN519" t="str">
            <v/>
          </cell>
          <cell r="EO519" t="str">
            <v/>
          </cell>
          <cell r="EP519" t="str">
            <v/>
          </cell>
          <cell r="EQ519" t="str">
            <v/>
          </cell>
          <cell r="ER519" t="str">
            <v/>
          </cell>
          <cell r="ES519" t="str">
            <v/>
          </cell>
          <cell r="ET519" t="str">
            <v/>
          </cell>
        </row>
        <row r="520">
          <cell r="DO520">
            <v>441</v>
          </cell>
          <cell r="DP520" t="str">
            <v/>
          </cell>
          <cell r="DQ520" t="str">
            <v/>
          </cell>
          <cell r="DR520" t="str">
            <v/>
          </cell>
          <cell r="DS520" t="str">
            <v/>
          </cell>
          <cell r="DT520" t="str">
            <v/>
          </cell>
          <cell r="DU520" t="str">
            <v/>
          </cell>
          <cell r="DV520" t="str">
            <v/>
          </cell>
          <cell r="DW520" t="str">
            <v/>
          </cell>
          <cell r="DX520" t="str">
            <v/>
          </cell>
          <cell r="DY520" t="str">
            <v/>
          </cell>
          <cell r="DZ520" t="str">
            <v/>
          </cell>
          <cell r="EA520" t="str">
            <v/>
          </cell>
          <cell r="EB520" t="str">
            <v/>
          </cell>
          <cell r="EC520" t="str">
            <v/>
          </cell>
          <cell r="ED520" t="str">
            <v/>
          </cell>
          <cell r="EE520" t="str">
            <v/>
          </cell>
          <cell r="EF520" t="str">
            <v/>
          </cell>
          <cell r="EH520" t="str">
            <v/>
          </cell>
          <cell r="EI520" t="str">
            <v/>
          </cell>
          <cell r="EJ520" t="str">
            <v/>
          </cell>
          <cell r="EL520" t="str">
            <v/>
          </cell>
          <cell r="EM520" t="str">
            <v/>
          </cell>
          <cell r="EN520" t="str">
            <v/>
          </cell>
          <cell r="EO520" t="str">
            <v/>
          </cell>
          <cell r="EP520" t="str">
            <v/>
          </cell>
          <cell r="EQ520" t="str">
            <v/>
          </cell>
          <cell r="ER520" t="str">
            <v/>
          </cell>
          <cell r="ES520" t="str">
            <v/>
          </cell>
          <cell r="ET520" t="str">
            <v/>
          </cell>
        </row>
        <row r="521">
          <cell r="DO521">
            <v>442</v>
          </cell>
          <cell r="DP521" t="str">
            <v/>
          </cell>
          <cell r="DQ521" t="str">
            <v/>
          </cell>
          <cell r="DR521" t="str">
            <v/>
          </cell>
          <cell r="DS521" t="str">
            <v/>
          </cell>
          <cell r="DT521" t="str">
            <v/>
          </cell>
          <cell r="DU521" t="str">
            <v/>
          </cell>
          <cell r="DV521" t="str">
            <v/>
          </cell>
          <cell r="DW521" t="str">
            <v/>
          </cell>
          <cell r="DX521" t="str">
            <v/>
          </cell>
          <cell r="DY521" t="str">
            <v/>
          </cell>
          <cell r="DZ521" t="str">
            <v/>
          </cell>
          <cell r="EA521" t="str">
            <v/>
          </cell>
          <cell r="EB521" t="str">
            <v/>
          </cell>
          <cell r="EC521" t="str">
            <v/>
          </cell>
          <cell r="ED521" t="str">
            <v/>
          </cell>
          <cell r="EE521" t="str">
            <v/>
          </cell>
          <cell r="EF521" t="str">
            <v/>
          </cell>
          <cell r="EH521" t="str">
            <v/>
          </cell>
          <cell r="EI521" t="str">
            <v/>
          </cell>
          <cell r="EJ521" t="str">
            <v/>
          </cell>
          <cell r="EL521" t="str">
            <v/>
          </cell>
          <cell r="EM521" t="str">
            <v/>
          </cell>
          <cell r="EN521" t="str">
            <v/>
          </cell>
          <cell r="EO521" t="str">
            <v/>
          </cell>
          <cell r="EP521" t="str">
            <v/>
          </cell>
          <cell r="EQ521" t="str">
            <v/>
          </cell>
          <cell r="ER521" t="str">
            <v/>
          </cell>
          <cell r="ES521" t="str">
            <v/>
          </cell>
          <cell r="ET521" t="str">
            <v/>
          </cell>
        </row>
        <row r="522">
          <cell r="DO522">
            <v>443</v>
          </cell>
          <cell r="DP522" t="str">
            <v/>
          </cell>
          <cell r="DQ522" t="str">
            <v/>
          </cell>
          <cell r="DR522" t="str">
            <v/>
          </cell>
          <cell r="DS522" t="str">
            <v/>
          </cell>
          <cell r="DT522" t="str">
            <v/>
          </cell>
          <cell r="DU522" t="str">
            <v/>
          </cell>
          <cell r="DV522" t="str">
            <v/>
          </cell>
          <cell r="DW522" t="str">
            <v/>
          </cell>
          <cell r="DX522" t="str">
            <v/>
          </cell>
          <cell r="DY522" t="str">
            <v/>
          </cell>
          <cell r="DZ522" t="str">
            <v/>
          </cell>
          <cell r="EA522" t="str">
            <v/>
          </cell>
          <cell r="EB522" t="str">
            <v/>
          </cell>
          <cell r="EC522" t="str">
            <v/>
          </cell>
          <cell r="ED522" t="str">
            <v/>
          </cell>
          <cell r="EE522" t="str">
            <v/>
          </cell>
          <cell r="EF522" t="str">
            <v/>
          </cell>
          <cell r="EH522" t="str">
            <v/>
          </cell>
          <cell r="EI522" t="str">
            <v/>
          </cell>
          <cell r="EJ522" t="str">
            <v/>
          </cell>
          <cell r="EL522" t="str">
            <v/>
          </cell>
          <cell r="EM522" t="str">
            <v/>
          </cell>
          <cell r="EN522" t="str">
            <v/>
          </cell>
          <cell r="EO522" t="str">
            <v/>
          </cell>
          <cell r="EP522" t="str">
            <v/>
          </cell>
          <cell r="EQ522" t="str">
            <v/>
          </cell>
          <cell r="ER522" t="str">
            <v/>
          </cell>
          <cell r="ES522" t="str">
            <v/>
          </cell>
          <cell r="ET522" t="str">
            <v/>
          </cell>
        </row>
        <row r="523">
          <cell r="DO523">
            <v>444</v>
          </cell>
          <cell r="DP523" t="str">
            <v/>
          </cell>
          <cell r="DQ523" t="str">
            <v/>
          </cell>
          <cell r="DR523" t="str">
            <v/>
          </cell>
          <cell r="DS523" t="str">
            <v/>
          </cell>
          <cell r="DT523" t="str">
            <v/>
          </cell>
          <cell r="DU523" t="str">
            <v/>
          </cell>
          <cell r="DV523" t="str">
            <v/>
          </cell>
          <cell r="DW523" t="str">
            <v/>
          </cell>
          <cell r="DX523" t="str">
            <v/>
          </cell>
          <cell r="DY523" t="str">
            <v/>
          </cell>
          <cell r="DZ523" t="str">
            <v/>
          </cell>
          <cell r="EA523" t="str">
            <v/>
          </cell>
          <cell r="EB523" t="str">
            <v/>
          </cell>
          <cell r="EC523" t="str">
            <v/>
          </cell>
          <cell r="ED523" t="str">
            <v/>
          </cell>
          <cell r="EE523" t="str">
            <v/>
          </cell>
          <cell r="EF523" t="str">
            <v/>
          </cell>
          <cell r="EH523" t="str">
            <v/>
          </cell>
          <cell r="EI523" t="str">
            <v/>
          </cell>
          <cell r="EJ523" t="str">
            <v/>
          </cell>
          <cell r="EL523" t="str">
            <v/>
          </cell>
          <cell r="EM523" t="str">
            <v/>
          </cell>
          <cell r="EN523" t="str">
            <v/>
          </cell>
          <cell r="EO523" t="str">
            <v/>
          </cell>
          <cell r="EP523" t="str">
            <v/>
          </cell>
          <cell r="EQ523" t="str">
            <v/>
          </cell>
          <cell r="ER523" t="str">
            <v/>
          </cell>
          <cell r="ES523" t="str">
            <v/>
          </cell>
          <cell r="ET523" t="str">
            <v/>
          </cell>
        </row>
        <row r="524">
          <cell r="DO524">
            <v>445</v>
          </cell>
          <cell r="DP524" t="str">
            <v/>
          </cell>
          <cell r="DQ524" t="str">
            <v/>
          </cell>
          <cell r="DR524" t="str">
            <v/>
          </cell>
          <cell r="DS524" t="str">
            <v/>
          </cell>
          <cell r="DT524" t="str">
            <v/>
          </cell>
          <cell r="DU524" t="str">
            <v/>
          </cell>
          <cell r="DV524" t="str">
            <v/>
          </cell>
          <cell r="DW524" t="str">
            <v/>
          </cell>
          <cell r="DX524" t="str">
            <v/>
          </cell>
          <cell r="DY524" t="str">
            <v/>
          </cell>
          <cell r="DZ524" t="str">
            <v/>
          </cell>
          <cell r="EA524" t="str">
            <v/>
          </cell>
          <cell r="EB524" t="str">
            <v/>
          </cell>
          <cell r="EC524" t="str">
            <v/>
          </cell>
          <cell r="ED524" t="str">
            <v/>
          </cell>
          <cell r="EE524" t="str">
            <v/>
          </cell>
          <cell r="EF524" t="str">
            <v/>
          </cell>
          <cell r="EH524" t="str">
            <v/>
          </cell>
          <cell r="EI524" t="str">
            <v/>
          </cell>
          <cell r="EJ524" t="str">
            <v/>
          </cell>
          <cell r="EL524" t="str">
            <v/>
          </cell>
          <cell r="EM524" t="str">
            <v/>
          </cell>
          <cell r="EN524" t="str">
            <v/>
          </cell>
          <cell r="EO524" t="str">
            <v/>
          </cell>
          <cell r="EP524" t="str">
            <v/>
          </cell>
          <cell r="EQ524" t="str">
            <v/>
          </cell>
          <cell r="ER524" t="str">
            <v/>
          </cell>
          <cell r="ES524" t="str">
            <v/>
          </cell>
          <cell r="ET524" t="str">
            <v/>
          </cell>
        </row>
        <row r="525">
          <cell r="DO525">
            <v>446</v>
          </cell>
          <cell r="DP525" t="str">
            <v/>
          </cell>
          <cell r="DQ525" t="str">
            <v/>
          </cell>
          <cell r="DR525" t="str">
            <v/>
          </cell>
          <cell r="DS525" t="str">
            <v/>
          </cell>
          <cell r="DT525" t="str">
            <v/>
          </cell>
          <cell r="DU525" t="str">
            <v/>
          </cell>
          <cell r="DV525" t="str">
            <v/>
          </cell>
          <cell r="DW525" t="str">
            <v/>
          </cell>
          <cell r="DX525" t="str">
            <v/>
          </cell>
          <cell r="DY525" t="str">
            <v/>
          </cell>
          <cell r="DZ525" t="str">
            <v/>
          </cell>
          <cell r="EA525" t="str">
            <v/>
          </cell>
          <cell r="EB525" t="str">
            <v/>
          </cell>
          <cell r="EC525" t="str">
            <v/>
          </cell>
          <cell r="ED525" t="str">
            <v/>
          </cell>
          <cell r="EE525" t="str">
            <v/>
          </cell>
          <cell r="EF525" t="str">
            <v/>
          </cell>
          <cell r="EH525" t="str">
            <v/>
          </cell>
          <cell r="EI525" t="str">
            <v/>
          </cell>
          <cell r="EJ525" t="str">
            <v/>
          </cell>
          <cell r="EL525" t="str">
            <v/>
          </cell>
          <cell r="EM525" t="str">
            <v/>
          </cell>
          <cell r="EN525" t="str">
            <v/>
          </cell>
          <cell r="EO525" t="str">
            <v/>
          </cell>
          <cell r="EP525" t="str">
            <v/>
          </cell>
          <cell r="EQ525" t="str">
            <v/>
          </cell>
          <cell r="ER525" t="str">
            <v/>
          </cell>
          <cell r="ES525" t="str">
            <v/>
          </cell>
          <cell r="ET525" t="str">
            <v/>
          </cell>
        </row>
        <row r="526">
          <cell r="DO526">
            <v>447</v>
          </cell>
          <cell r="DP526" t="str">
            <v/>
          </cell>
          <cell r="DQ526" t="str">
            <v/>
          </cell>
          <cell r="DR526" t="str">
            <v/>
          </cell>
          <cell r="DS526" t="str">
            <v/>
          </cell>
          <cell r="DT526" t="str">
            <v/>
          </cell>
          <cell r="DU526" t="str">
            <v/>
          </cell>
          <cell r="DV526" t="str">
            <v/>
          </cell>
          <cell r="DW526" t="str">
            <v/>
          </cell>
          <cell r="DX526" t="str">
            <v/>
          </cell>
          <cell r="DY526" t="str">
            <v/>
          </cell>
          <cell r="DZ526" t="str">
            <v/>
          </cell>
          <cell r="EA526" t="str">
            <v/>
          </cell>
          <cell r="EB526" t="str">
            <v/>
          </cell>
          <cell r="EC526" t="str">
            <v/>
          </cell>
          <cell r="ED526" t="str">
            <v/>
          </cell>
          <cell r="EE526" t="str">
            <v/>
          </cell>
          <cell r="EF526" t="str">
            <v/>
          </cell>
          <cell r="EH526" t="str">
            <v/>
          </cell>
          <cell r="EI526" t="str">
            <v/>
          </cell>
          <cell r="EJ526" t="str">
            <v/>
          </cell>
          <cell r="EL526" t="str">
            <v/>
          </cell>
          <cell r="EM526" t="str">
            <v/>
          </cell>
          <cell r="EN526" t="str">
            <v/>
          </cell>
          <cell r="EO526" t="str">
            <v/>
          </cell>
          <cell r="EP526" t="str">
            <v/>
          </cell>
          <cell r="EQ526" t="str">
            <v/>
          </cell>
          <cell r="ER526" t="str">
            <v/>
          </cell>
          <cell r="ES526" t="str">
            <v/>
          </cell>
          <cell r="ET526" t="str">
            <v/>
          </cell>
        </row>
        <row r="527">
          <cell r="DO527">
            <v>448</v>
          </cell>
          <cell r="DP527" t="str">
            <v/>
          </cell>
          <cell r="DQ527" t="str">
            <v/>
          </cell>
          <cell r="DR527" t="str">
            <v/>
          </cell>
          <cell r="DS527" t="str">
            <v/>
          </cell>
          <cell r="DT527" t="str">
            <v/>
          </cell>
          <cell r="DU527" t="str">
            <v/>
          </cell>
          <cell r="DV527" t="str">
            <v/>
          </cell>
          <cell r="DW527" t="str">
            <v/>
          </cell>
          <cell r="DX527" t="str">
            <v/>
          </cell>
          <cell r="DY527" t="str">
            <v/>
          </cell>
          <cell r="DZ527" t="str">
            <v/>
          </cell>
          <cell r="EA527" t="str">
            <v/>
          </cell>
          <cell r="EB527" t="str">
            <v/>
          </cell>
          <cell r="EC527" t="str">
            <v/>
          </cell>
          <cell r="ED527" t="str">
            <v/>
          </cell>
          <cell r="EE527" t="str">
            <v/>
          </cell>
          <cell r="EF527" t="str">
            <v/>
          </cell>
          <cell r="EH527" t="str">
            <v/>
          </cell>
          <cell r="EI527" t="str">
            <v/>
          </cell>
          <cell r="EJ527" t="str">
            <v/>
          </cell>
          <cell r="EL527" t="str">
            <v/>
          </cell>
          <cell r="EM527" t="str">
            <v/>
          </cell>
          <cell r="EN527" t="str">
            <v/>
          </cell>
          <cell r="EO527" t="str">
            <v/>
          </cell>
          <cell r="EP527" t="str">
            <v/>
          </cell>
          <cell r="EQ527" t="str">
            <v/>
          </cell>
          <cell r="ER527" t="str">
            <v/>
          </cell>
          <cell r="ES527" t="str">
            <v/>
          </cell>
          <cell r="ET527" t="str">
            <v/>
          </cell>
        </row>
        <row r="528">
          <cell r="DO528">
            <v>449</v>
          </cell>
          <cell r="DP528" t="str">
            <v/>
          </cell>
          <cell r="DQ528" t="str">
            <v/>
          </cell>
          <cell r="DR528" t="str">
            <v/>
          </cell>
          <cell r="DS528" t="str">
            <v/>
          </cell>
          <cell r="DT528" t="str">
            <v/>
          </cell>
          <cell r="DU528" t="str">
            <v/>
          </cell>
          <cell r="DV528" t="str">
            <v/>
          </cell>
          <cell r="DW528" t="str">
            <v/>
          </cell>
          <cell r="DX528" t="str">
            <v/>
          </cell>
          <cell r="DY528" t="str">
            <v/>
          </cell>
          <cell r="DZ528" t="str">
            <v/>
          </cell>
          <cell r="EA528" t="str">
            <v/>
          </cell>
          <cell r="EB528" t="str">
            <v/>
          </cell>
          <cell r="EC528" t="str">
            <v/>
          </cell>
          <cell r="ED528" t="str">
            <v/>
          </cell>
          <cell r="EE528" t="str">
            <v/>
          </cell>
          <cell r="EF528" t="str">
            <v/>
          </cell>
          <cell r="EH528" t="str">
            <v/>
          </cell>
          <cell r="EI528" t="str">
            <v/>
          </cell>
          <cell r="EJ528" t="str">
            <v/>
          </cell>
          <cell r="EL528" t="str">
            <v/>
          </cell>
          <cell r="EM528" t="str">
            <v/>
          </cell>
          <cell r="EN528" t="str">
            <v/>
          </cell>
          <cell r="EO528" t="str">
            <v/>
          </cell>
          <cell r="EP528" t="str">
            <v/>
          </cell>
          <cell r="EQ528" t="str">
            <v/>
          </cell>
          <cell r="ER528" t="str">
            <v/>
          </cell>
          <cell r="ES528" t="str">
            <v/>
          </cell>
          <cell r="ET528" t="str">
            <v/>
          </cell>
        </row>
        <row r="529">
          <cell r="DO529">
            <v>450</v>
          </cell>
          <cell r="DP529" t="str">
            <v/>
          </cell>
          <cell r="DQ529" t="str">
            <v/>
          </cell>
          <cell r="DR529" t="str">
            <v/>
          </cell>
          <cell r="DS529" t="str">
            <v/>
          </cell>
          <cell r="DT529" t="str">
            <v/>
          </cell>
          <cell r="DU529" t="str">
            <v/>
          </cell>
          <cell r="DV529" t="str">
            <v/>
          </cell>
          <cell r="DW529" t="str">
            <v/>
          </cell>
          <cell r="DX529" t="str">
            <v/>
          </cell>
          <cell r="DY529" t="str">
            <v/>
          </cell>
          <cell r="DZ529" t="str">
            <v/>
          </cell>
          <cell r="EA529" t="str">
            <v/>
          </cell>
          <cell r="EB529" t="str">
            <v/>
          </cell>
          <cell r="EC529" t="str">
            <v/>
          </cell>
          <cell r="ED529" t="str">
            <v/>
          </cell>
          <cell r="EE529" t="str">
            <v/>
          </cell>
          <cell r="EF529" t="str">
            <v/>
          </cell>
          <cell r="EH529" t="str">
            <v/>
          </cell>
          <cell r="EI529" t="str">
            <v/>
          </cell>
          <cell r="EJ529" t="str">
            <v/>
          </cell>
          <cell r="EL529" t="str">
            <v/>
          </cell>
          <cell r="EM529" t="str">
            <v/>
          </cell>
          <cell r="EN529" t="str">
            <v/>
          </cell>
          <cell r="EO529" t="str">
            <v/>
          </cell>
          <cell r="EP529" t="str">
            <v/>
          </cell>
          <cell r="EQ529" t="str">
            <v/>
          </cell>
          <cell r="ER529" t="str">
            <v/>
          </cell>
          <cell r="ES529" t="str">
            <v/>
          </cell>
          <cell r="ET529" t="str">
            <v/>
          </cell>
        </row>
        <row r="530">
          <cell r="DO530">
            <v>451</v>
          </cell>
          <cell r="DP530" t="str">
            <v/>
          </cell>
          <cell r="DQ530" t="str">
            <v/>
          </cell>
          <cell r="DR530" t="str">
            <v/>
          </cell>
          <cell r="DS530" t="str">
            <v/>
          </cell>
          <cell r="DT530" t="str">
            <v/>
          </cell>
          <cell r="DU530" t="str">
            <v/>
          </cell>
          <cell r="DV530" t="str">
            <v/>
          </cell>
          <cell r="DW530" t="str">
            <v/>
          </cell>
          <cell r="DX530" t="str">
            <v/>
          </cell>
          <cell r="DY530" t="str">
            <v/>
          </cell>
          <cell r="DZ530" t="str">
            <v/>
          </cell>
          <cell r="EA530" t="str">
            <v/>
          </cell>
          <cell r="EB530" t="str">
            <v/>
          </cell>
          <cell r="EC530" t="str">
            <v/>
          </cell>
          <cell r="ED530" t="str">
            <v/>
          </cell>
          <cell r="EE530" t="str">
            <v/>
          </cell>
          <cell r="EF530" t="str">
            <v/>
          </cell>
          <cell r="EH530" t="str">
            <v/>
          </cell>
          <cell r="EI530" t="str">
            <v/>
          </cell>
          <cell r="EJ530" t="str">
            <v/>
          </cell>
          <cell r="EL530" t="str">
            <v/>
          </cell>
          <cell r="EM530" t="str">
            <v/>
          </cell>
          <cell r="EN530" t="str">
            <v/>
          </cell>
          <cell r="EO530" t="str">
            <v/>
          </cell>
          <cell r="EP530" t="str">
            <v/>
          </cell>
          <cell r="EQ530" t="str">
            <v/>
          </cell>
          <cell r="ER530" t="str">
            <v/>
          </cell>
          <cell r="ES530" t="str">
            <v/>
          </cell>
          <cell r="ET530" t="str">
            <v/>
          </cell>
        </row>
        <row r="531">
          <cell r="DO531">
            <v>452</v>
          </cell>
          <cell r="DP531" t="str">
            <v/>
          </cell>
          <cell r="DQ531" t="str">
            <v/>
          </cell>
          <cell r="DR531" t="str">
            <v/>
          </cell>
          <cell r="DS531" t="str">
            <v/>
          </cell>
          <cell r="DT531" t="str">
            <v/>
          </cell>
          <cell r="DU531" t="str">
            <v/>
          </cell>
          <cell r="DV531" t="str">
            <v/>
          </cell>
          <cell r="DW531" t="str">
            <v/>
          </cell>
          <cell r="DX531" t="str">
            <v/>
          </cell>
          <cell r="DY531" t="str">
            <v/>
          </cell>
          <cell r="DZ531" t="str">
            <v/>
          </cell>
          <cell r="EA531" t="str">
            <v/>
          </cell>
          <cell r="EB531" t="str">
            <v/>
          </cell>
          <cell r="EC531" t="str">
            <v/>
          </cell>
          <cell r="ED531" t="str">
            <v/>
          </cell>
          <cell r="EE531" t="str">
            <v/>
          </cell>
          <cell r="EF531" t="str">
            <v/>
          </cell>
          <cell r="EH531" t="str">
            <v/>
          </cell>
          <cell r="EI531" t="str">
            <v/>
          </cell>
          <cell r="EJ531" t="str">
            <v/>
          </cell>
          <cell r="EL531" t="str">
            <v/>
          </cell>
          <cell r="EM531" t="str">
            <v/>
          </cell>
          <cell r="EN531" t="str">
            <v/>
          </cell>
          <cell r="EO531" t="str">
            <v/>
          </cell>
          <cell r="EP531" t="str">
            <v/>
          </cell>
          <cell r="EQ531" t="str">
            <v/>
          </cell>
          <cell r="ER531" t="str">
            <v/>
          </cell>
          <cell r="ES531" t="str">
            <v/>
          </cell>
          <cell r="ET531" t="str">
            <v/>
          </cell>
        </row>
        <row r="532">
          <cell r="DO532">
            <v>453</v>
          </cell>
          <cell r="DP532" t="str">
            <v/>
          </cell>
          <cell r="DQ532" t="str">
            <v/>
          </cell>
          <cell r="DR532" t="str">
            <v/>
          </cell>
          <cell r="DS532" t="str">
            <v/>
          </cell>
          <cell r="DT532" t="str">
            <v/>
          </cell>
          <cell r="DU532" t="str">
            <v/>
          </cell>
          <cell r="DV532" t="str">
            <v/>
          </cell>
          <cell r="DW532" t="str">
            <v/>
          </cell>
          <cell r="DX532" t="str">
            <v/>
          </cell>
          <cell r="DY532" t="str">
            <v/>
          </cell>
          <cell r="DZ532" t="str">
            <v/>
          </cell>
          <cell r="EA532" t="str">
            <v/>
          </cell>
          <cell r="EB532" t="str">
            <v/>
          </cell>
          <cell r="EC532" t="str">
            <v/>
          </cell>
          <cell r="ED532" t="str">
            <v/>
          </cell>
          <cell r="EE532" t="str">
            <v/>
          </cell>
          <cell r="EF532" t="str">
            <v/>
          </cell>
          <cell r="EH532" t="str">
            <v/>
          </cell>
          <cell r="EI532" t="str">
            <v/>
          </cell>
          <cell r="EJ532" t="str">
            <v/>
          </cell>
          <cell r="EL532" t="str">
            <v/>
          </cell>
          <cell r="EM532" t="str">
            <v/>
          </cell>
          <cell r="EN532" t="str">
            <v/>
          </cell>
          <cell r="EO532" t="str">
            <v/>
          </cell>
          <cell r="EP532" t="str">
            <v/>
          </cell>
          <cell r="EQ532" t="str">
            <v/>
          </cell>
          <cell r="ER532" t="str">
            <v/>
          </cell>
          <cell r="ES532" t="str">
            <v/>
          </cell>
          <cell r="ET532" t="str">
            <v/>
          </cell>
        </row>
        <row r="533">
          <cell r="DO533">
            <v>454</v>
          </cell>
          <cell r="DP533" t="str">
            <v/>
          </cell>
          <cell r="DQ533" t="str">
            <v/>
          </cell>
          <cell r="DR533" t="str">
            <v/>
          </cell>
          <cell r="DS533" t="str">
            <v/>
          </cell>
          <cell r="DT533" t="str">
            <v/>
          </cell>
          <cell r="DU533" t="str">
            <v/>
          </cell>
          <cell r="DV533" t="str">
            <v/>
          </cell>
          <cell r="DW533" t="str">
            <v/>
          </cell>
          <cell r="DX533" t="str">
            <v/>
          </cell>
          <cell r="DY533" t="str">
            <v/>
          </cell>
          <cell r="DZ533" t="str">
            <v/>
          </cell>
          <cell r="EA533" t="str">
            <v/>
          </cell>
          <cell r="EB533" t="str">
            <v/>
          </cell>
          <cell r="EC533" t="str">
            <v/>
          </cell>
          <cell r="ED533" t="str">
            <v/>
          </cell>
          <cell r="EE533" t="str">
            <v/>
          </cell>
          <cell r="EF533" t="str">
            <v/>
          </cell>
          <cell r="EH533" t="str">
            <v/>
          </cell>
          <cell r="EI533" t="str">
            <v/>
          </cell>
          <cell r="EJ533" t="str">
            <v/>
          </cell>
          <cell r="EL533" t="str">
            <v/>
          </cell>
          <cell r="EM533" t="str">
            <v/>
          </cell>
          <cell r="EN533" t="str">
            <v/>
          </cell>
          <cell r="EO533" t="str">
            <v/>
          </cell>
          <cell r="EP533" t="str">
            <v/>
          </cell>
          <cell r="EQ533" t="str">
            <v/>
          </cell>
          <cell r="ER533" t="str">
            <v/>
          </cell>
          <cell r="ES533" t="str">
            <v/>
          </cell>
          <cell r="ET533" t="str">
            <v/>
          </cell>
        </row>
        <row r="534">
          <cell r="DO534">
            <v>455</v>
          </cell>
          <cell r="DP534" t="str">
            <v/>
          </cell>
          <cell r="DQ534" t="str">
            <v/>
          </cell>
          <cell r="DR534" t="str">
            <v/>
          </cell>
          <cell r="DS534" t="str">
            <v/>
          </cell>
          <cell r="DT534" t="str">
            <v/>
          </cell>
          <cell r="DU534" t="str">
            <v/>
          </cell>
          <cell r="DV534" t="str">
            <v/>
          </cell>
          <cell r="DW534" t="str">
            <v/>
          </cell>
          <cell r="DX534" t="str">
            <v/>
          </cell>
          <cell r="DY534" t="str">
            <v/>
          </cell>
          <cell r="DZ534" t="str">
            <v/>
          </cell>
          <cell r="EA534" t="str">
            <v/>
          </cell>
          <cell r="EB534" t="str">
            <v/>
          </cell>
          <cell r="EC534" t="str">
            <v/>
          </cell>
          <cell r="ED534" t="str">
            <v/>
          </cell>
          <cell r="EE534" t="str">
            <v/>
          </cell>
          <cell r="EF534" t="str">
            <v/>
          </cell>
          <cell r="EH534" t="str">
            <v/>
          </cell>
          <cell r="EI534" t="str">
            <v/>
          </cell>
          <cell r="EJ534" t="str">
            <v/>
          </cell>
          <cell r="EL534" t="str">
            <v/>
          </cell>
          <cell r="EM534" t="str">
            <v/>
          </cell>
          <cell r="EN534" t="str">
            <v/>
          </cell>
          <cell r="EO534" t="str">
            <v/>
          </cell>
          <cell r="EP534" t="str">
            <v/>
          </cell>
          <cell r="EQ534" t="str">
            <v/>
          </cell>
          <cell r="ER534" t="str">
            <v/>
          </cell>
          <cell r="ES534" t="str">
            <v/>
          </cell>
          <cell r="ET534" t="str">
            <v/>
          </cell>
        </row>
        <row r="535">
          <cell r="DO535">
            <v>456</v>
          </cell>
          <cell r="DP535" t="str">
            <v/>
          </cell>
          <cell r="DQ535" t="str">
            <v/>
          </cell>
          <cell r="DR535" t="str">
            <v/>
          </cell>
          <cell r="DS535" t="str">
            <v/>
          </cell>
          <cell r="DT535" t="str">
            <v/>
          </cell>
          <cell r="DU535" t="str">
            <v/>
          </cell>
          <cell r="DV535" t="str">
            <v/>
          </cell>
          <cell r="DW535" t="str">
            <v/>
          </cell>
          <cell r="DX535" t="str">
            <v/>
          </cell>
          <cell r="DY535" t="str">
            <v/>
          </cell>
          <cell r="DZ535" t="str">
            <v/>
          </cell>
          <cell r="EA535" t="str">
            <v/>
          </cell>
          <cell r="EB535" t="str">
            <v/>
          </cell>
          <cell r="EC535" t="str">
            <v/>
          </cell>
          <cell r="ED535" t="str">
            <v/>
          </cell>
          <cell r="EE535" t="str">
            <v/>
          </cell>
          <cell r="EF535" t="str">
            <v/>
          </cell>
          <cell r="EH535" t="str">
            <v/>
          </cell>
          <cell r="EI535" t="str">
            <v/>
          </cell>
          <cell r="EJ535" t="str">
            <v/>
          </cell>
          <cell r="EL535" t="str">
            <v/>
          </cell>
          <cell r="EM535" t="str">
            <v/>
          </cell>
          <cell r="EN535" t="str">
            <v/>
          </cell>
          <cell r="EO535" t="str">
            <v/>
          </cell>
          <cell r="EP535" t="str">
            <v/>
          </cell>
          <cell r="EQ535" t="str">
            <v/>
          </cell>
          <cell r="ER535" t="str">
            <v/>
          </cell>
          <cell r="ES535" t="str">
            <v/>
          </cell>
          <cell r="ET535" t="str">
            <v/>
          </cell>
        </row>
        <row r="536">
          <cell r="DO536">
            <v>457</v>
          </cell>
          <cell r="DP536" t="str">
            <v/>
          </cell>
          <cell r="DQ536" t="str">
            <v/>
          </cell>
          <cell r="DR536" t="str">
            <v/>
          </cell>
          <cell r="DS536" t="str">
            <v/>
          </cell>
          <cell r="DT536" t="str">
            <v/>
          </cell>
          <cell r="DU536" t="str">
            <v/>
          </cell>
          <cell r="DV536" t="str">
            <v/>
          </cell>
          <cell r="DW536" t="str">
            <v/>
          </cell>
          <cell r="DX536" t="str">
            <v/>
          </cell>
          <cell r="DY536" t="str">
            <v/>
          </cell>
          <cell r="DZ536" t="str">
            <v/>
          </cell>
          <cell r="EA536" t="str">
            <v/>
          </cell>
          <cell r="EB536" t="str">
            <v/>
          </cell>
          <cell r="EC536" t="str">
            <v/>
          </cell>
          <cell r="ED536" t="str">
            <v/>
          </cell>
          <cell r="EE536" t="str">
            <v/>
          </cell>
          <cell r="EF536" t="str">
            <v/>
          </cell>
          <cell r="EH536" t="str">
            <v/>
          </cell>
          <cell r="EI536" t="str">
            <v/>
          </cell>
          <cell r="EJ536" t="str">
            <v/>
          </cell>
          <cell r="EL536" t="str">
            <v/>
          </cell>
          <cell r="EM536" t="str">
            <v/>
          </cell>
          <cell r="EN536" t="str">
            <v/>
          </cell>
          <cell r="EO536" t="str">
            <v/>
          </cell>
          <cell r="EP536" t="str">
            <v/>
          </cell>
          <cell r="EQ536" t="str">
            <v/>
          </cell>
          <cell r="ER536" t="str">
            <v/>
          </cell>
          <cell r="ES536" t="str">
            <v/>
          </cell>
          <cell r="ET536" t="str">
            <v/>
          </cell>
        </row>
        <row r="537">
          <cell r="DO537">
            <v>458</v>
          </cell>
          <cell r="DP537" t="str">
            <v/>
          </cell>
          <cell r="DQ537" t="str">
            <v/>
          </cell>
          <cell r="DR537" t="str">
            <v/>
          </cell>
          <cell r="DS537" t="str">
            <v/>
          </cell>
          <cell r="DT537" t="str">
            <v/>
          </cell>
          <cell r="DU537" t="str">
            <v/>
          </cell>
          <cell r="DV537" t="str">
            <v/>
          </cell>
          <cell r="DW537" t="str">
            <v/>
          </cell>
          <cell r="DX537" t="str">
            <v/>
          </cell>
          <cell r="DY537" t="str">
            <v/>
          </cell>
          <cell r="DZ537" t="str">
            <v/>
          </cell>
          <cell r="EA537" t="str">
            <v/>
          </cell>
          <cell r="EB537" t="str">
            <v/>
          </cell>
          <cell r="EC537" t="str">
            <v/>
          </cell>
          <cell r="ED537" t="str">
            <v/>
          </cell>
          <cell r="EE537" t="str">
            <v/>
          </cell>
          <cell r="EF537" t="str">
            <v/>
          </cell>
          <cell r="EH537" t="str">
            <v/>
          </cell>
          <cell r="EI537" t="str">
            <v/>
          </cell>
          <cell r="EJ537" t="str">
            <v/>
          </cell>
          <cell r="EL537" t="str">
            <v/>
          </cell>
          <cell r="EM537" t="str">
            <v/>
          </cell>
          <cell r="EN537" t="str">
            <v/>
          </cell>
          <cell r="EO537" t="str">
            <v/>
          </cell>
          <cell r="EP537" t="str">
            <v/>
          </cell>
          <cell r="EQ537" t="str">
            <v/>
          </cell>
          <cell r="ER537" t="str">
            <v/>
          </cell>
          <cell r="ES537" t="str">
            <v/>
          </cell>
          <cell r="ET537" t="str">
            <v/>
          </cell>
        </row>
        <row r="538">
          <cell r="DO538">
            <v>459</v>
          </cell>
          <cell r="DP538" t="str">
            <v/>
          </cell>
          <cell r="DQ538" t="str">
            <v/>
          </cell>
          <cell r="DR538" t="str">
            <v/>
          </cell>
          <cell r="DS538" t="str">
            <v/>
          </cell>
          <cell r="DT538" t="str">
            <v/>
          </cell>
          <cell r="DU538" t="str">
            <v/>
          </cell>
          <cell r="DV538" t="str">
            <v/>
          </cell>
          <cell r="DW538" t="str">
            <v/>
          </cell>
          <cell r="DX538" t="str">
            <v/>
          </cell>
          <cell r="DY538" t="str">
            <v/>
          </cell>
          <cell r="DZ538" t="str">
            <v/>
          </cell>
          <cell r="EA538" t="str">
            <v/>
          </cell>
          <cell r="EB538" t="str">
            <v/>
          </cell>
          <cell r="EC538" t="str">
            <v/>
          </cell>
          <cell r="ED538" t="str">
            <v/>
          </cell>
          <cell r="EE538" t="str">
            <v/>
          </cell>
          <cell r="EF538" t="str">
            <v/>
          </cell>
          <cell r="EH538" t="str">
            <v/>
          </cell>
          <cell r="EI538" t="str">
            <v/>
          </cell>
          <cell r="EJ538" t="str">
            <v/>
          </cell>
          <cell r="EL538" t="str">
            <v/>
          </cell>
          <cell r="EM538" t="str">
            <v/>
          </cell>
          <cell r="EN538" t="str">
            <v/>
          </cell>
          <cell r="EO538" t="str">
            <v/>
          </cell>
          <cell r="EP538" t="str">
            <v/>
          </cell>
          <cell r="EQ538" t="str">
            <v/>
          </cell>
          <cell r="ER538" t="str">
            <v/>
          </cell>
          <cell r="ES538" t="str">
            <v/>
          </cell>
          <cell r="ET538" t="str">
            <v/>
          </cell>
        </row>
        <row r="539">
          <cell r="DO539">
            <v>460</v>
          </cell>
          <cell r="DP539" t="str">
            <v/>
          </cell>
          <cell r="DQ539" t="str">
            <v/>
          </cell>
          <cell r="DR539" t="str">
            <v/>
          </cell>
          <cell r="DS539" t="str">
            <v/>
          </cell>
          <cell r="DT539" t="str">
            <v/>
          </cell>
          <cell r="DU539" t="str">
            <v/>
          </cell>
          <cell r="DV539" t="str">
            <v/>
          </cell>
          <cell r="DW539" t="str">
            <v/>
          </cell>
          <cell r="DX539" t="str">
            <v/>
          </cell>
          <cell r="DY539" t="str">
            <v/>
          </cell>
          <cell r="DZ539" t="str">
            <v/>
          </cell>
          <cell r="EA539" t="str">
            <v/>
          </cell>
          <cell r="EB539" t="str">
            <v/>
          </cell>
          <cell r="EC539" t="str">
            <v/>
          </cell>
          <cell r="ED539" t="str">
            <v/>
          </cell>
          <cell r="EE539" t="str">
            <v/>
          </cell>
          <cell r="EF539" t="str">
            <v/>
          </cell>
          <cell r="EH539" t="str">
            <v/>
          </cell>
          <cell r="EI539" t="str">
            <v/>
          </cell>
          <cell r="EJ539" t="str">
            <v/>
          </cell>
          <cell r="EL539" t="str">
            <v/>
          </cell>
          <cell r="EM539" t="str">
            <v/>
          </cell>
          <cell r="EN539" t="str">
            <v/>
          </cell>
          <cell r="EO539" t="str">
            <v/>
          </cell>
          <cell r="EP539" t="str">
            <v/>
          </cell>
          <cell r="EQ539" t="str">
            <v/>
          </cell>
          <cell r="ER539" t="str">
            <v/>
          </cell>
          <cell r="ES539" t="str">
            <v/>
          </cell>
          <cell r="ET539" t="str">
            <v/>
          </cell>
        </row>
        <row r="540">
          <cell r="DO540">
            <v>461</v>
          </cell>
          <cell r="DP540" t="str">
            <v/>
          </cell>
          <cell r="DQ540" t="str">
            <v/>
          </cell>
          <cell r="DR540" t="str">
            <v/>
          </cell>
          <cell r="DS540" t="str">
            <v/>
          </cell>
          <cell r="DT540" t="str">
            <v/>
          </cell>
          <cell r="DU540" t="str">
            <v/>
          </cell>
          <cell r="DV540" t="str">
            <v/>
          </cell>
          <cell r="DW540" t="str">
            <v/>
          </cell>
          <cell r="DX540" t="str">
            <v/>
          </cell>
          <cell r="DY540" t="str">
            <v/>
          </cell>
          <cell r="DZ540" t="str">
            <v/>
          </cell>
          <cell r="EA540" t="str">
            <v/>
          </cell>
          <cell r="EB540" t="str">
            <v/>
          </cell>
          <cell r="EC540" t="str">
            <v/>
          </cell>
          <cell r="ED540" t="str">
            <v/>
          </cell>
          <cell r="EE540" t="str">
            <v/>
          </cell>
          <cell r="EF540" t="str">
            <v/>
          </cell>
          <cell r="EH540" t="str">
            <v/>
          </cell>
          <cell r="EI540" t="str">
            <v/>
          </cell>
          <cell r="EJ540" t="str">
            <v/>
          </cell>
          <cell r="EL540" t="str">
            <v/>
          </cell>
          <cell r="EM540" t="str">
            <v/>
          </cell>
          <cell r="EN540" t="str">
            <v/>
          </cell>
          <cell r="EO540" t="str">
            <v/>
          </cell>
          <cell r="EP540" t="str">
            <v/>
          </cell>
          <cell r="EQ540" t="str">
            <v/>
          </cell>
          <cell r="ER540" t="str">
            <v/>
          </cell>
          <cell r="ES540" t="str">
            <v/>
          </cell>
          <cell r="ET540" t="str">
            <v/>
          </cell>
        </row>
        <row r="541">
          <cell r="DO541">
            <v>462</v>
          </cell>
          <cell r="DP541" t="str">
            <v/>
          </cell>
          <cell r="DQ541" t="str">
            <v/>
          </cell>
          <cell r="DR541" t="str">
            <v/>
          </cell>
          <cell r="DS541" t="str">
            <v/>
          </cell>
          <cell r="DT541" t="str">
            <v/>
          </cell>
          <cell r="DU541" t="str">
            <v/>
          </cell>
          <cell r="DV541" t="str">
            <v/>
          </cell>
          <cell r="DW541" t="str">
            <v/>
          </cell>
          <cell r="DX541" t="str">
            <v/>
          </cell>
          <cell r="DY541" t="str">
            <v/>
          </cell>
          <cell r="DZ541" t="str">
            <v/>
          </cell>
          <cell r="EA541" t="str">
            <v/>
          </cell>
          <cell r="EB541" t="str">
            <v/>
          </cell>
          <cell r="EC541" t="str">
            <v/>
          </cell>
          <cell r="ED541" t="str">
            <v/>
          </cell>
          <cell r="EE541" t="str">
            <v/>
          </cell>
          <cell r="EF541" t="str">
            <v/>
          </cell>
          <cell r="EH541" t="str">
            <v/>
          </cell>
          <cell r="EI541" t="str">
            <v/>
          </cell>
          <cell r="EJ541" t="str">
            <v/>
          </cell>
          <cell r="EL541" t="str">
            <v/>
          </cell>
          <cell r="EM541" t="str">
            <v/>
          </cell>
          <cell r="EN541" t="str">
            <v/>
          </cell>
          <cell r="EO541" t="str">
            <v/>
          </cell>
          <cell r="EP541" t="str">
            <v/>
          </cell>
          <cell r="EQ541" t="str">
            <v/>
          </cell>
          <cell r="ER541" t="str">
            <v/>
          </cell>
          <cell r="ES541" t="str">
            <v/>
          </cell>
          <cell r="ET541" t="str">
            <v/>
          </cell>
        </row>
        <row r="542">
          <cell r="DO542">
            <v>463</v>
          </cell>
          <cell r="DP542" t="str">
            <v/>
          </cell>
          <cell r="DQ542" t="str">
            <v/>
          </cell>
          <cell r="DR542" t="str">
            <v/>
          </cell>
          <cell r="DS542" t="str">
            <v/>
          </cell>
          <cell r="DT542" t="str">
            <v/>
          </cell>
          <cell r="DU542" t="str">
            <v/>
          </cell>
          <cell r="DV542" t="str">
            <v/>
          </cell>
          <cell r="DW542" t="str">
            <v/>
          </cell>
          <cell r="DX542" t="str">
            <v/>
          </cell>
          <cell r="DY542" t="str">
            <v/>
          </cell>
          <cell r="DZ542" t="str">
            <v/>
          </cell>
          <cell r="EA542" t="str">
            <v/>
          </cell>
          <cell r="EB542" t="str">
            <v/>
          </cell>
          <cell r="EC542" t="str">
            <v/>
          </cell>
          <cell r="ED542" t="str">
            <v/>
          </cell>
          <cell r="EE542" t="str">
            <v/>
          </cell>
          <cell r="EF542" t="str">
            <v/>
          </cell>
          <cell r="EH542" t="str">
            <v/>
          </cell>
          <cell r="EI542" t="str">
            <v/>
          </cell>
          <cell r="EJ542" t="str">
            <v/>
          </cell>
          <cell r="EL542" t="str">
            <v/>
          </cell>
          <cell r="EM542" t="str">
            <v/>
          </cell>
          <cell r="EN542" t="str">
            <v/>
          </cell>
          <cell r="EO542" t="str">
            <v/>
          </cell>
          <cell r="EP542" t="str">
            <v/>
          </cell>
          <cell r="EQ542" t="str">
            <v/>
          </cell>
          <cell r="ER542" t="str">
            <v/>
          </cell>
          <cell r="ES542" t="str">
            <v/>
          </cell>
          <cell r="ET542" t="str">
            <v/>
          </cell>
        </row>
        <row r="543">
          <cell r="DO543">
            <v>464</v>
          </cell>
          <cell r="DP543" t="str">
            <v/>
          </cell>
          <cell r="DQ543" t="str">
            <v/>
          </cell>
          <cell r="DR543" t="str">
            <v/>
          </cell>
          <cell r="DS543" t="str">
            <v/>
          </cell>
          <cell r="DT543" t="str">
            <v/>
          </cell>
          <cell r="DU543" t="str">
            <v/>
          </cell>
          <cell r="DV543" t="str">
            <v/>
          </cell>
          <cell r="DW543" t="str">
            <v/>
          </cell>
          <cell r="DX543" t="str">
            <v/>
          </cell>
          <cell r="DY543" t="str">
            <v/>
          </cell>
          <cell r="DZ543" t="str">
            <v/>
          </cell>
          <cell r="EA543" t="str">
            <v/>
          </cell>
          <cell r="EB543" t="str">
            <v/>
          </cell>
          <cell r="EC543" t="str">
            <v/>
          </cell>
          <cell r="ED543" t="str">
            <v/>
          </cell>
          <cell r="EE543" t="str">
            <v/>
          </cell>
          <cell r="EF543" t="str">
            <v/>
          </cell>
          <cell r="EH543" t="str">
            <v/>
          </cell>
          <cell r="EI543" t="str">
            <v/>
          </cell>
          <cell r="EJ543" t="str">
            <v/>
          </cell>
          <cell r="EL543" t="str">
            <v/>
          </cell>
          <cell r="EM543" t="str">
            <v/>
          </cell>
          <cell r="EN543" t="str">
            <v/>
          </cell>
          <cell r="EO543" t="str">
            <v/>
          </cell>
          <cell r="EP543" t="str">
            <v/>
          </cell>
          <cell r="EQ543" t="str">
            <v/>
          </cell>
          <cell r="ER543" t="str">
            <v/>
          </cell>
          <cell r="ES543" t="str">
            <v/>
          </cell>
          <cell r="ET543" t="str">
            <v/>
          </cell>
        </row>
        <row r="544">
          <cell r="DO544">
            <v>465</v>
          </cell>
          <cell r="DP544" t="str">
            <v/>
          </cell>
          <cell r="DQ544" t="str">
            <v/>
          </cell>
          <cell r="DR544" t="str">
            <v/>
          </cell>
          <cell r="DS544" t="str">
            <v/>
          </cell>
          <cell r="DT544" t="str">
            <v/>
          </cell>
          <cell r="DU544" t="str">
            <v/>
          </cell>
          <cell r="DV544" t="str">
            <v/>
          </cell>
          <cell r="DW544" t="str">
            <v/>
          </cell>
          <cell r="DX544" t="str">
            <v/>
          </cell>
          <cell r="DY544" t="str">
            <v/>
          </cell>
          <cell r="DZ544" t="str">
            <v/>
          </cell>
          <cell r="EA544" t="str">
            <v/>
          </cell>
          <cell r="EB544" t="str">
            <v/>
          </cell>
          <cell r="EC544" t="str">
            <v/>
          </cell>
          <cell r="ED544" t="str">
            <v/>
          </cell>
          <cell r="EE544" t="str">
            <v/>
          </cell>
          <cell r="EF544" t="str">
            <v/>
          </cell>
          <cell r="EH544" t="str">
            <v/>
          </cell>
          <cell r="EI544" t="str">
            <v/>
          </cell>
          <cell r="EJ544" t="str">
            <v/>
          </cell>
          <cell r="EL544" t="str">
            <v/>
          </cell>
          <cell r="EM544" t="str">
            <v/>
          </cell>
          <cell r="EN544" t="str">
            <v/>
          </cell>
          <cell r="EO544" t="str">
            <v/>
          </cell>
          <cell r="EP544" t="str">
            <v/>
          </cell>
          <cell r="EQ544" t="str">
            <v/>
          </cell>
          <cell r="ER544" t="str">
            <v/>
          </cell>
          <cell r="ES544" t="str">
            <v/>
          </cell>
          <cell r="ET544" t="str">
            <v/>
          </cell>
        </row>
        <row r="545">
          <cell r="DO545">
            <v>466</v>
          </cell>
          <cell r="DP545" t="str">
            <v/>
          </cell>
          <cell r="DQ545" t="str">
            <v/>
          </cell>
          <cell r="DR545" t="str">
            <v/>
          </cell>
          <cell r="DS545" t="str">
            <v/>
          </cell>
          <cell r="DT545" t="str">
            <v/>
          </cell>
          <cell r="DU545" t="str">
            <v/>
          </cell>
          <cell r="DV545" t="str">
            <v/>
          </cell>
          <cell r="DW545" t="str">
            <v/>
          </cell>
          <cell r="DX545" t="str">
            <v/>
          </cell>
          <cell r="DY545" t="str">
            <v/>
          </cell>
          <cell r="DZ545" t="str">
            <v/>
          </cell>
          <cell r="EA545" t="str">
            <v/>
          </cell>
          <cell r="EB545" t="str">
            <v/>
          </cell>
          <cell r="EC545" t="str">
            <v/>
          </cell>
          <cell r="ED545" t="str">
            <v/>
          </cell>
          <cell r="EE545" t="str">
            <v/>
          </cell>
          <cell r="EF545" t="str">
            <v/>
          </cell>
          <cell r="EH545" t="str">
            <v/>
          </cell>
          <cell r="EI545" t="str">
            <v/>
          </cell>
          <cell r="EJ545" t="str">
            <v/>
          </cell>
          <cell r="EL545" t="str">
            <v/>
          </cell>
          <cell r="EM545" t="str">
            <v/>
          </cell>
          <cell r="EN545" t="str">
            <v/>
          </cell>
          <cell r="EO545" t="str">
            <v/>
          </cell>
          <cell r="EP545" t="str">
            <v/>
          </cell>
          <cell r="EQ545" t="str">
            <v/>
          </cell>
          <cell r="ER545" t="str">
            <v/>
          </cell>
          <cell r="ES545" t="str">
            <v/>
          </cell>
          <cell r="ET545" t="str">
            <v/>
          </cell>
        </row>
        <row r="546">
          <cell r="DO546">
            <v>467</v>
          </cell>
          <cell r="DP546" t="str">
            <v/>
          </cell>
          <cell r="DQ546" t="str">
            <v/>
          </cell>
          <cell r="DR546" t="str">
            <v/>
          </cell>
          <cell r="DS546" t="str">
            <v/>
          </cell>
          <cell r="DT546" t="str">
            <v/>
          </cell>
          <cell r="DU546" t="str">
            <v/>
          </cell>
          <cell r="DV546" t="str">
            <v/>
          </cell>
          <cell r="DW546" t="str">
            <v/>
          </cell>
          <cell r="DX546" t="str">
            <v/>
          </cell>
          <cell r="DY546" t="str">
            <v/>
          </cell>
          <cell r="DZ546" t="str">
            <v/>
          </cell>
          <cell r="EA546" t="str">
            <v/>
          </cell>
          <cell r="EB546" t="str">
            <v/>
          </cell>
          <cell r="EC546" t="str">
            <v/>
          </cell>
          <cell r="ED546" t="str">
            <v/>
          </cell>
          <cell r="EE546" t="str">
            <v/>
          </cell>
          <cell r="EF546" t="str">
            <v/>
          </cell>
          <cell r="EH546" t="str">
            <v/>
          </cell>
          <cell r="EI546" t="str">
            <v/>
          </cell>
          <cell r="EJ546" t="str">
            <v/>
          </cell>
          <cell r="EL546" t="str">
            <v/>
          </cell>
          <cell r="EM546" t="str">
            <v/>
          </cell>
          <cell r="EN546" t="str">
            <v/>
          </cell>
          <cell r="EO546" t="str">
            <v/>
          </cell>
          <cell r="EP546" t="str">
            <v/>
          </cell>
          <cell r="EQ546" t="str">
            <v/>
          </cell>
          <cell r="ER546" t="str">
            <v/>
          </cell>
          <cell r="ES546" t="str">
            <v/>
          </cell>
          <cell r="ET546" t="str">
            <v/>
          </cell>
        </row>
        <row r="547">
          <cell r="DO547">
            <v>468</v>
          </cell>
          <cell r="DP547" t="str">
            <v/>
          </cell>
          <cell r="DQ547" t="str">
            <v/>
          </cell>
          <cell r="DR547" t="str">
            <v/>
          </cell>
          <cell r="DS547" t="str">
            <v/>
          </cell>
          <cell r="DT547" t="str">
            <v/>
          </cell>
          <cell r="DU547" t="str">
            <v/>
          </cell>
          <cell r="DV547" t="str">
            <v/>
          </cell>
          <cell r="DW547" t="str">
            <v/>
          </cell>
          <cell r="DX547" t="str">
            <v/>
          </cell>
          <cell r="DY547" t="str">
            <v/>
          </cell>
          <cell r="DZ547" t="str">
            <v/>
          </cell>
          <cell r="EA547" t="str">
            <v/>
          </cell>
          <cell r="EB547" t="str">
            <v/>
          </cell>
          <cell r="EC547" t="str">
            <v/>
          </cell>
          <cell r="ED547" t="str">
            <v/>
          </cell>
          <cell r="EE547" t="str">
            <v/>
          </cell>
          <cell r="EF547" t="str">
            <v/>
          </cell>
          <cell r="EH547" t="str">
            <v/>
          </cell>
          <cell r="EI547" t="str">
            <v/>
          </cell>
          <cell r="EJ547" t="str">
            <v/>
          </cell>
          <cell r="EL547" t="str">
            <v/>
          </cell>
          <cell r="EM547" t="str">
            <v/>
          </cell>
          <cell r="EN547" t="str">
            <v/>
          </cell>
          <cell r="EO547" t="str">
            <v/>
          </cell>
          <cell r="EP547" t="str">
            <v/>
          </cell>
          <cell r="EQ547" t="str">
            <v/>
          </cell>
          <cell r="ER547" t="str">
            <v/>
          </cell>
          <cell r="ES547" t="str">
            <v/>
          </cell>
          <cell r="ET547" t="str">
            <v/>
          </cell>
        </row>
        <row r="548">
          <cell r="DO548">
            <v>469</v>
          </cell>
          <cell r="DP548" t="str">
            <v/>
          </cell>
          <cell r="DQ548" t="str">
            <v/>
          </cell>
          <cell r="DR548" t="str">
            <v/>
          </cell>
          <cell r="DS548" t="str">
            <v/>
          </cell>
          <cell r="DT548" t="str">
            <v/>
          </cell>
          <cell r="DU548" t="str">
            <v/>
          </cell>
          <cell r="DV548" t="str">
            <v/>
          </cell>
          <cell r="DW548" t="str">
            <v/>
          </cell>
          <cell r="DX548" t="str">
            <v/>
          </cell>
          <cell r="DY548" t="str">
            <v/>
          </cell>
          <cell r="DZ548" t="str">
            <v/>
          </cell>
          <cell r="EA548" t="str">
            <v/>
          </cell>
          <cell r="EB548" t="str">
            <v/>
          </cell>
          <cell r="EC548" t="str">
            <v/>
          </cell>
          <cell r="ED548" t="str">
            <v/>
          </cell>
          <cell r="EE548" t="str">
            <v/>
          </cell>
          <cell r="EF548" t="str">
            <v/>
          </cell>
          <cell r="EH548" t="str">
            <v/>
          </cell>
          <cell r="EI548" t="str">
            <v/>
          </cell>
          <cell r="EJ548" t="str">
            <v/>
          </cell>
          <cell r="EL548" t="str">
            <v/>
          </cell>
          <cell r="EM548" t="str">
            <v/>
          </cell>
          <cell r="EN548" t="str">
            <v/>
          </cell>
          <cell r="EO548" t="str">
            <v/>
          </cell>
          <cell r="EP548" t="str">
            <v/>
          </cell>
          <cell r="EQ548" t="str">
            <v/>
          </cell>
          <cell r="ER548" t="str">
            <v/>
          </cell>
          <cell r="ES548" t="str">
            <v/>
          </cell>
          <cell r="ET548" t="str">
            <v/>
          </cell>
        </row>
        <row r="549">
          <cell r="DO549">
            <v>470</v>
          </cell>
          <cell r="DP549" t="str">
            <v/>
          </cell>
          <cell r="DQ549" t="str">
            <v/>
          </cell>
          <cell r="DR549" t="str">
            <v/>
          </cell>
          <cell r="DS549" t="str">
            <v/>
          </cell>
          <cell r="DT549" t="str">
            <v/>
          </cell>
          <cell r="DU549" t="str">
            <v/>
          </cell>
          <cell r="DV549" t="str">
            <v/>
          </cell>
          <cell r="DW549" t="str">
            <v/>
          </cell>
          <cell r="DX549" t="str">
            <v/>
          </cell>
          <cell r="DY549" t="str">
            <v/>
          </cell>
          <cell r="DZ549" t="str">
            <v/>
          </cell>
          <cell r="EA549" t="str">
            <v/>
          </cell>
          <cell r="EB549" t="str">
            <v/>
          </cell>
          <cell r="EC549" t="str">
            <v/>
          </cell>
          <cell r="ED549" t="str">
            <v/>
          </cell>
          <cell r="EE549" t="str">
            <v/>
          </cell>
          <cell r="EF549" t="str">
            <v/>
          </cell>
          <cell r="EH549" t="str">
            <v/>
          </cell>
          <cell r="EI549" t="str">
            <v/>
          </cell>
          <cell r="EJ549" t="str">
            <v/>
          </cell>
          <cell r="EL549" t="str">
            <v/>
          </cell>
          <cell r="EM549" t="str">
            <v/>
          </cell>
          <cell r="EN549" t="str">
            <v/>
          </cell>
          <cell r="EO549" t="str">
            <v/>
          </cell>
          <cell r="EP549" t="str">
            <v/>
          </cell>
          <cell r="EQ549" t="str">
            <v/>
          </cell>
          <cell r="ER549" t="str">
            <v/>
          </cell>
          <cell r="ES549" t="str">
            <v/>
          </cell>
          <cell r="ET549" t="str">
            <v/>
          </cell>
        </row>
        <row r="550">
          <cell r="DO550">
            <v>471</v>
          </cell>
          <cell r="DP550" t="str">
            <v/>
          </cell>
          <cell r="DQ550" t="str">
            <v/>
          </cell>
          <cell r="DR550" t="str">
            <v/>
          </cell>
          <cell r="DS550" t="str">
            <v/>
          </cell>
          <cell r="DT550" t="str">
            <v/>
          </cell>
          <cell r="DU550" t="str">
            <v/>
          </cell>
          <cell r="DV550" t="str">
            <v/>
          </cell>
          <cell r="DW550" t="str">
            <v/>
          </cell>
          <cell r="DX550" t="str">
            <v/>
          </cell>
          <cell r="DY550" t="str">
            <v/>
          </cell>
          <cell r="DZ550" t="str">
            <v/>
          </cell>
          <cell r="EA550" t="str">
            <v/>
          </cell>
          <cell r="EB550" t="str">
            <v/>
          </cell>
          <cell r="EC550" t="str">
            <v/>
          </cell>
          <cell r="ED550" t="str">
            <v/>
          </cell>
          <cell r="EE550" t="str">
            <v/>
          </cell>
          <cell r="EF550" t="str">
            <v/>
          </cell>
          <cell r="EH550" t="str">
            <v/>
          </cell>
          <cell r="EI550" t="str">
            <v/>
          </cell>
          <cell r="EJ550" t="str">
            <v/>
          </cell>
          <cell r="EL550" t="str">
            <v/>
          </cell>
          <cell r="EM550" t="str">
            <v/>
          </cell>
          <cell r="EN550" t="str">
            <v/>
          </cell>
          <cell r="EO550" t="str">
            <v/>
          </cell>
          <cell r="EP550" t="str">
            <v/>
          </cell>
          <cell r="EQ550" t="str">
            <v/>
          </cell>
          <cell r="ER550" t="str">
            <v/>
          </cell>
          <cell r="ES550" t="str">
            <v/>
          </cell>
          <cell r="ET550" t="str">
            <v/>
          </cell>
        </row>
        <row r="551">
          <cell r="DO551">
            <v>472</v>
          </cell>
          <cell r="DP551" t="str">
            <v/>
          </cell>
          <cell r="DQ551" t="str">
            <v/>
          </cell>
          <cell r="DR551" t="str">
            <v/>
          </cell>
          <cell r="DS551" t="str">
            <v/>
          </cell>
          <cell r="DT551" t="str">
            <v/>
          </cell>
          <cell r="DU551" t="str">
            <v/>
          </cell>
          <cell r="DV551" t="str">
            <v/>
          </cell>
          <cell r="DW551" t="str">
            <v/>
          </cell>
          <cell r="DX551" t="str">
            <v/>
          </cell>
          <cell r="DY551" t="str">
            <v/>
          </cell>
          <cell r="DZ551" t="str">
            <v/>
          </cell>
          <cell r="EA551" t="str">
            <v/>
          </cell>
          <cell r="EB551" t="str">
            <v/>
          </cell>
          <cell r="EC551" t="str">
            <v/>
          </cell>
          <cell r="ED551" t="str">
            <v/>
          </cell>
          <cell r="EE551" t="str">
            <v/>
          </cell>
          <cell r="EF551" t="str">
            <v/>
          </cell>
          <cell r="EH551" t="str">
            <v/>
          </cell>
          <cell r="EI551" t="str">
            <v/>
          </cell>
          <cell r="EJ551" t="str">
            <v/>
          </cell>
          <cell r="EL551" t="str">
            <v/>
          </cell>
          <cell r="EM551" t="str">
            <v/>
          </cell>
          <cell r="EN551" t="str">
            <v/>
          </cell>
          <cell r="EO551" t="str">
            <v/>
          </cell>
          <cell r="EP551" t="str">
            <v/>
          </cell>
          <cell r="EQ551" t="str">
            <v/>
          </cell>
          <cell r="ER551" t="str">
            <v/>
          </cell>
          <cell r="ES551" t="str">
            <v/>
          </cell>
          <cell r="ET551" t="str">
            <v/>
          </cell>
        </row>
        <row r="552">
          <cell r="DO552">
            <v>473</v>
          </cell>
          <cell r="DP552" t="str">
            <v/>
          </cell>
          <cell r="DQ552" t="str">
            <v/>
          </cell>
          <cell r="DR552" t="str">
            <v/>
          </cell>
          <cell r="DS552" t="str">
            <v/>
          </cell>
          <cell r="DT552" t="str">
            <v/>
          </cell>
          <cell r="DU552" t="str">
            <v/>
          </cell>
          <cell r="DV552" t="str">
            <v/>
          </cell>
          <cell r="DW552" t="str">
            <v/>
          </cell>
          <cell r="DX552" t="str">
            <v/>
          </cell>
          <cell r="DY552" t="str">
            <v/>
          </cell>
          <cell r="DZ552" t="str">
            <v/>
          </cell>
          <cell r="EA552" t="str">
            <v/>
          </cell>
          <cell r="EB552" t="str">
            <v/>
          </cell>
          <cell r="EC552" t="str">
            <v/>
          </cell>
          <cell r="ED552" t="str">
            <v/>
          </cell>
          <cell r="EE552" t="str">
            <v/>
          </cell>
          <cell r="EF552" t="str">
            <v/>
          </cell>
          <cell r="EH552" t="str">
            <v/>
          </cell>
          <cell r="EI552" t="str">
            <v/>
          </cell>
          <cell r="EJ552" t="str">
            <v/>
          </cell>
          <cell r="EL552" t="str">
            <v/>
          </cell>
          <cell r="EM552" t="str">
            <v/>
          </cell>
          <cell r="EN552" t="str">
            <v/>
          </cell>
          <cell r="EO552" t="str">
            <v/>
          </cell>
          <cell r="EP552" t="str">
            <v/>
          </cell>
          <cell r="EQ552" t="str">
            <v/>
          </cell>
          <cell r="ER552" t="str">
            <v/>
          </cell>
          <cell r="ES552" t="str">
            <v/>
          </cell>
          <cell r="ET552" t="str">
            <v/>
          </cell>
        </row>
        <row r="553">
          <cell r="DO553">
            <v>474</v>
          </cell>
          <cell r="DP553" t="str">
            <v/>
          </cell>
          <cell r="DQ553" t="str">
            <v/>
          </cell>
          <cell r="DR553" t="str">
            <v/>
          </cell>
          <cell r="DS553" t="str">
            <v/>
          </cell>
          <cell r="DT553" t="str">
            <v/>
          </cell>
          <cell r="DU553" t="str">
            <v/>
          </cell>
          <cell r="DV553" t="str">
            <v/>
          </cell>
          <cell r="DW553" t="str">
            <v/>
          </cell>
          <cell r="DX553" t="str">
            <v/>
          </cell>
          <cell r="DY553" t="str">
            <v/>
          </cell>
          <cell r="DZ553" t="str">
            <v/>
          </cell>
          <cell r="EA553" t="str">
            <v/>
          </cell>
          <cell r="EB553" t="str">
            <v/>
          </cell>
          <cell r="EC553" t="str">
            <v/>
          </cell>
          <cell r="ED553" t="str">
            <v/>
          </cell>
          <cell r="EE553" t="str">
            <v/>
          </cell>
          <cell r="EF553" t="str">
            <v/>
          </cell>
          <cell r="EH553" t="str">
            <v/>
          </cell>
          <cell r="EI553" t="str">
            <v/>
          </cell>
          <cell r="EJ553" t="str">
            <v/>
          </cell>
          <cell r="EL553" t="str">
            <v/>
          </cell>
          <cell r="EM553" t="str">
            <v/>
          </cell>
          <cell r="EN553" t="str">
            <v/>
          </cell>
          <cell r="EO553" t="str">
            <v/>
          </cell>
          <cell r="EP553" t="str">
            <v/>
          </cell>
          <cell r="EQ553" t="str">
            <v/>
          </cell>
          <cell r="ER553" t="str">
            <v/>
          </cell>
          <cell r="ES553" t="str">
            <v/>
          </cell>
          <cell r="ET553" t="str">
            <v/>
          </cell>
        </row>
        <row r="554">
          <cell r="DO554">
            <v>475</v>
          </cell>
          <cell r="DP554" t="str">
            <v/>
          </cell>
          <cell r="DQ554" t="str">
            <v/>
          </cell>
          <cell r="DR554" t="str">
            <v/>
          </cell>
          <cell r="DS554" t="str">
            <v/>
          </cell>
          <cell r="DT554" t="str">
            <v/>
          </cell>
          <cell r="DU554" t="str">
            <v/>
          </cell>
          <cell r="DV554" t="str">
            <v/>
          </cell>
          <cell r="DW554" t="str">
            <v/>
          </cell>
          <cell r="DX554" t="str">
            <v/>
          </cell>
          <cell r="DY554" t="str">
            <v/>
          </cell>
          <cell r="DZ554" t="str">
            <v/>
          </cell>
          <cell r="EA554" t="str">
            <v/>
          </cell>
          <cell r="EB554" t="str">
            <v/>
          </cell>
          <cell r="EC554" t="str">
            <v/>
          </cell>
          <cell r="ED554" t="str">
            <v/>
          </cell>
          <cell r="EE554" t="str">
            <v/>
          </cell>
          <cell r="EF554" t="str">
            <v/>
          </cell>
          <cell r="EH554" t="str">
            <v/>
          </cell>
          <cell r="EI554" t="str">
            <v/>
          </cell>
          <cell r="EJ554" t="str">
            <v/>
          </cell>
          <cell r="EL554" t="str">
            <v/>
          </cell>
          <cell r="EM554" t="str">
            <v/>
          </cell>
          <cell r="EN554" t="str">
            <v/>
          </cell>
          <cell r="EO554" t="str">
            <v/>
          </cell>
          <cell r="EP554" t="str">
            <v/>
          </cell>
          <cell r="EQ554" t="str">
            <v/>
          </cell>
          <cell r="ER554" t="str">
            <v/>
          </cell>
          <cell r="ES554" t="str">
            <v/>
          </cell>
          <cell r="ET554" t="str">
            <v/>
          </cell>
        </row>
        <row r="555">
          <cell r="DO555">
            <v>476</v>
          </cell>
          <cell r="DP555" t="str">
            <v/>
          </cell>
          <cell r="DQ555" t="str">
            <v/>
          </cell>
          <cell r="DR555" t="str">
            <v/>
          </cell>
          <cell r="DS555" t="str">
            <v/>
          </cell>
          <cell r="DT555" t="str">
            <v/>
          </cell>
          <cell r="DU555" t="str">
            <v/>
          </cell>
          <cell r="DV555" t="str">
            <v/>
          </cell>
          <cell r="DW555" t="str">
            <v/>
          </cell>
          <cell r="DX555" t="str">
            <v/>
          </cell>
          <cell r="DY555" t="str">
            <v/>
          </cell>
          <cell r="DZ555" t="str">
            <v/>
          </cell>
          <cell r="EA555" t="str">
            <v/>
          </cell>
          <cell r="EB555" t="str">
            <v/>
          </cell>
          <cell r="EC555" t="str">
            <v/>
          </cell>
          <cell r="ED555" t="str">
            <v/>
          </cell>
          <cell r="EE555" t="str">
            <v/>
          </cell>
          <cell r="EF555" t="str">
            <v/>
          </cell>
          <cell r="EH555" t="str">
            <v/>
          </cell>
          <cell r="EI555" t="str">
            <v/>
          </cell>
          <cell r="EJ555" t="str">
            <v/>
          </cell>
          <cell r="EL555" t="str">
            <v/>
          </cell>
          <cell r="EM555" t="str">
            <v/>
          </cell>
          <cell r="EN555" t="str">
            <v/>
          </cell>
          <cell r="EO555" t="str">
            <v/>
          </cell>
          <cell r="EP555" t="str">
            <v/>
          </cell>
          <cell r="EQ555" t="str">
            <v/>
          </cell>
          <cell r="ER555" t="str">
            <v/>
          </cell>
          <cell r="ES555" t="str">
            <v/>
          </cell>
          <cell r="ET555" t="str">
            <v/>
          </cell>
        </row>
        <row r="556">
          <cell r="DO556">
            <v>477</v>
          </cell>
          <cell r="DP556" t="str">
            <v/>
          </cell>
          <cell r="DQ556" t="str">
            <v/>
          </cell>
          <cell r="DR556" t="str">
            <v/>
          </cell>
          <cell r="DS556" t="str">
            <v/>
          </cell>
          <cell r="DT556" t="str">
            <v/>
          </cell>
          <cell r="DU556" t="str">
            <v/>
          </cell>
          <cell r="DV556" t="str">
            <v/>
          </cell>
          <cell r="DW556" t="str">
            <v/>
          </cell>
          <cell r="DX556" t="str">
            <v/>
          </cell>
          <cell r="DY556" t="str">
            <v/>
          </cell>
          <cell r="DZ556" t="str">
            <v/>
          </cell>
          <cell r="EA556" t="str">
            <v/>
          </cell>
          <cell r="EB556" t="str">
            <v/>
          </cell>
          <cell r="EC556" t="str">
            <v/>
          </cell>
          <cell r="ED556" t="str">
            <v/>
          </cell>
          <cell r="EE556" t="str">
            <v/>
          </cell>
          <cell r="EF556" t="str">
            <v/>
          </cell>
          <cell r="EH556" t="str">
            <v/>
          </cell>
          <cell r="EI556" t="str">
            <v/>
          </cell>
          <cell r="EJ556" t="str">
            <v/>
          </cell>
          <cell r="EL556" t="str">
            <v/>
          </cell>
          <cell r="EM556" t="str">
            <v/>
          </cell>
          <cell r="EN556" t="str">
            <v/>
          </cell>
          <cell r="EO556" t="str">
            <v/>
          </cell>
          <cell r="EP556" t="str">
            <v/>
          </cell>
          <cell r="EQ556" t="str">
            <v/>
          </cell>
          <cell r="ER556" t="str">
            <v/>
          </cell>
          <cell r="ES556" t="str">
            <v/>
          </cell>
          <cell r="ET556" t="str">
            <v/>
          </cell>
        </row>
        <row r="557">
          <cell r="DO557">
            <v>478</v>
          </cell>
          <cell r="DP557" t="str">
            <v/>
          </cell>
          <cell r="DQ557" t="str">
            <v/>
          </cell>
          <cell r="DR557" t="str">
            <v/>
          </cell>
          <cell r="DS557" t="str">
            <v/>
          </cell>
          <cell r="DT557" t="str">
            <v/>
          </cell>
          <cell r="DU557" t="str">
            <v/>
          </cell>
          <cell r="DV557" t="str">
            <v/>
          </cell>
          <cell r="DW557" t="str">
            <v/>
          </cell>
          <cell r="DX557" t="str">
            <v/>
          </cell>
          <cell r="DY557" t="str">
            <v/>
          </cell>
          <cell r="DZ557" t="str">
            <v/>
          </cell>
          <cell r="EA557" t="str">
            <v/>
          </cell>
          <cell r="EB557" t="str">
            <v/>
          </cell>
          <cell r="EC557" t="str">
            <v/>
          </cell>
          <cell r="ED557" t="str">
            <v/>
          </cell>
          <cell r="EE557" t="str">
            <v/>
          </cell>
          <cell r="EF557" t="str">
            <v/>
          </cell>
          <cell r="EH557" t="str">
            <v/>
          </cell>
          <cell r="EI557" t="str">
            <v/>
          </cell>
          <cell r="EJ557" t="str">
            <v/>
          </cell>
          <cell r="EL557" t="str">
            <v/>
          </cell>
          <cell r="EM557" t="str">
            <v/>
          </cell>
          <cell r="EN557" t="str">
            <v/>
          </cell>
          <cell r="EO557" t="str">
            <v/>
          </cell>
          <cell r="EP557" t="str">
            <v/>
          </cell>
          <cell r="EQ557" t="str">
            <v/>
          </cell>
          <cell r="ER557" t="str">
            <v/>
          </cell>
          <cell r="ES557" t="str">
            <v/>
          </cell>
          <cell r="ET557" t="str">
            <v/>
          </cell>
        </row>
        <row r="558">
          <cell r="DO558">
            <v>479</v>
          </cell>
          <cell r="DP558" t="str">
            <v/>
          </cell>
          <cell r="DQ558" t="str">
            <v/>
          </cell>
          <cell r="DR558" t="str">
            <v/>
          </cell>
          <cell r="DS558" t="str">
            <v/>
          </cell>
          <cell r="DT558" t="str">
            <v/>
          </cell>
          <cell r="DU558" t="str">
            <v/>
          </cell>
          <cell r="DV558" t="str">
            <v/>
          </cell>
          <cell r="DW558" t="str">
            <v/>
          </cell>
          <cell r="DX558" t="str">
            <v/>
          </cell>
          <cell r="DY558" t="str">
            <v/>
          </cell>
          <cell r="DZ558" t="str">
            <v/>
          </cell>
          <cell r="EA558" t="str">
            <v/>
          </cell>
          <cell r="EB558" t="str">
            <v/>
          </cell>
          <cell r="EC558" t="str">
            <v/>
          </cell>
          <cell r="ED558" t="str">
            <v/>
          </cell>
          <cell r="EE558" t="str">
            <v/>
          </cell>
          <cell r="EF558" t="str">
            <v/>
          </cell>
          <cell r="EH558" t="str">
            <v/>
          </cell>
          <cell r="EI558" t="str">
            <v/>
          </cell>
          <cell r="EJ558" t="str">
            <v/>
          </cell>
          <cell r="EL558" t="str">
            <v/>
          </cell>
          <cell r="EM558" t="str">
            <v/>
          </cell>
          <cell r="EN558" t="str">
            <v/>
          </cell>
          <cell r="EO558" t="str">
            <v/>
          </cell>
          <cell r="EP558" t="str">
            <v/>
          </cell>
          <cell r="EQ558" t="str">
            <v/>
          </cell>
          <cell r="ER558" t="str">
            <v/>
          </cell>
          <cell r="ES558" t="str">
            <v/>
          </cell>
          <cell r="ET558" t="str">
            <v/>
          </cell>
        </row>
        <row r="559">
          <cell r="DO559">
            <v>480</v>
          </cell>
          <cell r="DP559" t="str">
            <v/>
          </cell>
          <cell r="DQ559" t="str">
            <v/>
          </cell>
          <cell r="DR559" t="str">
            <v/>
          </cell>
          <cell r="DS559" t="str">
            <v/>
          </cell>
          <cell r="DT559" t="str">
            <v/>
          </cell>
          <cell r="DU559" t="str">
            <v/>
          </cell>
          <cell r="DV559" t="str">
            <v/>
          </cell>
          <cell r="DW559" t="str">
            <v/>
          </cell>
          <cell r="DX559" t="str">
            <v/>
          </cell>
          <cell r="DY559" t="str">
            <v/>
          </cell>
          <cell r="DZ559" t="str">
            <v/>
          </cell>
          <cell r="EA559" t="str">
            <v/>
          </cell>
          <cell r="EB559" t="str">
            <v/>
          </cell>
          <cell r="EC559" t="str">
            <v/>
          </cell>
          <cell r="ED559" t="str">
            <v/>
          </cell>
          <cell r="EE559" t="str">
            <v/>
          </cell>
          <cell r="EF559" t="str">
            <v/>
          </cell>
          <cell r="EH559" t="str">
            <v/>
          </cell>
          <cell r="EI559" t="str">
            <v/>
          </cell>
          <cell r="EJ559" t="str">
            <v/>
          </cell>
          <cell r="EL559" t="str">
            <v/>
          </cell>
          <cell r="EM559" t="str">
            <v/>
          </cell>
          <cell r="EN559" t="str">
            <v/>
          </cell>
          <cell r="EO559" t="str">
            <v/>
          </cell>
          <cell r="EP559" t="str">
            <v/>
          </cell>
          <cell r="EQ559" t="str">
            <v/>
          </cell>
          <cell r="ER559" t="str">
            <v/>
          </cell>
          <cell r="ES559" t="str">
            <v/>
          </cell>
          <cell r="ET559" t="str">
            <v/>
          </cell>
        </row>
        <row r="560">
          <cell r="DO560">
            <v>481</v>
          </cell>
          <cell r="DP560" t="str">
            <v/>
          </cell>
          <cell r="DQ560" t="str">
            <v/>
          </cell>
          <cell r="DR560" t="str">
            <v/>
          </cell>
          <cell r="DS560" t="str">
            <v/>
          </cell>
          <cell r="DT560" t="str">
            <v/>
          </cell>
          <cell r="DU560" t="str">
            <v/>
          </cell>
          <cell r="DV560" t="str">
            <v/>
          </cell>
          <cell r="DW560" t="str">
            <v/>
          </cell>
          <cell r="DX560" t="str">
            <v/>
          </cell>
          <cell r="DY560" t="str">
            <v/>
          </cell>
          <cell r="DZ560" t="str">
            <v/>
          </cell>
          <cell r="EA560" t="str">
            <v/>
          </cell>
          <cell r="EB560" t="str">
            <v/>
          </cell>
          <cell r="EC560" t="str">
            <v/>
          </cell>
          <cell r="ED560" t="str">
            <v/>
          </cell>
          <cell r="EE560" t="str">
            <v/>
          </cell>
          <cell r="EF560" t="str">
            <v/>
          </cell>
          <cell r="EH560" t="str">
            <v/>
          </cell>
          <cell r="EI560" t="str">
            <v/>
          </cell>
          <cell r="EJ560" t="str">
            <v/>
          </cell>
          <cell r="EL560" t="str">
            <v/>
          </cell>
          <cell r="EM560" t="str">
            <v/>
          </cell>
          <cell r="EN560" t="str">
            <v/>
          </cell>
          <cell r="EO560" t="str">
            <v/>
          </cell>
          <cell r="EP560" t="str">
            <v/>
          </cell>
          <cell r="EQ560" t="str">
            <v/>
          </cell>
          <cell r="ER560" t="str">
            <v/>
          </cell>
          <cell r="ES560" t="str">
            <v/>
          </cell>
          <cell r="ET560" t="str">
            <v/>
          </cell>
        </row>
        <row r="561">
          <cell r="DO561">
            <v>482</v>
          </cell>
          <cell r="DP561" t="str">
            <v/>
          </cell>
          <cell r="DQ561" t="str">
            <v/>
          </cell>
          <cell r="DR561" t="str">
            <v/>
          </cell>
          <cell r="DS561" t="str">
            <v/>
          </cell>
          <cell r="DT561" t="str">
            <v/>
          </cell>
          <cell r="DU561" t="str">
            <v/>
          </cell>
          <cell r="DV561" t="str">
            <v/>
          </cell>
          <cell r="DW561" t="str">
            <v/>
          </cell>
          <cell r="DX561" t="str">
            <v/>
          </cell>
          <cell r="DY561" t="str">
            <v/>
          </cell>
          <cell r="DZ561" t="str">
            <v/>
          </cell>
          <cell r="EA561" t="str">
            <v/>
          </cell>
          <cell r="EB561" t="str">
            <v/>
          </cell>
          <cell r="EC561" t="str">
            <v/>
          </cell>
          <cell r="ED561" t="str">
            <v/>
          </cell>
          <cell r="EE561" t="str">
            <v/>
          </cell>
          <cell r="EF561" t="str">
            <v/>
          </cell>
          <cell r="EH561" t="str">
            <v/>
          </cell>
          <cell r="EI561" t="str">
            <v/>
          </cell>
          <cell r="EJ561" t="str">
            <v/>
          </cell>
          <cell r="EL561" t="str">
            <v/>
          </cell>
          <cell r="EM561" t="str">
            <v/>
          </cell>
          <cell r="EN561" t="str">
            <v/>
          </cell>
          <cell r="EO561" t="str">
            <v/>
          </cell>
          <cell r="EP561" t="str">
            <v/>
          </cell>
          <cell r="EQ561" t="str">
            <v/>
          </cell>
          <cell r="ER561" t="str">
            <v/>
          </cell>
          <cell r="ES561" t="str">
            <v/>
          </cell>
          <cell r="ET561" t="str">
            <v/>
          </cell>
        </row>
        <row r="562">
          <cell r="DO562">
            <v>483</v>
          </cell>
          <cell r="DP562" t="str">
            <v/>
          </cell>
          <cell r="DQ562" t="str">
            <v/>
          </cell>
          <cell r="DR562" t="str">
            <v/>
          </cell>
          <cell r="DS562" t="str">
            <v/>
          </cell>
          <cell r="DT562" t="str">
            <v/>
          </cell>
          <cell r="DU562" t="str">
            <v/>
          </cell>
          <cell r="DV562" t="str">
            <v/>
          </cell>
          <cell r="DW562" t="str">
            <v/>
          </cell>
          <cell r="DX562" t="str">
            <v/>
          </cell>
          <cell r="DY562" t="str">
            <v/>
          </cell>
          <cell r="DZ562" t="str">
            <v/>
          </cell>
          <cell r="EA562" t="str">
            <v/>
          </cell>
          <cell r="EB562" t="str">
            <v/>
          </cell>
          <cell r="EC562" t="str">
            <v/>
          </cell>
          <cell r="ED562" t="str">
            <v/>
          </cell>
          <cell r="EE562" t="str">
            <v/>
          </cell>
          <cell r="EF562" t="str">
            <v/>
          </cell>
          <cell r="EH562" t="str">
            <v/>
          </cell>
          <cell r="EI562" t="str">
            <v/>
          </cell>
          <cell r="EJ562" t="str">
            <v/>
          </cell>
          <cell r="EL562" t="str">
            <v/>
          </cell>
          <cell r="EM562" t="str">
            <v/>
          </cell>
          <cell r="EN562" t="str">
            <v/>
          </cell>
          <cell r="EO562" t="str">
            <v/>
          </cell>
          <cell r="EP562" t="str">
            <v/>
          </cell>
          <cell r="EQ562" t="str">
            <v/>
          </cell>
          <cell r="ER562" t="str">
            <v/>
          </cell>
          <cell r="ES562" t="str">
            <v/>
          </cell>
          <cell r="ET562" t="str">
            <v/>
          </cell>
        </row>
        <row r="563">
          <cell r="DO563">
            <v>484</v>
          </cell>
          <cell r="DP563" t="str">
            <v/>
          </cell>
          <cell r="DQ563" t="str">
            <v/>
          </cell>
          <cell r="DR563" t="str">
            <v/>
          </cell>
          <cell r="DS563" t="str">
            <v/>
          </cell>
          <cell r="DT563" t="str">
            <v/>
          </cell>
          <cell r="DU563" t="str">
            <v/>
          </cell>
          <cell r="DV563" t="str">
            <v/>
          </cell>
          <cell r="DW563" t="str">
            <v/>
          </cell>
          <cell r="DX563" t="str">
            <v/>
          </cell>
          <cell r="DY563" t="str">
            <v/>
          </cell>
          <cell r="DZ563" t="str">
            <v/>
          </cell>
          <cell r="EA563" t="str">
            <v/>
          </cell>
          <cell r="EB563" t="str">
            <v/>
          </cell>
          <cell r="EC563" t="str">
            <v/>
          </cell>
          <cell r="ED563" t="str">
            <v/>
          </cell>
          <cell r="EE563" t="str">
            <v/>
          </cell>
          <cell r="EF563" t="str">
            <v/>
          </cell>
          <cell r="EH563" t="str">
            <v/>
          </cell>
          <cell r="EI563" t="str">
            <v/>
          </cell>
          <cell r="EJ563" t="str">
            <v/>
          </cell>
          <cell r="EL563" t="str">
            <v/>
          </cell>
          <cell r="EM563" t="str">
            <v/>
          </cell>
          <cell r="EN563" t="str">
            <v/>
          </cell>
          <cell r="EO563" t="str">
            <v/>
          </cell>
          <cell r="EP563" t="str">
            <v/>
          </cell>
          <cell r="EQ563" t="str">
            <v/>
          </cell>
          <cell r="ER563" t="str">
            <v/>
          </cell>
          <cell r="ES563" t="str">
            <v/>
          </cell>
          <cell r="ET563" t="str">
            <v/>
          </cell>
        </row>
        <row r="564">
          <cell r="DO564">
            <v>485</v>
          </cell>
          <cell r="DP564" t="str">
            <v/>
          </cell>
          <cell r="DQ564" t="str">
            <v/>
          </cell>
          <cell r="DR564" t="str">
            <v/>
          </cell>
          <cell r="DS564" t="str">
            <v/>
          </cell>
          <cell r="DT564" t="str">
            <v/>
          </cell>
          <cell r="DU564" t="str">
            <v/>
          </cell>
          <cell r="DV564" t="str">
            <v/>
          </cell>
          <cell r="DW564" t="str">
            <v/>
          </cell>
          <cell r="DX564" t="str">
            <v/>
          </cell>
          <cell r="DY564" t="str">
            <v/>
          </cell>
          <cell r="DZ564" t="str">
            <v/>
          </cell>
          <cell r="EA564" t="str">
            <v/>
          </cell>
          <cell r="EB564" t="str">
            <v/>
          </cell>
          <cell r="EC564" t="str">
            <v/>
          </cell>
          <cell r="ED564" t="str">
            <v/>
          </cell>
          <cell r="EE564" t="str">
            <v/>
          </cell>
          <cell r="EF564" t="str">
            <v/>
          </cell>
          <cell r="EH564" t="str">
            <v/>
          </cell>
          <cell r="EI564" t="str">
            <v/>
          </cell>
          <cell r="EJ564" t="str">
            <v/>
          </cell>
          <cell r="EL564" t="str">
            <v/>
          </cell>
          <cell r="EM564" t="str">
            <v/>
          </cell>
          <cell r="EN564" t="str">
            <v/>
          </cell>
          <cell r="EO564" t="str">
            <v/>
          </cell>
          <cell r="EP564" t="str">
            <v/>
          </cell>
          <cell r="EQ564" t="str">
            <v/>
          </cell>
          <cell r="ER564" t="str">
            <v/>
          </cell>
          <cell r="ES564" t="str">
            <v/>
          </cell>
          <cell r="ET564" t="str">
            <v/>
          </cell>
        </row>
        <row r="565">
          <cell r="DO565">
            <v>486</v>
          </cell>
          <cell r="DP565" t="str">
            <v/>
          </cell>
          <cell r="DQ565" t="str">
            <v/>
          </cell>
          <cell r="DR565" t="str">
            <v/>
          </cell>
          <cell r="DS565" t="str">
            <v/>
          </cell>
          <cell r="DT565" t="str">
            <v/>
          </cell>
          <cell r="DU565" t="str">
            <v/>
          </cell>
          <cell r="DV565" t="str">
            <v/>
          </cell>
          <cell r="DW565" t="str">
            <v/>
          </cell>
          <cell r="DX565" t="str">
            <v/>
          </cell>
          <cell r="DY565" t="str">
            <v/>
          </cell>
          <cell r="DZ565" t="str">
            <v/>
          </cell>
          <cell r="EA565" t="str">
            <v/>
          </cell>
          <cell r="EB565" t="str">
            <v/>
          </cell>
          <cell r="EC565" t="str">
            <v/>
          </cell>
          <cell r="ED565" t="str">
            <v/>
          </cell>
          <cell r="EE565" t="str">
            <v/>
          </cell>
          <cell r="EF565" t="str">
            <v/>
          </cell>
          <cell r="EH565" t="str">
            <v/>
          </cell>
          <cell r="EI565" t="str">
            <v/>
          </cell>
          <cell r="EJ565" t="str">
            <v/>
          </cell>
          <cell r="EL565" t="str">
            <v/>
          </cell>
          <cell r="EM565" t="str">
            <v/>
          </cell>
          <cell r="EN565" t="str">
            <v/>
          </cell>
          <cell r="EO565" t="str">
            <v/>
          </cell>
          <cell r="EP565" t="str">
            <v/>
          </cell>
          <cell r="EQ565" t="str">
            <v/>
          </cell>
          <cell r="ER565" t="str">
            <v/>
          </cell>
          <cell r="ES565" t="str">
            <v/>
          </cell>
          <cell r="ET565" t="str">
            <v/>
          </cell>
        </row>
        <row r="566">
          <cell r="DO566">
            <v>487</v>
          </cell>
          <cell r="DP566" t="str">
            <v/>
          </cell>
          <cell r="DQ566" t="str">
            <v/>
          </cell>
          <cell r="DR566" t="str">
            <v/>
          </cell>
          <cell r="DS566" t="str">
            <v/>
          </cell>
          <cell r="DT566" t="str">
            <v/>
          </cell>
          <cell r="DU566" t="str">
            <v/>
          </cell>
          <cell r="DV566" t="str">
            <v/>
          </cell>
          <cell r="DW566" t="str">
            <v/>
          </cell>
          <cell r="DX566" t="str">
            <v/>
          </cell>
          <cell r="DY566" t="str">
            <v/>
          </cell>
          <cell r="DZ566" t="str">
            <v/>
          </cell>
          <cell r="EA566" t="str">
            <v/>
          </cell>
          <cell r="EB566" t="str">
            <v/>
          </cell>
          <cell r="EC566" t="str">
            <v/>
          </cell>
          <cell r="ED566" t="str">
            <v/>
          </cell>
          <cell r="EE566" t="str">
            <v/>
          </cell>
          <cell r="EF566" t="str">
            <v/>
          </cell>
          <cell r="EH566" t="str">
            <v/>
          </cell>
          <cell r="EI566" t="str">
            <v/>
          </cell>
          <cell r="EJ566" t="str">
            <v/>
          </cell>
          <cell r="EL566" t="str">
            <v/>
          </cell>
          <cell r="EM566" t="str">
            <v/>
          </cell>
          <cell r="EN566" t="str">
            <v/>
          </cell>
          <cell r="EO566" t="str">
            <v/>
          </cell>
          <cell r="EP566" t="str">
            <v/>
          </cell>
          <cell r="EQ566" t="str">
            <v/>
          </cell>
          <cell r="ER566" t="str">
            <v/>
          </cell>
          <cell r="ES566" t="str">
            <v/>
          </cell>
          <cell r="ET566" t="str">
            <v/>
          </cell>
        </row>
        <row r="567">
          <cell r="DO567">
            <v>488</v>
          </cell>
          <cell r="DP567" t="str">
            <v/>
          </cell>
          <cell r="DQ567" t="str">
            <v/>
          </cell>
          <cell r="DR567" t="str">
            <v/>
          </cell>
          <cell r="DS567" t="str">
            <v/>
          </cell>
          <cell r="DT567" t="str">
            <v/>
          </cell>
          <cell r="DU567" t="str">
            <v/>
          </cell>
          <cell r="DV567" t="str">
            <v/>
          </cell>
          <cell r="DW567" t="str">
            <v/>
          </cell>
          <cell r="DX567" t="str">
            <v/>
          </cell>
          <cell r="DY567" t="str">
            <v/>
          </cell>
          <cell r="DZ567" t="str">
            <v/>
          </cell>
          <cell r="EA567" t="str">
            <v/>
          </cell>
          <cell r="EB567" t="str">
            <v/>
          </cell>
          <cell r="EC567" t="str">
            <v/>
          </cell>
          <cell r="ED567" t="str">
            <v/>
          </cell>
          <cell r="EE567" t="str">
            <v/>
          </cell>
          <cell r="EF567" t="str">
            <v/>
          </cell>
          <cell r="EH567" t="str">
            <v/>
          </cell>
          <cell r="EI567" t="str">
            <v/>
          </cell>
          <cell r="EJ567" t="str">
            <v/>
          </cell>
          <cell r="EL567" t="str">
            <v/>
          </cell>
          <cell r="EM567" t="str">
            <v/>
          </cell>
          <cell r="EN567" t="str">
            <v/>
          </cell>
          <cell r="EO567" t="str">
            <v/>
          </cell>
          <cell r="EP567" t="str">
            <v/>
          </cell>
          <cell r="EQ567" t="str">
            <v/>
          </cell>
          <cell r="ER567" t="str">
            <v/>
          </cell>
          <cell r="ES567" t="str">
            <v/>
          </cell>
          <cell r="ET567" t="str">
            <v/>
          </cell>
        </row>
        <row r="568">
          <cell r="DO568">
            <v>489</v>
          </cell>
          <cell r="DP568" t="str">
            <v/>
          </cell>
          <cell r="DQ568" t="str">
            <v/>
          </cell>
          <cell r="DR568" t="str">
            <v/>
          </cell>
          <cell r="DS568" t="str">
            <v/>
          </cell>
          <cell r="DT568" t="str">
            <v/>
          </cell>
          <cell r="DU568" t="str">
            <v/>
          </cell>
          <cell r="DV568" t="str">
            <v/>
          </cell>
          <cell r="DW568" t="str">
            <v/>
          </cell>
          <cell r="DX568" t="str">
            <v/>
          </cell>
          <cell r="DY568" t="str">
            <v/>
          </cell>
          <cell r="DZ568" t="str">
            <v/>
          </cell>
          <cell r="EA568" t="str">
            <v/>
          </cell>
          <cell r="EB568" t="str">
            <v/>
          </cell>
          <cell r="EC568" t="str">
            <v/>
          </cell>
          <cell r="ED568" t="str">
            <v/>
          </cell>
          <cell r="EE568" t="str">
            <v/>
          </cell>
          <cell r="EF568" t="str">
            <v/>
          </cell>
          <cell r="EH568" t="str">
            <v/>
          </cell>
          <cell r="EI568" t="str">
            <v/>
          </cell>
          <cell r="EJ568" t="str">
            <v/>
          </cell>
          <cell r="EL568" t="str">
            <v/>
          </cell>
          <cell r="EM568" t="str">
            <v/>
          </cell>
          <cell r="EN568" t="str">
            <v/>
          </cell>
          <cell r="EO568" t="str">
            <v/>
          </cell>
          <cell r="EP568" t="str">
            <v/>
          </cell>
          <cell r="EQ568" t="str">
            <v/>
          </cell>
          <cell r="ER568" t="str">
            <v/>
          </cell>
          <cell r="ES568" t="str">
            <v/>
          </cell>
          <cell r="ET568" t="str">
            <v/>
          </cell>
        </row>
        <row r="569">
          <cell r="DO569">
            <v>490</v>
          </cell>
          <cell r="DP569" t="str">
            <v/>
          </cell>
          <cell r="DQ569" t="str">
            <v/>
          </cell>
          <cell r="DR569" t="str">
            <v/>
          </cell>
          <cell r="DS569" t="str">
            <v/>
          </cell>
          <cell r="DT569" t="str">
            <v/>
          </cell>
          <cell r="DU569" t="str">
            <v/>
          </cell>
          <cell r="DV569" t="str">
            <v/>
          </cell>
          <cell r="DW569" t="str">
            <v/>
          </cell>
          <cell r="DX569" t="str">
            <v/>
          </cell>
          <cell r="DY569" t="str">
            <v/>
          </cell>
          <cell r="DZ569" t="str">
            <v/>
          </cell>
          <cell r="EA569" t="str">
            <v/>
          </cell>
          <cell r="EB569" t="str">
            <v/>
          </cell>
          <cell r="EC569" t="str">
            <v/>
          </cell>
          <cell r="ED569" t="str">
            <v/>
          </cell>
          <cell r="EE569" t="str">
            <v/>
          </cell>
          <cell r="EF569" t="str">
            <v/>
          </cell>
          <cell r="EH569" t="str">
            <v/>
          </cell>
          <cell r="EI569" t="str">
            <v/>
          </cell>
          <cell r="EJ569" t="str">
            <v/>
          </cell>
          <cell r="EL569" t="str">
            <v/>
          </cell>
          <cell r="EM569" t="str">
            <v/>
          </cell>
          <cell r="EN569" t="str">
            <v/>
          </cell>
          <cell r="EO569" t="str">
            <v/>
          </cell>
          <cell r="EP569" t="str">
            <v/>
          </cell>
          <cell r="EQ569" t="str">
            <v/>
          </cell>
          <cell r="ER569" t="str">
            <v/>
          </cell>
          <cell r="ES569" t="str">
            <v/>
          </cell>
          <cell r="ET569" t="str">
            <v/>
          </cell>
        </row>
        <row r="570">
          <cell r="DO570">
            <v>491</v>
          </cell>
          <cell r="DP570" t="str">
            <v/>
          </cell>
          <cell r="DQ570" t="str">
            <v/>
          </cell>
          <cell r="DR570" t="str">
            <v/>
          </cell>
          <cell r="DS570" t="str">
            <v/>
          </cell>
          <cell r="DT570" t="str">
            <v/>
          </cell>
          <cell r="DU570" t="str">
            <v/>
          </cell>
          <cell r="DV570" t="str">
            <v/>
          </cell>
          <cell r="DW570" t="str">
            <v/>
          </cell>
          <cell r="DX570" t="str">
            <v/>
          </cell>
          <cell r="DY570" t="str">
            <v/>
          </cell>
          <cell r="DZ570" t="str">
            <v/>
          </cell>
          <cell r="EA570" t="str">
            <v/>
          </cell>
          <cell r="EB570" t="str">
            <v/>
          </cell>
          <cell r="EC570" t="str">
            <v/>
          </cell>
          <cell r="ED570" t="str">
            <v/>
          </cell>
          <cell r="EE570" t="str">
            <v/>
          </cell>
          <cell r="EF570" t="str">
            <v/>
          </cell>
          <cell r="EH570" t="str">
            <v/>
          </cell>
          <cell r="EI570" t="str">
            <v/>
          </cell>
          <cell r="EJ570" t="str">
            <v/>
          </cell>
          <cell r="EL570" t="str">
            <v/>
          </cell>
          <cell r="EM570" t="str">
            <v/>
          </cell>
          <cell r="EN570" t="str">
            <v/>
          </cell>
          <cell r="EO570" t="str">
            <v/>
          </cell>
          <cell r="EP570" t="str">
            <v/>
          </cell>
          <cell r="EQ570" t="str">
            <v/>
          </cell>
          <cell r="ER570" t="str">
            <v/>
          </cell>
          <cell r="ES570" t="str">
            <v/>
          </cell>
          <cell r="ET570" t="str">
            <v/>
          </cell>
        </row>
        <row r="571">
          <cell r="DO571">
            <v>492</v>
          </cell>
          <cell r="DP571" t="str">
            <v/>
          </cell>
          <cell r="DQ571" t="str">
            <v/>
          </cell>
          <cell r="DR571" t="str">
            <v/>
          </cell>
          <cell r="DS571" t="str">
            <v/>
          </cell>
          <cell r="DT571" t="str">
            <v/>
          </cell>
          <cell r="DU571" t="str">
            <v/>
          </cell>
          <cell r="DV571" t="str">
            <v/>
          </cell>
          <cell r="DW571" t="str">
            <v/>
          </cell>
          <cell r="DX571" t="str">
            <v/>
          </cell>
          <cell r="DY571" t="str">
            <v/>
          </cell>
          <cell r="DZ571" t="str">
            <v/>
          </cell>
          <cell r="EA571" t="str">
            <v/>
          </cell>
          <cell r="EB571" t="str">
            <v/>
          </cell>
          <cell r="EC571" t="str">
            <v/>
          </cell>
          <cell r="ED571" t="str">
            <v/>
          </cell>
          <cell r="EE571" t="str">
            <v/>
          </cell>
          <cell r="EF571" t="str">
            <v/>
          </cell>
          <cell r="EH571" t="str">
            <v/>
          </cell>
          <cell r="EI571" t="str">
            <v/>
          </cell>
          <cell r="EJ571" t="str">
            <v/>
          </cell>
          <cell r="EL571" t="str">
            <v/>
          </cell>
          <cell r="EM571" t="str">
            <v/>
          </cell>
          <cell r="EN571" t="str">
            <v/>
          </cell>
          <cell r="EO571" t="str">
            <v/>
          </cell>
          <cell r="EP571" t="str">
            <v/>
          </cell>
          <cell r="EQ571" t="str">
            <v/>
          </cell>
          <cell r="ER571" t="str">
            <v/>
          </cell>
          <cell r="ES571" t="str">
            <v/>
          </cell>
          <cell r="ET571" t="str">
            <v/>
          </cell>
        </row>
        <row r="572">
          <cell r="DO572">
            <v>493</v>
          </cell>
          <cell r="DP572" t="str">
            <v/>
          </cell>
          <cell r="DQ572" t="str">
            <v/>
          </cell>
          <cell r="DR572" t="str">
            <v/>
          </cell>
          <cell r="DS572" t="str">
            <v/>
          </cell>
          <cell r="DT572" t="str">
            <v/>
          </cell>
          <cell r="DU572" t="str">
            <v/>
          </cell>
          <cell r="DV572" t="str">
            <v/>
          </cell>
          <cell r="DW572" t="str">
            <v/>
          </cell>
          <cell r="DX572" t="str">
            <v/>
          </cell>
          <cell r="DY572" t="str">
            <v/>
          </cell>
          <cell r="DZ572" t="str">
            <v/>
          </cell>
          <cell r="EA572" t="str">
            <v/>
          </cell>
          <cell r="EB572" t="str">
            <v/>
          </cell>
          <cell r="EC572" t="str">
            <v/>
          </cell>
          <cell r="ED572" t="str">
            <v/>
          </cell>
          <cell r="EE572" t="str">
            <v/>
          </cell>
          <cell r="EF572" t="str">
            <v/>
          </cell>
          <cell r="EH572" t="str">
            <v/>
          </cell>
          <cell r="EI572" t="str">
            <v/>
          </cell>
          <cell r="EJ572" t="str">
            <v/>
          </cell>
          <cell r="EL572" t="str">
            <v/>
          </cell>
          <cell r="EM572" t="str">
            <v/>
          </cell>
          <cell r="EN572" t="str">
            <v/>
          </cell>
          <cell r="EO572" t="str">
            <v/>
          </cell>
          <cell r="EP572" t="str">
            <v/>
          </cell>
          <cell r="EQ572" t="str">
            <v/>
          </cell>
          <cell r="ER572" t="str">
            <v/>
          </cell>
          <cell r="ES572" t="str">
            <v/>
          </cell>
          <cell r="ET572" t="str">
            <v/>
          </cell>
        </row>
        <row r="573">
          <cell r="DO573">
            <v>494</v>
          </cell>
          <cell r="DP573" t="str">
            <v/>
          </cell>
          <cell r="DQ573" t="str">
            <v/>
          </cell>
          <cell r="DR573" t="str">
            <v/>
          </cell>
          <cell r="DS573" t="str">
            <v/>
          </cell>
          <cell r="DT573" t="str">
            <v/>
          </cell>
          <cell r="DU573" t="str">
            <v/>
          </cell>
          <cell r="DV573" t="str">
            <v/>
          </cell>
          <cell r="DW573" t="str">
            <v/>
          </cell>
          <cell r="DX573" t="str">
            <v/>
          </cell>
          <cell r="DY573" t="str">
            <v/>
          </cell>
          <cell r="DZ573" t="str">
            <v/>
          </cell>
          <cell r="EA573" t="str">
            <v/>
          </cell>
          <cell r="EB573" t="str">
            <v/>
          </cell>
          <cell r="EC573" t="str">
            <v/>
          </cell>
          <cell r="ED573" t="str">
            <v/>
          </cell>
          <cell r="EE573" t="str">
            <v/>
          </cell>
          <cell r="EF573" t="str">
            <v/>
          </cell>
          <cell r="EH573" t="str">
            <v/>
          </cell>
          <cell r="EI573" t="str">
            <v/>
          </cell>
          <cell r="EJ573" t="str">
            <v/>
          </cell>
          <cell r="EL573" t="str">
            <v/>
          </cell>
          <cell r="EM573" t="str">
            <v/>
          </cell>
          <cell r="EN573" t="str">
            <v/>
          </cell>
          <cell r="EO573" t="str">
            <v/>
          </cell>
          <cell r="EP573" t="str">
            <v/>
          </cell>
          <cell r="EQ573" t="str">
            <v/>
          </cell>
          <cell r="ER573" t="str">
            <v/>
          </cell>
          <cell r="ES573" t="str">
            <v/>
          </cell>
          <cell r="ET573" t="str">
            <v/>
          </cell>
        </row>
        <row r="574">
          <cell r="DO574">
            <v>495</v>
          </cell>
          <cell r="DP574" t="str">
            <v/>
          </cell>
          <cell r="DQ574" t="str">
            <v/>
          </cell>
          <cell r="DR574" t="str">
            <v/>
          </cell>
          <cell r="DS574" t="str">
            <v/>
          </cell>
          <cell r="DT574" t="str">
            <v/>
          </cell>
          <cell r="DU574" t="str">
            <v/>
          </cell>
          <cell r="DV574" t="str">
            <v/>
          </cell>
          <cell r="DW574" t="str">
            <v/>
          </cell>
          <cell r="DX574" t="str">
            <v/>
          </cell>
          <cell r="DY574" t="str">
            <v/>
          </cell>
          <cell r="DZ574" t="str">
            <v/>
          </cell>
          <cell r="EA574" t="str">
            <v/>
          </cell>
          <cell r="EB574" t="str">
            <v/>
          </cell>
          <cell r="EC574" t="str">
            <v/>
          </cell>
          <cell r="ED574" t="str">
            <v/>
          </cell>
          <cell r="EE574" t="str">
            <v/>
          </cell>
          <cell r="EF574" t="str">
            <v/>
          </cell>
          <cell r="EH574" t="str">
            <v/>
          </cell>
          <cell r="EI574" t="str">
            <v/>
          </cell>
          <cell r="EJ574" t="str">
            <v/>
          </cell>
          <cell r="EL574" t="str">
            <v/>
          </cell>
          <cell r="EM574" t="str">
            <v/>
          </cell>
          <cell r="EN574" t="str">
            <v/>
          </cell>
          <cell r="EO574" t="str">
            <v/>
          </cell>
          <cell r="EP574" t="str">
            <v/>
          </cell>
          <cell r="EQ574" t="str">
            <v/>
          </cell>
          <cell r="ER574" t="str">
            <v/>
          </cell>
          <cell r="ES574" t="str">
            <v/>
          </cell>
          <cell r="ET574" t="str">
            <v/>
          </cell>
        </row>
        <row r="575">
          <cell r="DO575">
            <v>496</v>
          </cell>
          <cell r="DP575" t="str">
            <v/>
          </cell>
          <cell r="DQ575" t="str">
            <v/>
          </cell>
          <cell r="DR575" t="str">
            <v/>
          </cell>
          <cell r="DS575" t="str">
            <v/>
          </cell>
          <cell r="DT575" t="str">
            <v/>
          </cell>
          <cell r="DU575" t="str">
            <v/>
          </cell>
          <cell r="DV575" t="str">
            <v/>
          </cell>
          <cell r="DW575" t="str">
            <v/>
          </cell>
          <cell r="DX575" t="str">
            <v/>
          </cell>
          <cell r="DY575" t="str">
            <v/>
          </cell>
          <cell r="DZ575" t="str">
            <v/>
          </cell>
          <cell r="EA575" t="str">
            <v/>
          </cell>
          <cell r="EB575" t="str">
            <v/>
          </cell>
          <cell r="EC575" t="str">
            <v/>
          </cell>
          <cell r="ED575" t="str">
            <v/>
          </cell>
          <cell r="EE575" t="str">
            <v/>
          </cell>
          <cell r="EF575" t="str">
            <v/>
          </cell>
          <cell r="EH575" t="str">
            <v/>
          </cell>
          <cell r="EI575" t="str">
            <v/>
          </cell>
          <cell r="EJ575" t="str">
            <v/>
          </cell>
          <cell r="EL575" t="str">
            <v/>
          </cell>
          <cell r="EM575" t="str">
            <v/>
          </cell>
          <cell r="EN575" t="str">
            <v/>
          </cell>
          <cell r="EO575" t="str">
            <v/>
          </cell>
          <cell r="EP575" t="str">
            <v/>
          </cell>
          <cell r="EQ575" t="str">
            <v/>
          </cell>
          <cell r="ER575" t="str">
            <v/>
          </cell>
          <cell r="ES575" t="str">
            <v/>
          </cell>
          <cell r="ET575" t="str">
            <v/>
          </cell>
        </row>
        <row r="576">
          <cell r="DO576">
            <v>497</v>
          </cell>
          <cell r="DP576" t="str">
            <v/>
          </cell>
          <cell r="DQ576" t="str">
            <v/>
          </cell>
          <cell r="DR576" t="str">
            <v/>
          </cell>
          <cell r="DS576" t="str">
            <v/>
          </cell>
          <cell r="DT576" t="str">
            <v/>
          </cell>
          <cell r="DU576" t="str">
            <v/>
          </cell>
          <cell r="DV576" t="str">
            <v/>
          </cell>
          <cell r="DW576" t="str">
            <v/>
          </cell>
          <cell r="DX576" t="str">
            <v/>
          </cell>
          <cell r="DY576" t="str">
            <v/>
          </cell>
          <cell r="DZ576" t="str">
            <v/>
          </cell>
          <cell r="EA576" t="str">
            <v/>
          </cell>
          <cell r="EB576" t="str">
            <v/>
          </cell>
          <cell r="EC576" t="str">
            <v/>
          </cell>
          <cell r="ED576" t="str">
            <v/>
          </cell>
          <cell r="EE576" t="str">
            <v/>
          </cell>
          <cell r="EF576" t="str">
            <v/>
          </cell>
          <cell r="EH576" t="str">
            <v/>
          </cell>
          <cell r="EI576" t="str">
            <v/>
          </cell>
          <cell r="EJ576" t="str">
            <v/>
          </cell>
          <cell r="EL576" t="str">
            <v/>
          </cell>
          <cell r="EM576" t="str">
            <v/>
          </cell>
          <cell r="EN576" t="str">
            <v/>
          </cell>
          <cell r="EO576" t="str">
            <v/>
          </cell>
          <cell r="EP576" t="str">
            <v/>
          </cell>
          <cell r="EQ576" t="str">
            <v/>
          </cell>
          <cell r="ER576" t="str">
            <v/>
          </cell>
          <cell r="ES576" t="str">
            <v/>
          </cell>
          <cell r="ET576" t="str">
            <v/>
          </cell>
        </row>
        <row r="577">
          <cell r="DO577">
            <v>498</v>
          </cell>
          <cell r="DP577" t="str">
            <v/>
          </cell>
          <cell r="DQ577" t="str">
            <v/>
          </cell>
          <cell r="DR577" t="str">
            <v/>
          </cell>
          <cell r="DS577" t="str">
            <v/>
          </cell>
          <cell r="DT577" t="str">
            <v/>
          </cell>
          <cell r="DU577" t="str">
            <v/>
          </cell>
          <cell r="DV577" t="str">
            <v/>
          </cell>
          <cell r="DW577" t="str">
            <v/>
          </cell>
          <cell r="DX577" t="str">
            <v/>
          </cell>
          <cell r="DY577" t="str">
            <v/>
          </cell>
          <cell r="DZ577" t="str">
            <v/>
          </cell>
          <cell r="EA577" t="str">
            <v/>
          </cell>
          <cell r="EB577" t="str">
            <v/>
          </cell>
          <cell r="EC577" t="str">
            <v/>
          </cell>
          <cell r="ED577" t="str">
            <v/>
          </cell>
          <cell r="EE577" t="str">
            <v/>
          </cell>
          <cell r="EF577" t="str">
            <v/>
          </cell>
          <cell r="EH577" t="str">
            <v/>
          </cell>
          <cell r="EI577" t="str">
            <v/>
          </cell>
          <cell r="EJ577" t="str">
            <v/>
          </cell>
          <cell r="EL577" t="str">
            <v/>
          </cell>
          <cell r="EM577" t="str">
            <v/>
          </cell>
          <cell r="EN577" t="str">
            <v/>
          </cell>
          <cell r="EO577" t="str">
            <v/>
          </cell>
          <cell r="EP577" t="str">
            <v/>
          </cell>
          <cell r="EQ577" t="str">
            <v/>
          </cell>
          <cell r="ER577" t="str">
            <v/>
          </cell>
          <cell r="ES577" t="str">
            <v/>
          </cell>
          <cell r="ET577" t="str">
            <v/>
          </cell>
        </row>
        <row r="578">
          <cell r="DO578">
            <v>499</v>
          </cell>
          <cell r="DP578" t="str">
            <v/>
          </cell>
          <cell r="DQ578" t="str">
            <v/>
          </cell>
          <cell r="DR578" t="str">
            <v/>
          </cell>
          <cell r="DS578" t="str">
            <v/>
          </cell>
          <cell r="DT578" t="str">
            <v/>
          </cell>
          <cell r="DU578" t="str">
            <v/>
          </cell>
          <cell r="DV578" t="str">
            <v/>
          </cell>
          <cell r="DW578" t="str">
            <v/>
          </cell>
          <cell r="DX578" t="str">
            <v/>
          </cell>
          <cell r="DY578" t="str">
            <v/>
          </cell>
          <cell r="DZ578" t="str">
            <v/>
          </cell>
          <cell r="EA578" t="str">
            <v/>
          </cell>
          <cell r="EB578" t="str">
            <v/>
          </cell>
          <cell r="EC578" t="str">
            <v/>
          </cell>
          <cell r="ED578" t="str">
            <v/>
          </cell>
          <cell r="EE578" t="str">
            <v/>
          </cell>
          <cell r="EF578" t="str">
            <v/>
          </cell>
          <cell r="EH578" t="str">
            <v/>
          </cell>
          <cell r="EI578" t="str">
            <v/>
          </cell>
          <cell r="EJ578" t="str">
            <v/>
          </cell>
          <cell r="EL578" t="str">
            <v/>
          </cell>
          <cell r="EM578" t="str">
            <v/>
          </cell>
          <cell r="EN578" t="str">
            <v/>
          </cell>
          <cell r="EO578" t="str">
            <v/>
          </cell>
          <cell r="EP578" t="str">
            <v/>
          </cell>
          <cell r="EQ578" t="str">
            <v/>
          </cell>
          <cell r="ER578" t="str">
            <v/>
          </cell>
          <cell r="ES578" t="str">
            <v/>
          </cell>
          <cell r="ET578" t="str">
            <v/>
          </cell>
        </row>
        <row r="579">
          <cell r="DO579">
            <v>500</v>
          </cell>
          <cell r="DP579" t="str">
            <v/>
          </cell>
          <cell r="DQ579" t="str">
            <v/>
          </cell>
          <cell r="DR579" t="str">
            <v/>
          </cell>
          <cell r="DS579" t="str">
            <v/>
          </cell>
          <cell r="DT579" t="str">
            <v/>
          </cell>
          <cell r="DU579" t="str">
            <v/>
          </cell>
          <cell r="DV579" t="str">
            <v/>
          </cell>
          <cell r="DW579" t="str">
            <v/>
          </cell>
          <cell r="DX579" t="str">
            <v/>
          </cell>
          <cell r="DY579" t="str">
            <v/>
          </cell>
          <cell r="DZ579" t="str">
            <v/>
          </cell>
          <cell r="EA579" t="str">
            <v/>
          </cell>
          <cell r="EB579" t="str">
            <v/>
          </cell>
          <cell r="EC579" t="str">
            <v/>
          </cell>
          <cell r="ED579" t="str">
            <v/>
          </cell>
          <cell r="EE579" t="str">
            <v/>
          </cell>
          <cell r="EF579" t="str">
            <v/>
          </cell>
          <cell r="EH579" t="str">
            <v/>
          </cell>
          <cell r="EI579" t="str">
            <v/>
          </cell>
          <cell r="EJ579" t="str">
            <v/>
          </cell>
          <cell r="EL579" t="str">
            <v/>
          </cell>
          <cell r="EM579" t="str">
            <v/>
          </cell>
          <cell r="EN579" t="str">
            <v/>
          </cell>
          <cell r="EO579" t="str">
            <v/>
          </cell>
          <cell r="EP579" t="str">
            <v/>
          </cell>
          <cell r="EQ579" t="str">
            <v/>
          </cell>
          <cell r="ER579" t="str">
            <v/>
          </cell>
          <cell r="ES579" t="str">
            <v/>
          </cell>
          <cell r="ET579" t="str">
            <v/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770  SS"/>
      <sheetName val="1721-A1_2014"/>
      <sheetName val="ANALISIS "/>
      <sheetName val="Des"/>
      <sheetName val="Kertas Kerja"/>
      <sheetName val="Form Impor eSPT2"/>
      <sheetName val="buku kas"/>
      <sheetName val="Akun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utorial"/>
      <sheetName val="Data Pemotong Pajak"/>
      <sheetName val="Lembar Penolong"/>
      <sheetName val="1721-A1_2014"/>
      <sheetName val="1721-I Bulanan"/>
      <sheetName val="1721-I Tahunan"/>
      <sheetName val="Form Impor eSPT1"/>
      <sheetName val="Form Impor eSPT2"/>
      <sheetName val="1770  SS"/>
    </sheetNames>
    <sheetDataSet>
      <sheetData sheetId="0"/>
      <sheetData sheetId="1">
        <row r="5">
          <cell r="D5">
            <v>2014</v>
          </cell>
        </row>
      </sheetData>
      <sheetData sheetId="2">
        <row r="2">
          <cell r="E2" t="str">
            <v>LEMBAR PENOLONG PENGISIAN FORM BUKTI POTONG PPh PASAL 21 PEGAWAI TETAP (1721-A1)</v>
          </cell>
        </row>
        <row r="8">
          <cell r="CE8">
            <v>-1</v>
          </cell>
          <cell r="CF8">
            <v>-2</v>
          </cell>
          <cell r="CG8">
            <v>-3</v>
          </cell>
          <cell r="CH8">
            <v>-24</v>
          </cell>
          <cell r="CI8">
            <v>-38</v>
          </cell>
        </row>
        <row r="9">
          <cell r="C9">
            <v>1</v>
          </cell>
          <cell r="CA9" t="str">
            <v>11</v>
          </cell>
          <cell r="CB9">
            <v>1</v>
          </cell>
          <cell r="CC9">
            <v>1</v>
          </cell>
          <cell r="CE9">
            <v>1</v>
          </cell>
          <cell r="CF9" t="str">
            <v>Wahyudi Widodo</v>
          </cell>
          <cell r="CG9" t="str">
            <v>09.736.629.8.542.000</v>
          </cell>
          <cell r="CH9">
            <v>9951490</v>
          </cell>
          <cell r="CI9">
            <v>708610</v>
          </cell>
          <cell r="CJ9" t="str">
            <v>097366298542000</v>
          </cell>
        </row>
        <row r="10">
          <cell r="C10">
            <v>1</v>
          </cell>
          <cell r="CA10" t="str">
            <v>21</v>
          </cell>
          <cell r="CB10">
            <v>2</v>
          </cell>
          <cell r="CC10">
            <v>1</v>
          </cell>
          <cell r="CE10">
            <v>2</v>
          </cell>
          <cell r="CF10" t="str">
            <v>Donisius Santoso</v>
          </cell>
          <cell r="CG10" t="str">
            <v>45.088.932.4-543.000</v>
          </cell>
          <cell r="CH10">
            <v>7980300</v>
          </cell>
          <cell r="CI10">
            <v>12300</v>
          </cell>
          <cell r="CJ10" t="str">
            <v>450889324543000</v>
          </cell>
        </row>
        <row r="11">
          <cell r="C11">
            <v>1</v>
          </cell>
          <cell r="CA11" t="str">
            <v>31</v>
          </cell>
          <cell r="CB11">
            <v>3</v>
          </cell>
          <cell r="CC11">
            <v>1</v>
          </cell>
          <cell r="CE11">
            <v>3</v>
          </cell>
          <cell r="CF11" t="str">
            <v>Akhmad Zarkoni</v>
          </cell>
          <cell r="CG11" t="str">
            <v>07.841.957.9-541.000</v>
          </cell>
          <cell r="CH11">
            <v>3874113</v>
          </cell>
          <cell r="CI11">
            <v>163150</v>
          </cell>
          <cell r="CJ11" t="str">
            <v>078419579541000</v>
          </cell>
        </row>
        <row r="12">
          <cell r="C12">
            <v>1</v>
          </cell>
          <cell r="CA12" t="str">
            <v>41</v>
          </cell>
          <cell r="CB12">
            <v>4</v>
          </cell>
          <cell r="CC12">
            <v>1</v>
          </cell>
          <cell r="CE12">
            <v>4</v>
          </cell>
          <cell r="CF12" t="str">
            <v>Magdalena Sandra I</v>
          </cell>
          <cell r="CG12">
            <v>0</v>
          </cell>
          <cell r="CH12">
            <v>3957580</v>
          </cell>
          <cell r="CI12">
            <v>132940</v>
          </cell>
          <cell r="CJ12" t="str">
            <v/>
          </cell>
        </row>
        <row r="13">
          <cell r="C13">
            <v>1</v>
          </cell>
          <cell r="CA13" t="str">
            <v>51</v>
          </cell>
          <cell r="CB13">
            <v>5</v>
          </cell>
          <cell r="CC13">
            <v>1</v>
          </cell>
          <cell r="CE13">
            <v>5</v>
          </cell>
          <cell r="CF13" t="str">
            <v>Unu Listyorini</v>
          </cell>
          <cell r="CG13">
            <v>0</v>
          </cell>
          <cell r="CH13">
            <v>6700481</v>
          </cell>
          <cell r="CI13">
            <v>315630</v>
          </cell>
          <cell r="CJ13" t="str">
            <v/>
          </cell>
        </row>
        <row r="14">
          <cell r="C14">
            <v>1</v>
          </cell>
          <cell r="CA14" t="str">
            <v>61</v>
          </cell>
          <cell r="CB14">
            <v>6</v>
          </cell>
          <cell r="CC14">
            <v>1</v>
          </cell>
          <cell r="CE14">
            <v>6</v>
          </cell>
          <cell r="CF14" t="str">
            <v>Andi Suryatmanto</v>
          </cell>
          <cell r="CG14">
            <v>0</v>
          </cell>
          <cell r="CH14">
            <v>9721433</v>
          </cell>
          <cell r="CI14">
            <v>383670</v>
          </cell>
          <cell r="CJ14" t="str">
            <v/>
          </cell>
        </row>
        <row r="15">
          <cell r="C15">
            <v>1</v>
          </cell>
          <cell r="CA15" t="str">
            <v>71</v>
          </cell>
          <cell r="CB15">
            <v>7</v>
          </cell>
          <cell r="CC15">
            <v>1</v>
          </cell>
          <cell r="CE15">
            <v>7</v>
          </cell>
          <cell r="CF15" t="str">
            <v>Yacobus Tripomo</v>
          </cell>
          <cell r="CG15">
            <v>0</v>
          </cell>
          <cell r="CH15">
            <v>9170186</v>
          </cell>
          <cell r="CI15">
            <v>372960</v>
          </cell>
          <cell r="CJ15" t="str">
            <v/>
          </cell>
        </row>
        <row r="16">
          <cell r="C16">
            <v>1</v>
          </cell>
          <cell r="CA16" t="str">
            <v>81</v>
          </cell>
          <cell r="CB16">
            <v>8</v>
          </cell>
          <cell r="CC16">
            <v>1</v>
          </cell>
          <cell r="CE16">
            <v>8</v>
          </cell>
          <cell r="CF16" t="str">
            <v>Yulianto Sukarno</v>
          </cell>
          <cell r="CG16">
            <v>0</v>
          </cell>
          <cell r="CH16">
            <v>5740724</v>
          </cell>
          <cell r="CI16">
            <v>181720</v>
          </cell>
          <cell r="CJ16" t="str">
            <v/>
          </cell>
        </row>
        <row r="17">
          <cell r="C17">
            <v>1</v>
          </cell>
          <cell r="CA17" t="str">
            <v>91</v>
          </cell>
          <cell r="CB17">
            <v>9</v>
          </cell>
          <cell r="CC17">
            <v>1</v>
          </cell>
          <cell r="CE17">
            <v>9</v>
          </cell>
          <cell r="CF17" t="str">
            <v>Yeni Ruwindrasari</v>
          </cell>
          <cell r="CG17">
            <v>0</v>
          </cell>
          <cell r="CH17">
            <v>2568704</v>
          </cell>
          <cell r="CI17">
            <v>38000</v>
          </cell>
          <cell r="CJ17" t="str">
            <v/>
          </cell>
        </row>
        <row r="18">
          <cell r="C18">
            <v>2</v>
          </cell>
          <cell r="CA18" t="str">
            <v>12</v>
          </cell>
          <cell r="CB18">
            <v>1</v>
          </cell>
          <cell r="CC18">
            <v>2</v>
          </cell>
          <cell r="CE18">
            <v>10</v>
          </cell>
          <cell r="CF18" t="str">
            <v>Suprapto</v>
          </cell>
          <cell r="CG18">
            <v>0</v>
          </cell>
          <cell r="CH18">
            <v>2151360</v>
          </cell>
          <cell r="CI18">
            <v>0</v>
          </cell>
          <cell r="CJ18" t="str">
            <v/>
          </cell>
        </row>
        <row r="19">
          <cell r="C19">
            <v>1</v>
          </cell>
          <cell r="CA19" t="str">
            <v>101</v>
          </cell>
          <cell r="CB19">
            <v>10</v>
          </cell>
          <cell r="CC19">
            <v>1</v>
          </cell>
          <cell r="CE19">
            <v>11</v>
          </cell>
          <cell r="CF19" t="str">
            <v>Sarjoko</v>
          </cell>
          <cell r="CG19">
            <v>0</v>
          </cell>
          <cell r="CH19">
            <v>7297519</v>
          </cell>
          <cell r="CI19">
            <v>79680</v>
          </cell>
          <cell r="CJ19" t="str">
            <v/>
          </cell>
        </row>
        <row r="20">
          <cell r="C20">
            <v>2</v>
          </cell>
          <cell r="CA20" t="str">
            <v>22</v>
          </cell>
          <cell r="CB20">
            <v>2</v>
          </cell>
          <cell r="CC20">
            <v>2</v>
          </cell>
          <cell r="CE20">
            <v>12</v>
          </cell>
          <cell r="CF20" t="str">
            <v>Kelik Maryono</v>
          </cell>
          <cell r="CG20">
            <v>0</v>
          </cell>
          <cell r="CH20">
            <v>2655744</v>
          </cell>
          <cell r="CI20">
            <v>0</v>
          </cell>
          <cell r="CJ20" t="str">
            <v/>
          </cell>
        </row>
        <row r="21">
          <cell r="C21">
            <v>1</v>
          </cell>
          <cell r="CA21" t="str">
            <v>111</v>
          </cell>
          <cell r="CB21">
            <v>11</v>
          </cell>
          <cell r="CC21">
            <v>1</v>
          </cell>
          <cell r="CE21">
            <v>13</v>
          </cell>
          <cell r="CF21" t="str">
            <v>Tri Wibowo</v>
          </cell>
          <cell r="CG21">
            <v>0</v>
          </cell>
          <cell r="CH21">
            <v>4780464</v>
          </cell>
          <cell r="CI21">
            <v>128640</v>
          </cell>
          <cell r="CJ21" t="str">
            <v/>
          </cell>
        </row>
        <row r="22">
          <cell r="C22">
            <v>2</v>
          </cell>
          <cell r="CA22" t="str">
            <v>32</v>
          </cell>
          <cell r="CB22">
            <v>3</v>
          </cell>
          <cell r="CC22">
            <v>2</v>
          </cell>
          <cell r="CE22">
            <v>14</v>
          </cell>
          <cell r="CF22" t="str">
            <v xml:space="preserve">Achmad Sapari </v>
          </cell>
          <cell r="CG22">
            <v>0</v>
          </cell>
          <cell r="CH22">
            <v>1673280</v>
          </cell>
          <cell r="CI22">
            <v>0</v>
          </cell>
          <cell r="CJ22" t="str">
            <v/>
          </cell>
        </row>
        <row r="23">
          <cell r="C23">
            <v>1</v>
          </cell>
          <cell r="CA23" t="str">
            <v>121</v>
          </cell>
          <cell r="CB23">
            <v>12</v>
          </cell>
          <cell r="CC23">
            <v>1</v>
          </cell>
          <cell r="CE23">
            <v>15</v>
          </cell>
          <cell r="CF23" t="str">
            <v>Fajar Purwanto</v>
          </cell>
          <cell r="CG23">
            <v>0</v>
          </cell>
          <cell r="CH23">
            <v>7515936</v>
          </cell>
          <cell r="CI23">
            <v>13380</v>
          </cell>
          <cell r="CJ23" t="str">
            <v/>
          </cell>
        </row>
        <row r="24">
          <cell r="C24">
            <v>1</v>
          </cell>
          <cell r="CA24" t="str">
            <v>131</v>
          </cell>
          <cell r="CB24">
            <v>13</v>
          </cell>
          <cell r="CC24">
            <v>1</v>
          </cell>
          <cell r="CE24">
            <v>16</v>
          </cell>
          <cell r="CF24" t="str">
            <v>Wiwik Sumiati</v>
          </cell>
          <cell r="CG24">
            <v>0</v>
          </cell>
          <cell r="CH24">
            <v>2304520</v>
          </cell>
          <cell r="CI24">
            <v>138480</v>
          </cell>
          <cell r="CJ24" t="str">
            <v/>
          </cell>
        </row>
        <row r="25">
          <cell r="C25">
            <v>2</v>
          </cell>
          <cell r="CA25" t="str">
            <v>42</v>
          </cell>
          <cell r="CB25">
            <v>4</v>
          </cell>
          <cell r="CC25">
            <v>2</v>
          </cell>
          <cell r="CE25">
            <v>17</v>
          </cell>
          <cell r="CF25" t="str">
            <v>Helmi Irawan A</v>
          </cell>
          <cell r="CG25">
            <v>0</v>
          </cell>
          <cell r="CH25">
            <v>2375136</v>
          </cell>
          <cell r="CI25">
            <v>0</v>
          </cell>
          <cell r="CJ25" t="str">
            <v/>
          </cell>
        </row>
        <row r="26">
          <cell r="C26">
            <v>2</v>
          </cell>
          <cell r="CA26" t="str">
            <v>52</v>
          </cell>
          <cell r="CB26">
            <v>5</v>
          </cell>
          <cell r="CC26">
            <v>2</v>
          </cell>
          <cell r="CE26">
            <v>18</v>
          </cell>
          <cell r="CF26" t="str">
            <v>Tri Budi Susanto</v>
          </cell>
          <cell r="CG26">
            <v>0</v>
          </cell>
          <cell r="CH26">
            <v>3799240</v>
          </cell>
          <cell r="CI26">
            <v>0</v>
          </cell>
          <cell r="CJ26" t="str">
            <v/>
          </cell>
        </row>
        <row r="27">
          <cell r="C27">
            <v>2</v>
          </cell>
          <cell r="CA27" t="str">
            <v>62</v>
          </cell>
          <cell r="CB27">
            <v>6</v>
          </cell>
          <cell r="CC27">
            <v>2</v>
          </cell>
          <cell r="CE27">
            <v>19</v>
          </cell>
          <cell r="CF27" t="str">
            <v>Dewi Puspitasari</v>
          </cell>
          <cell r="CG27">
            <v>0</v>
          </cell>
          <cell r="CH27">
            <v>1807344</v>
          </cell>
          <cell r="CI27">
            <v>0</v>
          </cell>
          <cell r="CJ27" t="str">
            <v/>
          </cell>
        </row>
        <row r="28">
          <cell r="C28">
            <v>2</v>
          </cell>
          <cell r="CA28" t="str">
            <v>72</v>
          </cell>
          <cell r="CB28">
            <v>7</v>
          </cell>
          <cell r="CC28">
            <v>2</v>
          </cell>
          <cell r="CE28">
            <v>20</v>
          </cell>
          <cell r="CF28" t="str">
            <v>Naomi S Jingganingprang</v>
          </cell>
          <cell r="CG28">
            <v>0</v>
          </cell>
          <cell r="CH28">
            <v>1957344</v>
          </cell>
          <cell r="CI28">
            <v>0</v>
          </cell>
          <cell r="CJ28" t="str">
            <v/>
          </cell>
        </row>
        <row r="29">
          <cell r="C29">
            <v>2</v>
          </cell>
          <cell r="CA29" t="str">
            <v>82</v>
          </cell>
          <cell r="CB29">
            <v>8</v>
          </cell>
          <cell r="CC29">
            <v>2</v>
          </cell>
          <cell r="CE29">
            <v>21</v>
          </cell>
          <cell r="CF29" t="str">
            <v>Wahono</v>
          </cell>
          <cell r="CG29">
            <v>0</v>
          </cell>
          <cell r="CH29">
            <v>0</v>
          </cell>
          <cell r="CI29">
            <v>0</v>
          </cell>
          <cell r="CJ29" t="str">
            <v/>
          </cell>
        </row>
        <row r="30">
          <cell r="C30">
            <v>2</v>
          </cell>
          <cell r="CA30" t="str">
            <v>92</v>
          </cell>
          <cell r="CB30">
            <v>9</v>
          </cell>
          <cell r="CC30">
            <v>2</v>
          </cell>
          <cell r="CE30">
            <v>22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 t="str">
            <v/>
          </cell>
        </row>
        <row r="31">
          <cell r="C31">
            <v>2</v>
          </cell>
          <cell r="CA31" t="str">
            <v>102</v>
          </cell>
          <cell r="CB31">
            <v>10</v>
          </cell>
          <cell r="CC31">
            <v>2</v>
          </cell>
          <cell r="CE31">
            <v>23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 t="str">
            <v/>
          </cell>
        </row>
        <row r="32">
          <cell r="C32">
            <v>2</v>
          </cell>
          <cell r="CA32" t="str">
            <v>112</v>
          </cell>
          <cell r="CB32">
            <v>11</v>
          </cell>
          <cell r="CC32">
            <v>2</v>
          </cell>
          <cell r="CE32">
            <v>24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 t="str">
            <v/>
          </cell>
        </row>
        <row r="33">
          <cell r="C33">
            <v>2</v>
          </cell>
          <cell r="CA33" t="str">
            <v>122</v>
          </cell>
          <cell r="CB33">
            <v>12</v>
          </cell>
          <cell r="CC33">
            <v>2</v>
          </cell>
          <cell r="CE33">
            <v>25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 t="str">
            <v/>
          </cell>
        </row>
        <row r="34">
          <cell r="C34">
            <v>2</v>
          </cell>
          <cell r="CA34" t="str">
            <v>132</v>
          </cell>
          <cell r="CB34">
            <v>13</v>
          </cell>
          <cell r="CC34">
            <v>2</v>
          </cell>
          <cell r="CE34">
            <v>26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 t="str">
            <v/>
          </cell>
        </row>
        <row r="35">
          <cell r="C35">
            <v>2</v>
          </cell>
          <cell r="CA35" t="str">
            <v>142</v>
          </cell>
          <cell r="CB35">
            <v>14</v>
          </cell>
          <cell r="CC35">
            <v>2</v>
          </cell>
          <cell r="CE35">
            <v>27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 t="str">
            <v/>
          </cell>
        </row>
        <row r="36">
          <cell r="C36">
            <v>2</v>
          </cell>
          <cell r="CA36" t="str">
            <v>152</v>
          </cell>
          <cell r="CB36">
            <v>15</v>
          </cell>
          <cell r="CC36">
            <v>2</v>
          </cell>
          <cell r="CE36">
            <v>28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 t="str">
            <v/>
          </cell>
        </row>
        <row r="37">
          <cell r="C37">
            <v>2</v>
          </cell>
          <cell r="CA37" t="str">
            <v>162</v>
          </cell>
          <cell r="CB37">
            <v>16</v>
          </cell>
          <cell r="CC37">
            <v>2</v>
          </cell>
          <cell r="CE37">
            <v>29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 t="str">
            <v/>
          </cell>
        </row>
        <row r="38">
          <cell r="C38">
            <v>2</v>
          </cell>
          <cell r="CA38" t="str">
            <v>172</v>
          </cell>
          <cell r="CB38">
            <v>17</v>
          </cell>
          <cell r="CC38">
            <v>2</v>
          </cell>
          <cell r="CE38">
            <v>30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 t="str">
            <v/>
          </cell>
        </row>
        <row r="39">
          <cell r="C39">
            <v>2</v>
          </cell>
          <cell r="CA39" t="str">
            <v>182</v>
          </cell>
          <cell r="CB39">
            <v>18</v>
          </cell>
          <cell r="CC39">
            <v>2</v>
          </cell>
          <cell r="CE39">
            <v>31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 t="str">
            <v/>
          </cell>
        </row>
        <row r="40">
          <cell r="C40">
            <v>2</v>
          </cell>
          <cell r="CA40" t="str">
            <v>192</v>
          </cell>
          <cell r="CB40">
            <v>19</v>
          </cell>
          <cell r="CC40">
            <v>2</v>
          </cell>
          <cell r="CE40">
            <v>32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 t="str">
            <v/>
          </cell>
        </row>
        <row r="41">
          <cell r="C41">
            <v>2</v>
          </cell>
          <cell r="CA41" t="str">
            <v>202</v>
          </cell>
          <cell r="CB41">
            <v>20</v>
          </cell>
          <cell r="CC41">
            <v>2</v>
          </cell>
          <cell r="CE41">
            <v>33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 t="str">
            <v/>
          </cell>
        </row>
        <row r="42">
          <cell r="C42">
            <v>2</v>
          </cell>
          <cell r="CA42" t="str">
            <v>212</v>
          </cell>
          <cell r="CB42">
            <v>21</v>
          </cell>
          <cell r="CC42">
            <v>2</v>
          </cell>
          <cell r="CE42">
            <v>34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 t="str">
            <v/>
          </cell>
        </row>
        <row r="43">
          <cell r="C43">
            <v>2</v>
          </cell>
          <cell r="CA43" t="str">
            <v>222</v>
          </cell>
          <cell r="CB43">
            <v>22</v>
          </cell>
          <cell r="CC43">
            <v>2</v>
          </cell>
          <cell r="CE43">
            <v>35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 t="str">
            <v/>
          </cell>
        </row>
        <row r="44">
          <cell r="C44">
            <v>2</v>
          </cell>
          <cell r="CA44" t="str">
            <v>232</v>
          </cell>
          <cell r="CB44">
            <v>23</v>
          </cell>
          <cell r="CC44">
            <v>2</v>
          </cell>
          <cell r="CE44">
            <v>36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 t="str">
            <v/>
          </cell>
        </row>
        <row r="45">
          <cell r="C45">
            <v>2</v>
          </cell>
          <cell r="CA45" t="str">
            <v>242</v>
          </cell>
          <cell r="CB45">
            <v>24</v>
          </cell>
          <cell r="CC45">
            <v>2</v>
          </cell>
          <cell r="CE45">
            <v>37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 t="str">
            <v/>
          </cell>
        </row>
        <row r="46">
          <cell r="C46">
            <v>2</v>
          </cell>
          <cell r="CA46" t="str">
            <v>252</v>
          </cell>
          <cell r="CB46">
            <v>25</v>
          </cell>
          <cell r="CC46">
            <v>2</v>
          </cell>
          <cell r="CE46">
            <v>38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 t="str">
            <v/>
          </cell>
        </row>
        <row r="47">
          <cell r="C47">
            <v>2</v>
          </cell>
          <cell r="CA47" t="str">
            <v>262</v>
          </cell>
          <cell r="CB47">
            <v>26</v>
          </cell>
          <cell r="CC47">
            <v>2</v>
          </cell>
          <cell r="CE47">
            <v>39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 t="str">
            <v/>
          </cell>
        </row>
        <row r="48">
          <cell r="C48">
            <v>2</v>
          </cell>
          <cell r="CA48" t="str">
            <v>272</v>
          </cell>
          <cell r="CB48">
            <v>27</v>
          </cell>
          <cell r="CC48">
            <v>2</v>
          </cell>
          <cell r="CE48">
            <v>40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 t="str">
            <v/>
          </cell>
        </row>
        <row r="49">
          <cell r="C49">
            <v>2</v>
          </cell>
          <cell r="CA49" t="str">
            <v>282</v>
          </cell>
          <cell r="CB49">
            <v>28</v>
          </cell>
          <cell r="CC49">
            <v>2</v>
          </cell>
          <cell r="CE49">
            <v>41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 t="str">
            <v/>
          </cell>
        </row>
        <row r="50">
          <cell r="C50">
            <v>2</v>
          </cell>
          <cell r="CA50" t="str">
            <v>292</v>
          </cell>
          <cell r="CB50">
            <v>29</v>
          </cell>
          <cell r="CC50">
            <v>2</v>
          </cell>
          <cell r="CE50">
            <v>42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 t="str">
            <v/>
          </cell>
        </row>
        <row r="51">
          <cell r="C51">
            <v>2</v>
          </cell>
          <cell r="CA51" t="str">
            <v>302</v>
          </cell>
          <cell r="CB51">
            <v>30</v>
          </cell>
          <cell r="CC51">
            <v>2</v>
          </cell>
          <cell r="CE51">
            <v>43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 t="str">
            <v/>
          </cell>
        </row>
        <row r="52">
          <cell r="C52">
            <v>2</v>
          </cell>
          <cell r="CA52" t="str">
            <v>312</v>
          </cell>
          <cell r="CB52">
            <v>31</v>
          </cell>
          <cell r="CC52">
            <v>2</v>
          </cell>
          <cell r="CE52">
            <v>44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 t="str">
            <v/>
          </cell>
        </row>
        <row r="53">
          <cell r="C53">
            <v>2</v>
          </cell>
          <cell r="CA53" t="str">
            <v>322</v>
          </cell>
          <cell r="CB53">
            <v>32</v>
          </cell>
          <cell r="CC53">
            <v>2</v>
          </cell>
          <cell r="CE53">
            <v>45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 t="str">
            <v/>
          </cell>
        </row>
        <row r="54">
          <cell r="C54">
            <v>2</v>
          </cell>
          <cell r="CA54" t="str">
            <v>332</v>
          </cell>
          <cell r="CB54">
            <v>33</v>
          </cell>
          <cell r="CC54">
            <v>2</v>
          </cell>
          <cell r="CE54">
            <v>46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 t="str">
            <v/>
          </cell>
        </row>
        <row r="55">
          <cell r="C55">
            <v>2</v>
          </cell>
          <cell r="CA55" t="str">
            <v>342</v>
          </cell>
          <cell r="CB55">
            <v>34</v>
          </cell>
          <cell r="CC55">
            <v>2</v>
          </cell>
          <cell r="CE55">
            <v>47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 t="str">
            <v/>
          </cell>
        </row>
        <row r="56">
          <cell r="C56">
            <v>2</v>
          </cell>
          <cell r="CA56" t="str">
            <v>352</v>
          </cell>
          <cell r="CB56">
            <v>35</v>
          </cell>
          <cell r="CC56">
            <v>2</v>
          </cell>
          <cell r="CE56">
            <v>48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 t="str">
            <v/>
          </cell>
        </row>
        <row r="57">
          <cell r="C57">
            <v>2</v>
          </cell>
          <cell r="CA57" t="str">
            <v>362</v>
          </cell>
          <cell r="CB57">
            <v>36</v>
          </cell>
          <cell r="CC57">
            <v>2</v>
          </cell>
          <cell r="CE57">
            <v>49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 t="str">
            <v/>
          </cell>
        </row>
        <row r="58">
          <cell r="C58">
            <v>2</v>
          </cell>
          <cell r="CA58" t="str">
            <v>372</v>
          </cell>
          <cell r="CB58">
            <v>37</v>
          </cell>
          <cell r="CC58">
            <v>2</v>
          </cell>
          <cell r="CE58">
            <v>50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 t="str">
            <v/>
          </cell>
        </row>
        <row r="59">
          <cell r="C59">
            <v>2</v>
          </cell>
          <cell r="CA59" t="str">
            <v>382</v>
          </cell>
          <cell r="CB59">
            <v>38</v>
          </cell>
          <cell r="CC59">
            <v>2</v>
          </cell>
          <cell r="CE59">
            <v>51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 t="str">
            <v/>
          </cell>
        </row>
        <row r="60">
          <cell r="C60">
            <v>2</v>
          </cell>
          <cell r="CA60" t="str">
            <v>392</v>
          </cell>
          <cell r="CB60">
            <v>39</v>
          </cell>
          <cell r="CC60">
            <v>2</v>
          </cell>
          <cell r="CE60">
            <v>52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 t="str">
            <v/>
          </cell>
        </row>
        <row r="61">
          <cell r="C61">
            <v>2</v>
          </cell>
          <cell r="CA61" t="str">
            <v>402</v>
          </cell>
          <cell r="CB61">
            <v>40</v>
          </cell>
          <cell r="CC61">
            <v>2</v>
          </cell>
          <cell r="CE61">
            <v>53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 t="str">
            <v/>
          </cell>
        </row>
        <row r="62">
          <cell r="C62">
            <v>2</v>
          </cell>
          <cell r="CA62" t="str">
            <v>412</v>
          </cell>
          <cell r="CB62">
            <v>41</v>
          </cell>
          <cell r="CC62">
            <v>2</v>
          </cell>
          <cell r="CE62">
            <v>54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 t="str">
            <v/>
          </cell>
        </row>
        <row r="63">
          <cell r="C63">
            <v>2</v>
          </cell>
          <cell r="CA63" t="str">
            <v>422</v>
          </cell>
          <cell r="CB63">
            <v>42</v>
          </cell>
          <cell r="CC63">
            <v>2</v>
          </cell>
          <cell r="CE63">
            <v>55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 t="str">
            <v/>
          </cell>
        </row>
        <row r="64">
          <cell r="C64">
            <v>2</v>
          </cell>
          <cell r="CA64" t="str">
            <v>432</v>
          </cell>
          <cell r="CB64">
            <v>43</v>
          </cell>
          <cell r="CC64">
            <v>2</v>
          </cell>
          <cell r="CE64">
            <v>56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 t="str">
            <v/>
          </cell>
        </row>
        <row r="65">
          <cell r="C65">
            <v>2</v>
          </cell>
          <cell r="CA65" t="str">
            <v>442</v>
          </cell>
          <cell r="CB65">
            <v>44</v>
          </cell>
          <cell r="CC65">
            <v>2</v>
          </cell>
          <cell r="CE65">
            <v>57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 t="str">
            <v/>
          </cell>
        </row>
        <row r="66">
          <cell r="C66">
            <v>2</v>
          </cell>
          <cell r="CA66" t="str">
            <v>452</v>
          </cell>
          <cell r="CB66">
            <v>45</v>
          </cell>
          <cell r="CC66">
            <v>2</v>
          </cell>
          <cell r="CE66">
            <v>58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 t="str">
            <v/>
          </cell>
        </row>
        <row r="67">
          <cell r="C67">
            <v>2</v>
          </cell>
          <cell r="CA67" t="str">
            <v>462</v>
          </cell>
          <cell r="CB67">
            <v>46</v>
          </cell>
          <cell r="CC67">
            <v>2</v>
          </cell>
          <cell r="CE67">
            <v>59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 t="str">
            <v/>
          </cell>
        </row>
        <row r="68">
          <cell r="C68">
            <v>2</v>
          </cell>
          <cell r="CA68" t="str">
            <v>472</v>
          </cell>
          <cell r="CB68">
            <v>47</v>
          </cell>
          <cell r="CC68">
            <v>2</v>
          </cell>
          <cell r="CE68">
            <v>60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 t="str">
            <v/>
          </cell>
        </row>
        <row r="69">
          <cell r="C69">
            <v>2</v>
          </cell>
          <cell r="CA69" t="str">
            <v>482</v>
          </cell>
          <cell r="CB69">
            <v>48</v>
          </cell>
          <cell r="CC69">
            <v>2</v>
          </cell>
          <cell r="CE69">
            <v>61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 t="str">
            <v/>
          </cell>
        </row>
        <row r="70">
          <cell r="C70">
            <v>2</v>
          </cell>
          <cell r="CA70" t="str">
            <v>492</v>
          </cell>
          <cell r="CB70">
            <v>49</v>
          </cell>
          <cell r="CC70">
            <v>2</v>
          </cell>
          <cell r="CE70">
            <v>62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 t="str">
            <v/>
          </cell>
        </row>
        <row r="71">
          <cell r="C71">
            <v>2</v>
          </cell>
          <cell r="CA71" t="str">
            <v>502</v>
          </cell>
          <cell r="CB71">
            <v>50</v>
          </cell>
          <cell r="CC71">
            <v>2</v>
          </cell>
          <cell r="CE71">
            <v>63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 t="str">
            <v/>
          </cell>
        </row>
        <row r="72">
          <cell r="C72">
            <v>2</v>
          </cell>
          <cell r="CA72" t="str">
            <v>512</v>
          </cell>
          <cell r="CB72">
            <v>51</v>
          </cell>
          <cell r="CC72">
            <v>2</v>
          </cell>
          <cell r="CE72">
            <v>64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 t="str">
            <v/>
          </cell>
        </row>
        <row r="73">
          <cell r="C73">
            <v>2</v>
          </cell>
          <cell r="CA73" t="str">
            <v>522</v>
          </cell>
          <cell r="CB73">
            <v>52</v>
          </cell>
          <cell r="CC73">
            <v>2</v>
          </cell>
          <cell r="CE73">
            <v>65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 t="str">
            <v/>
          </cell>
        </row>
        <row r="74">
          <cell r="C74">
            <v>2</v>
          </cell>
          <cell r="CA74" t="str">
            <v>532</v>
          </cell>
          <cell r="CB74">
            <v>53</v>
          </cell>
          <cell r="CC74">
            <v>2</v>
          </cell>
          <cell r="CE74">
            <v>66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 t="str">
            <v/>
          </cell>
        </row>
        <row r="75">
          <cell r="C75">
            <v>2</v>
          </cell>
          <cell r="CA75" t="str">
            <v>542</v>
          </cell>
          <cell r="CB75">
            <v>54</v>
          </cell>
          <cell r="CC75">
            <v>2</v>
          </cell>
          <cell r="CE75">
            <v>67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 t="str">
            <v/>
          </cell>
        </row>
        <row r="76">
          <cell r="C76">
            <v>2</v>
          </cell>
          <cell r="CA76" t="str">
            <v>552</v>
          </cell>
          <cell r="CB76">
            <v>55</v>
          </cell>
          <cell r="CC76">
            <v>2</v>
          </cell>
          <cell r="CE76">
            <v>68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 t="str">
            <v/>
          </cell>
        </row>
        <row r="77">
          <cell r="C77">
            <v>2</v>
          </cell>
          <cell r="CA77" t="str">
            <v>562</v>
          </cell>
          <cell r="CB77">
            <v>56</v>
          </cell>
          <cell r="CC77">
            <v>2</v>
          </cell>
          <cell r="CE77">
            <v>69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 t="str">
            <v/>
          </cell>
        </row>
        <row r="78">
          <cell r="C78">
            <v>2</v>
          </cell>
          <cell r="CA78" t="str">
            <v>572</v>
          </cell>
          <cell r="CB78">
            <v>57</v>
          </cell>
          <cell r="CC78">
            <v>2</v>
          </cell>
          <cell r="CE78">
            <v>70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 t="str">
            <v/>
          </cell>
        </row>
        <row r="79">
          <cell r="C79">
            <v>2</v>
          </cell>
          <cell r="CA79" t="str">
            <v>582</v>
          </cell>
          <cell r="CB79">
            <v>58</v>
          </cell>
          <cell r="CC79">
            <v>2</v>
          </cell>
          <cell r="CE79">
            <v>71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 t="str">
            <v/>
          </cell>
        </row>
        <row r="80">
          <cell r="C80">
            <v>2</v>
          </cell>
          <cell r="CA80" t="str">
            <v>592</v>
          </cell>
          <cell r="CB80">
            <v>59</v>
          </cell>
          <cell r="CC80">
            <v>2</v>
          </cell>
          <cell r="CE80">
            <v>72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 t="str">
            <v/>
          </cell>
        </row>
        <row r="81">
          <cell r="C81">
            <v>2</v>
          </cell>
          <cell r="CA81" t="str">
            <v>602</v>
          </cell>
          <cell r="CB81">
            <v>60</v>
          </cell>
          <cell r="CC81">
            <v>2</v>
          </cell>
          <cell r="CE81">
            <v>73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 t="str">
            <v/>
          </cell>
        </row>
        <row r="82">
          <cell r="C82">
            <v>2</v>
          </cell>
          <cell r="CA82" t="str">
            <v>612</v>
          </cell>
          <cell r="CB82">
            <v>61</v>
          </cell>
          <cell r="CC82">
            <v>2</v>
          </cell>
          <cell r="CE82">
            <v>74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 t="str">
            <v/>
          </cell>
        </row>
        <row r="83">
          <cell r="C83">
            <v>2</v>
          </cell>
          <cell r="CA83" t="str">
            <v>622</v>
          </cell>
          <cell r="CB83">
            <v>62</v>
          </cell>
          <cell r="CC83">
            <v>2</v>
          </cell>
          <cell r="CE83">
            <v>75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 t="str">
            <v/>
          </cell>
        </row>
        <row r="84">
          <cell r="C84">
            <v>2</v>
          </cell>
          <cell r="CA84" t="str">
            <v>632</v>
          </cell>
          <cell r="CB84">
            <v>63</v>
          </cell>
          <cell r="CC84">
            <v>2</v>
          </cell>
          <cell r="CE84">
            <v>76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 t="str">
            <v/>
          </cell>
        </row>
        <row r="85">
          <cell r="C85">
            <v>2</v>
          </cell>
          <cell r="CA85" t="str">
            <v>642</v>
          </cell>
          <cell r="CB85">
            <v>64</v>
          </cell>
          <cell r="CC85">
            <v>2</v>
          </cell>
          <cell r="CE85">
            <v>77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 t="str">
            <v/>
          </cell>
        </row>
        <row r="86">
          <cell r="C86">
            <v>2</v>
          </cell>
          <cell r="CA86" t="str">
            <v>652</v>
          </cell>
          <cell r="CB86">
            <v>65</v>
          </cell>
          <cell r="CC86">
            <v>2</v>
          </cell>
          <cell r="CE86">
            <v>78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 t="str">
            <v/>
          </cell>
        </row>
        <row r="87">
          <cell r="C87">
            <v>2</v>
          </cell>
          <cell r="CA87" t="str">
            <v>662</v>
          </cell>
          <cell r="CB87">
            <v>66</v>
          </cell>
          <cell r="CC87">
            <v>2</v>
          </cell>
          <cell r="CE87">
            <v>79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 t="str">
            <v/>
          </cell>
        </row>
        <row r="88">
          <cell r="C88">
            <v>2</v>
          </cell>
          <cell r="CA88" t="str">
            <v>672</v>
          </cell>
          <cell r="CB88">
            <v>67</v>
          </cell>
          <cell r="CC88">
            <v>2</v>
          </cell>
          <cell r="CE88">
            <v>80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 t="str">
            <v/>
          </cell>
        </row>
        <row r="89">
          <cell r="C89">
            <v>2</v>
          </cell>
          <cell r="CA89" t="str">
            <v>682</v>
          </cell>
          <cell r="CB89">
            <v>68</v>
          </cell>
          <cell r="CC89">
            <v>2</v>
          </cell>
          <cell r="CE89">
            <v>81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 t="str">
            <v/>
          </cell>
        </row>
        <row r="90">
          <cell r="C90">
            <v>2</v>
          </cell>
          <cell r="CA90" t="str">
            <v>692</v>
          </cell>
          <cell r="CB90">
            <v>69</v>
          </cell>
          <cell r="CC90">
            <v>2</v>
          </cell>
          <cell r="CE90">
            <v>82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 t="str">
            <v/>
          </cell>
        </row>
        <row r="91">
          <cell r="C91">
            <v>2</v>
          </cell>
          <cell r="CA91" t="str">
            <v>702</v>
          </cell>
          <cell r="CB91">
            <v>70</v>
          </cell>
          <cell r="CC91">
            <v>2</v>
          </cell>
          <cell r="CE91">
            <v>83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 t="str">
            <v/>
          </cell>
        </row>
        <row r="92">
          <cell r="C92">
            <v>2</v>
          </cell>
          <cell r="CA92" t="str">
            <v>712</v>
          </cell>
          <cell r="CB92">
            <v>71</v>
          </cell>
          <cell r="CC92">
            <v>2</v>
          </cell>
          <cell r="CE92">
            <v>84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 t="str">
            <v/>
          </cell>
        </row>
        <row r="93">
          <cell r="C93">
            <v>2</v>
          </cell>
          <cell r="CA93" t="str">
            <v>722</v>
          </cell>
          <cell r="CB93">
            <v>72</v>
          </cell>
          <cell r="CC93">
            <v>2</v>
          </cell>
          <cell r="CE93">
            <v>85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 t="str">
            <v/>
          </cell>
        </row>
        <row r="94">
          <cell r="C94">
            <v>2</v>
          </cell>
          <cell r="CA94" t="str">
            <v>732</v>
          </cell>
          <cell r="CB94">
            <v>73</v>
          </cell>
          <cell r="CC94">
            <v>2</v>
          </cell>
          <cell r="CE94">
            <v>86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 t="str">
            <v/>
          </cell>
        </row>
        <row r="95">
          <cell r="C95">
            <v>2</v>
          </cell>
          <cell r="CA95" t="str">
            <v>742</v>
          </cell>
          <cell r="CB95">
            <v>74</v>
          </cell>
          <cell r="CC95">
            <v>2</v>
          </cell>
          <cell r="CE95">
            <v>87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 t="str">
            <v/>
          </cell>
        </row>
        <row r="96">
          <cell r="C96">
            <v>2</v>
          </cell>
          <cell r="CA96" t="str">
            <v>752</v>
          </cell>
          <cell r="CB96">
            <v>75</v>
          </cell>
          <cell r="CC96">
            <v>2</v>
          </cell>
          <cell r="CE96">
            <v>88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 t="str">
            <v/>
          </cell>
        </row>
        <row r="97">
          <cell r="C97">
            <v>2</v>
          </cell>
          <cell r="CA97" t="str">
            <v>762</v>
          </cell>
          <cell r="CB97">
            <v>76</v>
          </cell>
          <cell r="CC97">
            <v>2</v>
          </cell>
          <cell r="CE97">
            <v>89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 t="str">
            <v/>
          </cell>
        </row>
        <row r="98">
          <cell r="C98">
            <v>2</v>
          </cell>
          <cell r="CA98" t="str">
            <v>772</v>
          </cell>
          <cell r="CB98">
            <v>77</v>
          </cell>
          <cell r="CC98">
            <v>2</v>
          </cell>
          <cell r="CE98">
            <v>90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 t="str">
            <v/>
          </cell>
        </row>
        <row r="99">
          <cell r="C99">
            <v>2</v>
          </cell>
          <cell r="CA99" t="str">
            <v>782</v>
          </cell>
          <cell r="CB99">
            <v>78</v>
          </cell>
          <cell r="CC99">
            <v>2</v>
          </cell>
          <cell r="CE99">
            <v>91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 t="str">
            <v/>
          </cell>
        </row>
        <row r="100">
          <cell r="C100">
            <v>2</v>
          </cell>
          <cell r="CA100" t="str">
            <v>792</v>
          </cell>
          <cell r="CB100">
            <v>79</v>
          </cell>
          <cell r="CC100">
            <v>2</v>
          </cell>
          <cell r="CE100">
            <v>92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 t="str">
            <v/>
          </cell>
        </row>
        <row r="101">
          <cell r="C101">
            <v>2</v>
          </cell>
          <cell r="CA101" t="str">
            <v>802</v>
          </cell>
          <cell r="CB101">
            <v>80</v>
          </cell>
          <cell r="CC101">
            <v>2</v>
          </cell>
          <cell r="CE101">
            <v>93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 t="str">
            <v/>
          </cell>
        </row>
        <row r="102">
          <cell r="C102">
            <v>2</v>
          </cell>
          <cell r="CA102" t="str">
            <v>812</v>
          </cell>
          <cell r="CB102">
            <v>81</v>
          </cell>
          <cell r="CC102">
            <v>2</v>
          </cell>
          <cell r="CE102">
            <v>94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 t="str">
            <v/>
          </cell>
        </row>
        <row r="103">
          <cell r="C103">
            <v>2</v>
          </cell>
          <cell r="CA103" t="str">
            <v>822</v>
          </cell>
          <cell r="CB103">
            <v>82</v>
          </cell>
          <cell r="CC103">
            <v>2</v>
          </cell>
          <cell r="CE103">
            <v>95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 t="str">
            <v/>
          </cell>
        </row>
        <row r="104">
          <cell r="C104">
            <v>2</v>
          </cell>
          <cell r="CA104" t="str">
            <v>832</v>
          </cell>
          <cell r="CB104">
            <v>83</v>
          </cell>
          <cell r="CC104">
            <v>2</v>
          </cell>
          <cell r="CE104">
            <v>96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 t="str">
            <v/>
          </cell>
        </row>
        <row r="105">
          <cell r="C105">
            <v>2</v>
          </cell>
          <cell r="CA105" t="str">
            <v>842</v>
          </cell>
          <cell r="CB105">
            <v>84</v>
          </cell>
          <cell r="CC105">
            <v>2</v>
          </cell>
          <cell r="CE105">
            <v>97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 t="str">
            <v/>
          </cell>
        </row>
        <row r="106">
          <cell r="C106">
            <v>2</v>
          </cell>
          <cell r="CA106" t="str">
            <v>852</v>
          </cell>
          <cell r="CB106">
            <v>85</v>
          </cell>
          <cell r="CC106">
            <v>2</v>
          </cell>
          <cell r="CE106">
            <v>98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 t="str">
            <v/>
          </cell>
        </row>
        <row r="107">
          <cell r="C107">
            <v>2</v>
          </cell>
          <cell r="CA107" t="str">
            <v>862</v>
          </cell>
          <cell r="CB107">
            <v>86</v>
          </cell>
          <cell r="CC107">
            <v>2</v>
          </cell>
          <cell r="CE107">
            <v>99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 t="str">
            <v/>
          </cell>
        </row>
        <row r="108">
          <cell r="C108">
            <v>2</v>
          </cell>
          <cell r="CA108" t="str">
            <v>872</v>
          </cell>
          <cell r="CB108">
            <v>87</v>
          </cell>
          <cell r="CC108">
            <v>2</v>
          </cell>
          <cell r="CE108">
            <v>100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 t="str">
            <v/>
          </cell>
        </row>
        <row r="109">
          <cell r="C109">
            <v>2</v>
          </cell>
          <cell r="CA109" t="str">
            <v>882</v>
          </cell>
          <cell r="CB109">
            <v>88</v>
          </cell>
          <cell r="CC109">
            <v>2</v>
          </cell>
          <cell r="CE109">
            <v>101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 t="str">
            <v/>
          </cell>
        </row>
        <row r="110">
          <cell r="C110">
            <v>2</v>
          </cell>
          <cell r="CA110" t="str">
            <v>892</v>
          </cell>
          <cell r="CB110">
            <v>89</v>
          </cell>
          <cell r="CC110">
            <v>2</v>
          </cell>
          <cell r="CE110">
            <v>102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 t="str">
            <v/>
          </cell>
        </row>
        <row r="111">
          <cell r="C111">
            <v>2</v>
          </cell>
          <cell r="CA111" t="str">
            <v>902</v>
          </cell>
          <cell r="CB111">
            <v>90</v>
          </cell>
          <cell r="CC111">
            <v>2</v>
          </cell>
          <cell r="CE111">
            <v>103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 t="str">
            <v/>
          </cell>
        </row>
        <row r="112">
          <cell r="C112">
            <v>2</v>
          </cell>
          <cell r="CA112" t="str">
            <v>912</v>
          </cell>
          <cell r="CB112">
            <v>91</v>
          </cell>
          <cell r="CC112">
            <v>2</v>
          </cell>
          <cell r="CE112">
            <v>104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 t="str">
            <v/>
          </cell>
        </row>
        <row r="113">
          <cell r="C113">
            <v>2</v>
          </cell>
          <cell r="CA113" t="str">
            <v>922</v>
          </cell>
          <cell r="CB113">
            <v>92</v>
          </cell>
          <cell r="CC113">
            <v>2</v>
          </cell>
          <cell r="CE113">
            <v>105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 t="str">
            <v/>
          </cell>
        </row>
        <row r="114">
          <cell r="C114">
            <v>2</v>
          </cell>
          <cell r="CA114" t="str">
            <v>932</v>
          </cell>
          <cell r="CB114">
            <v>93</v>
          </cell>
          <cell r="CC114">
            <v>2</v>
          </cell>
          <cell r="CE114">
            <v>106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 t="str">
            <v/>
          </cell>
        </row>
        <row r="115">
          <cell r="C115">
            <v>2</v>
          </cell>
          <cell r="CA115" t="str">
            <v>942</v>
          </cell>
          <cell r="CB115">
            <v>94</v>
          </cell>
          <cell r="CC115">
            <v>2</v>
          </cell>
          <cell r="CE115">
            <v>107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 t="str">
            <v/>
          </cell>
        </row>
        <row r="116">
          <cell r="C116">
            <v>2</v>
          </cell>
          <cell r="CA116" t="str">
            <v>952</v>
          </cell>
          <cell r="CB116">
            <v>95</v>
          </cell>
          <cell r="CC116">
            <v>2</v>
          </cell>
          <cell r="CE116">
            <v>108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 t="str">
            <v/>
          </cell>
        </row>
        <row r="117">
          <cell r="C117">
            <v>2</v>
          </cell>
          <cell r="CA117" t="str">
            <v>962</v>
          </cell>
          <cell r="CB117">
            <v>96</v>
          </cell>
          <cell r="CC117">
            <v>2</v>
          </cell>
          <cell r="CE117">
            <v>109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 t="str">
            <v/>
          </cell>
        </row>
        <row r="118">
          <cell r="C118">
            <v>2</v>
          </cell>
          <cell r="CA118" t="str">
            <v>972</v>
          </cell>
          <cell r="CB118">
            <v>97</v>
          </cell>
          <cell r="CC118">
            <v>2</v>
          </cell>
          <cell r="CE118">
            <v>110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 t="str">
            <v/>
          </cell>
        </row>
        <row r="119">
          <cell r="C119">
            <v>2</v>
          </cell>
          <cell r="CA119" t="str">
            <v>982</v>
          </cell>
          <cell r="CB119">
            <v>98</v>
          </cell>
          <cell r="CC119">
            <v>2</v>
          </cell>
          <cell r="CE119">
            <v>111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 t="str">
            <v/>
          </cell>
        </row>
        <row r="120">
          <cell r="C120">
            <v>2</v>
          </cell>
          <cell r="CA120" t="str">
            <v>992</v>
          </cell>
          <cell r="CB120">
            <v>99</v>
          </cell>
          <cell r="CC120">
            <v>2</v>
          </cell>
          <cell r="CE120">
            <v>112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 t="str">
            <v/>
          </cell>
        </row>
        <row r="121">
          <cell r="C121">
            <v>2</v>
          </cell>
          <cell r="CA121" t="str">
            <v>1002</v>
          </cell>
          <cell r="CB121">
            <v>100</v>
          </cell>
          <cell r="CC121">
            <v>2</v>
          </cell>
          <cell r="CE121">
            <v>113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 t="str">
            <v/>
          </cell>
        </row>
        <row r="122">
          <cell r="C122">
            <v>2</v>
          </cell>
          <cell r="CA122" t="str">
            <v>1012</v>
          </cell>
          <cell r="CB122">
            <v>101</v>
          </cell>
          <cell r="CC122">
            <v>2</v>
          </cell>
          <cell r="CE122">
            <v>114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 t="str">
            <v/>
          </cell>
        </row>
        <row r="123">
          <cell r="C123">
            <v>2</v>
          </cell>
          <cell r="CA123" t="str">
            <v>1022</v>
          </cell>
          <cell r="CB123">
            <v>102</v>
          </cell>
          <cell r="CC123">
            <v>2</v>
          </cell>
          <cell r="CE123">
            <v>115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 t="str">
            <v/>
          </cell>
        </row>
        <row r="124">
          <cell r="C124">
            <v>2</v>
          </cell>
          <cell r="CA124" t="str">
            <v>1032</v>
          </cell>
          <cell r="CB124">
            <v>103</v>
          </cell>
          <cell r="CC124">
            <v>2</v>
          </cell>
          <cell r="CE124">
            <v>116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 t="str">
            <v/>
          </cell>
        </row>
        <row r="125">
          <cell r="C125">
            <v>2</v>
          </cell>
          <cell r="CA125" t="str">
            <v>1042</v>
          </cell>
          <cell r="CB125">
            <v>104</v>
          </cell>
          <cell r="CC125">
            <v>2</v>
          </cell>
          <cell r="CE125">
            <v>117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 t="str">
            <v/>
          </cell>
        </row>
        <row r="126">
          <cell r="C126">
            <v>2</v>
          </cell>
          <cell r="CA126" t="str">
            <v>1052</v>
          </cell>
          <cell r="CB126">
            <v>105</v>
          </cell>
          <cell r="CC126">
            <v>2</v>
          </cell>
          <cell r="CE126">
            <v>118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 t="str">
            <v/>
          </cell>
        </row>
        <row r="127">
          <cell r="C127">
            <v>2</v>
          </cell>
          <cell r="CA127" t="str">
            <v>1062</v>
          </cell>
          <cell r="CB127">
            <v>106</v>
          </cell>
          <cell r="CC127">
            <v>2</v>
          </cell>
          <cell r="CE127">
            <v>119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 t="str">
            <v/>
          </cell>
        </row>
        <row r="128">
          <cell r="C128">
            <v>2</v>
          </cell>
          <cell r="CA128" t="str">
            <v>1072</v>
          </cell>
          <cell r="CB128">
            <v>107</v>
          </cell>
          <cell r="CC128">
            <v>2</v>
          </cell>
          <cell r="CE128">
            <v>120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 t="str">
            <v/>
          </cell>
        </row>
        <row r="129">
          <cell r="C129">
            <v>2</v>
          </cell>
          <cell r="CA129" t="str">
            <v>1082</v>
          </cell>
          <cell r="CB129">
            <v>108</v>
          </cell>
          <cell r="CC129">
            <v>2</v>
          </cell>
          <cell r="CE129">
            <v>121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 t="str">
            <v/>
          </cell>
        </row>
        <row r="130">
          <cell r="C130">
            <v>2</v>
          </cell>
          <cell r="CA130" t="str">
            <v>1092</v>
          </cell>
          <cell r="CB130">
            <v>109</v>
          </cell>
          <cell r="CC130">
            <v>2</v>
          </cell>
          <cell r="CE130">
            <v>122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 t="str">
            <v/>
          </cell>
        </row>
        <row r="131">
          <cell r="C131">
            <v>2</v>
          </cell>
          <cell r="CA131" t="str">
            <v>1102</v>
          </cell>
          <cell r="CB131">
            <v>110</v>
          </cell>
          <cell r="CC131">
            <v>2</v>
          </cell>
          <cell r="CE131">
            <v>123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 t="str">
            <v/>
          </cell>
        </row>
        <row r="132">
          <cell r="C132">
            <v>2</v>
          </cell>
          <cell r="CA132" t="str">
            <v>1112</v>
          </cell>
          <cell r="CB132">
            <v>111</v>
          </cell>
          <cell r="CC132">
            <v>2</v>
          </cell>
          <cell r="CE132">
            <v>124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 t="str">
            <v/>
          </cell>
        </row>
        <row r="133">
          <cell r="C133">
            <v>2</v>
          </cell>
          <cell r="CA133" t="str">
            <v>1122</v>
          </cell>
          <cell r="CB133">
            <v>112</v>
          </cell>
          <cell r="CC133">
            <v>2</v>
          </cell>
          <cell r="CE133">
            <v>125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 t="str">
            <v/>
          </cell>
        </row>
        <row r="134">
          <cell r="C134">
            <v>2</v>
          </cell>
          <cell r="CA134" t="str">
            <v>1132</v>
          </cell>
          <cell r="CB134">
            <v>113</v>
          </cell>
          <cell r="CC134">
            <v>2</v>
          </cell>
          <cell r="CE134">
            <v>126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 t="str">
            <v/>
          </cell>
        </row>
        <row r="135">
          <cell r="C135">
            <v>2</v>
          </cell>
          <cell r="CA135" t="str">
            <v>1142</v>
          </cell>
          <cell r="CB135">
            <v>114</v>
          </cell>
          <cell r="CC135">
            <v>2</v>
          </cell>
          <cell r="CE135">
            <v>127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 t="str">
            <v/>
          </cell>
        </row>
        <row r="136">
          <cell r="C136">
            <v>2</v>
          </cell>
          <cell r="CA136" t="str">
            <v>1152</v>
          </cell>
          <cell r="CB136">
            <v>115</v>
          </cell>
          <cell r="CC136">
            <v>2</v>
          </cell>
          <cell r="CE136">
            <v>128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 t="str">
            <v/>
          </cell>
        </row>
        <row r="137">
          <cell r="C137">
            <v>2</v>
          </cell>
          <cell r="CA137" t="str">
            <v>1162</v>
          </cell>
          <cell r="CB137">
            <v>116</v>
          </cell>
          <cell r="CC137">
            <v>2</v>
          </cell>
          <cell r="CE137">
            <v>129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 t="str">
            <v/>
          </cell>
        </row>
        <row r="138">
          <cell r="C138">
            <v>2</v>
          </cell>
          <cell r="CA138" t="str">
            <v>1172</v>
          </cell>
          <cell r="CB138">
            <v>117</v>
          </cell>
          <cell r="CC138">
            <v>2</v>
          </cell>
          <cell r="CE138">
            <v>130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 t="str">
            <v/>
          </cell>
        </row>
        <row r="139">
          <cell r="C139">
            <v>2</v>
          </cell>
          <cell r="CA139" t="str">
            <v>1182</v>
          </cell>
          <cell r="CB139">
            <v>118</v>
          </cell>
          <cell r="CC139">
            <v>2</v>
          </cell>
          <cell r="CE139">
            <v>131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 t="str">
            <v/>
          </cell>
        </row>
        <row r="140">
          <cell r="C140">
            <v>2</v>
          </cell>
          <cell r="CA140" t="str">
            <v>1192</v>
          </cell>
          <cell r="CB140">
            <v>119</v>
          </cell>
          <cell r="CC140">
            <v>2</v>
          </cell>
          <cell r="CE140">
            <v>132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 t="str">
            <v/>
          </cell>
        </row>
        <row r="141">
          <cell r="C141">
            <v>2</v>
          </cell>
          <cell r="CA141" t="str">
            <v>1202</v>
          </cell>
          <cell r="CB141">
            <v>120</v>
          </cell>
          <cell r="CC141">
            <v>2</v>
          </cell>
          <cell r="CE141">
            <v>133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 t="str">
            <v/>
          </cell>
        </row>
        <row r="142">
          <cell r="C142">
            <v>2</v>
          </cell>
          <cell r="CA142" t="str">
            <v>1212</v>
          </cell>
          <cell r="CB142">
            <v>121</v>
          </cell>
          <cell r="CC142">
            <v>2</v>
          </cell>
          <cell r="CE142">
            <v>134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 t="str">
            <v/>
          </cell>
        </row>
        <row r="143">
          <cell r="C143">
            <v>2</v>
          </cell>
          <cell r="CA143" t="str">
            <v>1222</v>
          </cell>
          <cell r="CB143">
            <v>122</v>
          </cell>
          <cell r="CC143">
            <v>2</v>
          </cell>
          <cell r="CE143">
            <v>135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 t="str">
            <v/>
          </cell>
        </row>
        <row r="144">
          <cell r="C144">
            <v>2</v>
          </cell>
          <cell r="CA144" t="str">
            <v>1232</v>
          </cell>
          <cell r="CB144">
            <v>123</v>
          </cell>
          <cell r="CC144">
            <v>2</v>
          </cell>
          <cell r="CE144">
            <v>136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 t="str">
            <v/>
          </cell>
        </row>
        <row r="145">
          <cell r="C145">
            <v>2</v>
          </cell>
          <cell r="CA145" t="str">
            <v>1242</v>
          </cell>
          <cell r="CB145">
            <v>124</v>
          </cell>
          <cell r="CC145">
            <v>2</v>
          </cell>
          <cell r="CE145">
            <v>137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 t="str">
            <v/>
          </cell>
        </row>
        <row r="146">
          <cell r="C146">
            <v>2</v>
          </cell>
          <cell r="CA146" t="str">
            <v>1252</v>
          </cell>
          <cell r="CB146">
            <v>125</v>
          </cell>
          <cell r="CC146">
            <v>2</v>
          </cell>
          <cell r="CE146">
            <v>138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 t="str">
            <v/>
          </cell>
        </row>
        <row r="147">
          <cell r="C147">
            <v>2</v>
          </cell>
          <cell r="CA147" t="str">
            <v>1262</v>
          </cell>
          <cell r="CB147">
            <v>126</v>
          </cell>
          <cell r="CC147">
            <v>2</v>
          </cell>
          <cell r="CE147">
            <v>139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 t="str">
            <v/>
          </cell>
        </row>
        <row r="148">
          <cell r="C148">
            <v>2</v>
          </cell>
          <cell r="CA148" t="str">
            <v>1272</v>
          </cell>
          <cell r="CB148">
            <v>127</v>
          </cell>
          <cell r="CC148">
            <v>2</v>
          </cell>
          <cell r="CE148">
            <v>140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 t="str">
            <v/>
          </cell>
        </row>
        <row r="149">
          <cell r="C149">
            <v>2</v>
          </cell>
          <cell r="CA149" t="str">
            <v>1282</v>
          </cell>
          <cell r="CB149">
            <v>128</v>
          </cell>
          <cell r="CC149">
            <v>2</v>
          </cell>
          <cell r="CE149">
            <v>141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 t="str">
            <v/>
          </cell>
        </row>
        <row r="150">
          <cell r="C150">
            <v>2</v>
          </cell>
          <cell r="CA150" t="str">
            <v>1292</v>
          </cell>
          <cell r="CB150">
            <v>129</v>
          </cell>
          <cell r="CC150">
            <v>2</v>
          </cell>
          <cell r="CE150">
            <v>142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 t="str">
            <v/>
          </cell>
        </row>
        <row r="151">
          <cell r="C151">
            <v>2</v>
          </cell>
          <cell r="CA151" t="str">
            <v>1302</v>
          </cell>
          <cell r="CB151">
            <v>130</v>
          </cell>
          <cell r="CC151">
            <v>2</v>
          </cell>
          <cell r="CE151">
            <v>143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 t="str">
            <v/>
          </cell>
        </row>
        <row r="152">
          <cell r="C152">
            <v>2</v>
          </cell>
          <cell r="CA152" t="str">
            <v>1312</v>
          </cell>
          <cell r="CB152">
            <v>131</v>
          </cell>
          <cell r="CC152">
            <v>2</v>
          </cell>
          <cell r="CE152">
            <v>144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 t="str">
            <v/>
          </cell>
        </row>
        <row r="153">
          <cell r="C153">
            <v>2</v>
          </cell>
          <cell r="CA153" t="str">
            <v>1322</v>
          </cell>
          <cell r="CB153">
            <v>132</v>
          </cell>
          <cell r="CC153">
            <v>2</v>
          </cell>
          <cell r="CE153">
            <v>145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 t="str">
            <v/>
          </cell>
        </row>
        <row r="154">
          <cell r="C154">
            <v>2</v>
          </cell>
          <cell r="CA154" t="str">
            <v>1332</v>
          </cell>
          <cell r="CB154">
            <v>133</v>
          </cell>
          <cell r="CC154">
            <v>2</v>
          </cell>
          <cell r="CE154">
            <v>146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 t="str">
            <v/>
          </cell>
        </row>
        <row r="155">
          <cell r="C155">
            <v>2</v>
          </cell>
          <cell r="CA155" t="str">
            <v>1342</v>
          </cell>
          <cell r="CB155">
            <v>134</v>
          </cell>
          <cell r="CC155">
            <v>2</v>
          </cell>
          <cell r="CE155">
            <v>147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 t="str">
            <v/>
          </cell>
        </row>
        <row r="156">
          <cell r="C156">
            <v>2</v>
          </cell>
          <cell r="CA156" t="str">
            <v>1352</v>
          </cell>
          <cell r="CB156">
            <v>135</v>
          </cell>
          <cell r="CC156">
            <v>2</v>
          </cell>
          <cell r="CE156">
            <v>148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 t="str">
            <v/>
          </cell>
        </row>
        <row r="157">
          <cell r="C157">
            <v>2</v>
          </cell>
          <cell r="CA157" t="str">
            <v>1362</v>
          </cell>
          <cell r="CB157">
            <v>136</v>
          </cell>
          <cell r="CC157">
            <v>2</v>
          </cell>
          <cell r="CE157">
            <v>149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J157" t="str">
            <v/>
          </cell>
        </row>
        <row r="158">
          <cell r="C158">
            <v>2</v>
          </cell>
          <cell r="CA158" t="str">
            <v>1372</v>
          </cell>
          <cell r="CB158">
            <v>137</v>
          </cell>
          <cell r="CC158">
            <v>2</v>
          </cell>
          <cell r="CE158">
            <v>150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 t="str">
            <v/>
          </cell>
        </row>
        <row r="159">
          <cell r="C159">
            <v>2</v>
          </cell>
          <cell r="CA159" t="str">
            <v>1382</v>
          </cell>
          <cell r="CB159">
            <v>138</v>
          </cell>
          <cell r="CC159">
            <v>2</v>
          </cell>
          <cell r="CE159">
            <v>151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 t="str">
            <v/>
          </cell>
        </row>
        <row r="160">
          <cell r="C160">
            <v>2</v>
          </cell>
          <cell r="CA160" t="str">
            <v>1392</v>
          </cell>
          <cell r="CB160">
            <v>139</v>
          </cell>
          <cell r="CC160">
            <v>2</v>
          </cell>
          <cell r="CE160">
            <v>152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 t="str">
            <v/>
          </cell>
        </row>
        <row r="161">
          <cell r="C161">
            <v>2</v>
          </cell>
          <cell r="CA161" t="str">
            <v>1402</v>
          </cell>
          <cell r="CB161">
            <v>140</v>
          </cell>
          <cell r="CC161">
            <v>2</v>
          </cell>
          <cell r="CE161">
            <v>153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 t="str">
            <v/>
          </cell>
        </row>
        <row r="162">
          <cell r="C162">
            <v>2</v>
          </cell>
          <cell r="CA162" t="str">
            <v>1412</v>
          </cell>
          <cell r="CB162">
            <v>141</v>
          </cell>
          <cell r="CC162">
            <v>2</v>
          </cell>
          <cell r="CE162">
            <v>154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 t="str">
            <v/>
          </cell>
        </row>
        <row r="163">
          <cell r="C163">
            <v>2</v>
          </cell>
          <cell r="CA163" t="str">
            <v>1422</v>
          </cell>
          <cell r="CB163">
            <v>142</v>
          </cell>
          <cell r="CC163">
            <v>2</v>
          </cell>
          <cell r="CE163">
            <v>155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 t="str">
            <v/>
          </cell>
        </row>
        <row r="164">
          <cell r="C164">
            <v>2</v>
          </cell>
          <cell r="CA164" t="str">
            <v>1432</v>
          </cell>
          <cell r="CB164">
            <v>143</v>
          </cell>
          <cell r="CC164">
            <v>2</v>
          </cell>
          <cell r="CE164">
            <v>156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 t="str">
            <v/>
          </cell>
        </row>
        <row r="165">
          <cell r="C165">
            <v>2</v>
          </cell>
          <cell r="CA165" t="str">
            <v>1442</v>
          </cell>
          <cell r="CB165">
            <v>144</v>
          </cell>
          <cell r="CC165">
            <v>2</v>
          </cell>
          <cell r="CE165">
            <v>157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 t="str">
            <v/>
          </cell>
        </row>
        <row r="166">
          <cell r="C166">
            <v>2</v>
          </cell>
          <cell r="CA166" t="str">
            <v>1452</v>
          </cell>
          <cell r="CB166">
            <v>145</v>
          </cell>
          <cell r="CC166">
            <v>2</v>
          </cell>
          <cell r="CE166">
            <v>158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 t="str">
            <v/>
          </cell>
        </row>
        <row r="167">
          <cell r="C167">
            <v>2</v>
          </cell>
          <cell r="CA167" t="str">
            <v>1462</v>
          </cell>
          <cell r="CB167">
            <v>146</v>
          </cell>
          <cell r="CC167">
            <v>2</v>
          </cell>
          <cell r="CE167">
            <v>159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 t="str">
            <v/>
          </cell>
        </row>
        <row r="168">
          <cell r="C168">
            <v>2</v>
          </cell>
          <cell r="CA168" t="str">
            <v>1472</v>
          </cell>
          <cell r="CB168">
            <v>147</v>
          </cell>
          <cell r="CC168">
            <v>2</v>
          </cell>
          <cell r="CE168">
            <v>160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 t="str">
            <v/>
          </cell>
        </row>
        <row r="169">
          <cell r="C169">
            <v>2</v>
          </cell>
          <cell r="CA169" t="str">
            <v>1482</v>
          </cell>
          <cell r="CB169">
            <v>148</v>
          </cell>
          <cell r="CC169">
            <v>2</v>
          </cell>
          <cell r="CE169">
            <v>161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 t="str">
            <v/>
          </cell>
        </row>
        <row r="170">
          <cell r="C170">
            <v>2</v>
          </cell>
          <cell r="CA170" t="str">
            <v>1492</v>
          </cell>
          <cell r="CB170">
            <v>149</v>
          </cell>
          <cell r="CC170">
            <v>2</v>
          </cell>
          <cell r="CE170">
            <v>162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 t="str">
            <v/>
          </cell>
        </row>
        <row r="171">
          <cell r="C171">
            <v>2</v>
          </cell>
          <cell r="CA171" t="str">
            <v>1502</v>
          </cell>
          <cell r="CB171">
            <v>150</v>
          </cell>
          <cell r="CC171">
            <v>2</v>
          </cell>
          <cell r="CE171">
            <v>163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 t="str">
            <v/>
          </cell>
        </row>
        <row r="172">
          <cell r="C172">
            <v>2</v>
          </cell>
          <cell r="CA172" t="str">
            <v>1512</v>
          </cell>
          <cell r="CB172">
            <v>151</v>
          </cell>
          <cell r="CC172">
            <v>2</v>
          </cell>
          <cell r="CE172">
            <v>164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 t="str">
            <v/>
          </cell>
        </row>
        <row r="173">
          <cell r="C173">
            <v>2</v>
          </cell>
          <cell r="CA173" t="str">
            <v>1522</v>
          </cell>
          <cell r="CB173">
            <v>152</v>
          </cell>
          <cell r="CC173">
            <v>2</v>
          </cell>
          <cell r="CE173">
            <v>165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 t="str">
            <v/>
          </cell>
        </row>
        <row r="174">
          <cell r="C174">
            <v>2</v>
          </cell>
          <cell r="CA174" t="str">
            <v>1532</v>
          </cell>
          <cell r="CB174">
            <v>153</v>
          </cell>
          <cell r="CC174">
            <v>2</v>
          </cell>
          <cell r="CE174">
            <v>166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 t="str">
            <v/>
          </cell>
        </row>
        <row r="175">
          <cell r="C175">
            <v>2</v>
          </cell>
          <cell r="CA175" t="str">
            <v>1542</v>
          </cell>
          <cell r="CB175">
            <v>154</v>
          </cell>
          <cell r="CC175">
            <v>2</v>
          </cell>
          <cell r="CE175">
            <v>167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 t="str">
            <v/>
          </cell>
        </row>
        <row r="176">
          <cell r="C176">
            <v>2</v>
          </cell>
          <cell r="CA176" t="str">
            <v>1552</v>
          </cell>
          <cell r="CB176">
            <v>155</v>
          </cell>
          <cell r="CC176">
            <v>2</v>
          </cell>
          <cell r="CE176">
            <v>168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 t="str">
            <v/>
          </cell>
        </row>
        <row r="177">
          <cell r="C177">
            <v>2</v>
          </cell>
          <cell r="CA177" t="str">
            <v>1562</v>
          </cell>
          <cell r="CB177">
            <v>156</v>
          </cell>
          <cell r="CC177">
            <v>2</v>
          </cell>
          <cell r="CE177">
            <v>169</v>
          </cell>
          <cell r="CF177">
            <v>0</v>
          </cell>
          <cell r="CG177">
            <v>0</v>
          </cell>
          <cell r="CH177">
            <v>0</v>
          </cell>
          <cell r="CI177">
            <v>0</v>
          </cell>
          <cell r="CJ177" t="str">
            <v/>
          </cell>
        </row>
        <row r="178">
          <cell r="C178">
            <v>2</v>
          </cell>
          <cell r="CA178" t="str">
            <v>1572</v>
          </cell>
          <cell r="CB178">
            <v>157</v>
          </cell>
          <cell r="CC178">
            <v>2</v>
          </cell>
          <cell r="CE178">
            <v>170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 t="str">
            <v/>
          </cell>
        </row>
        <row r="179">
          <cell r="C179">
            <v>2</v>
          </cell>
          <cell r="CA179" t="str">
            <v>1582</v>
          </cell>
          <cell r="CB179">
            <v>158</v>
          </cell>
          <cell r="CC179">
            <v>2</v>
          </cell>
          <cell r="CE179">
            <v>171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 t="str">
            <v/>
          </cell>
        </row>
        <row r="180">
          <cell r="C180">
            <v>2</v>
          </cell>
          <cell r="CA180" t="str">
            <v>1592</v>
          </cell>
          <cell r="CB180">
            <v>159</v>
          </cell>
          <cell r="CC180">
            <v>2</v>
          </cell>
          <cell r="CE180">
            <v>172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 t="str">
            <v/>
          </cell>
        </row>
        <row r="181">
          <cell r="C181">
            <v>2</v>
          </cell>
          <cell r="CA181" t="str">
            <v>1602</v>
          </cell>
          <cell r="CB181">
            <v>160</v>
          </cell>
          <cell r="CC181">
            <v>2</v>
          </cell>
          <cell r="CE181">
            <v>173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 t="str">
            <v/>
          </cell>
        </row>
        <row r="182">
          <cell r="C182">
            <v>2</v>
          </cell>
          <cell r="CA182" t="str">
            <v>1612</v>
          </cell>
          <cell r="CB182">
            <v>161</v>
          </cell>
          <cell r="CC182">
            <v>2</v>
          </cell>
          <cell r="CE182">
            <v>174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 t="str">
            <v/>
          </cell>
        </row>
        <row r="183">
          <cell r="C183">
            <v>2</v>
          </cell>
          <cell r="CA183" t="str">
            <v>1622</v>
          </cell>
          <cell r="CB183">
            <v>162</v>
          </cell>
          <cell r="CC183">
            <v>2</v>
          </cell>
          <cell r="CE183">
            <v>175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 t="str">
            <v/>
          </cell>
        </row>
        <row r="184">
          <cell r="C184">
            <v>2</v>
          </cell>
          <cell r="CA184" t="str">
            <v>1632</v>
          </cell>
          <cell r="CB184">
            <v>163</v>
          </cell>
          <cell r="CC184">
            <v>2</v>
          </cell>
          <cell r="CE184">
            <v>176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 t="str">
            <v/>
          </cell>
        </row>
        <row r="185">
          <cell r="C185">
            <v>2</v>
          </cell>
          <cell r="CA185" t="str">
            <v>1642</v>
          </cell>
          <cell r="CB185">
            <v>164</v>
          </cell>
          <cell r="CC185">
            <v>2</v>
          </cell>
          <cell r="CE185">
            <v>177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 t="str">
            <v/>
          </cell>
        </row>
        <row r="186">
          <cell r="C186">
            <v>2</v>
          </cell>
          <cell r="CA186" t="str">
            <v>1652</v>
          </cell>
          <cell r="CB186">
            <v>165</v>
          </cell>
          <cell r="CC186">
            <v>2</v>
          </cell>
          <cell r="CE186">
            <v>178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 t="str">
            <v/>
          </cell>
        </row>
        <row r="187">
          <cell r="C187">
            <v>2</v>
          </cell>
          <cell r="CA187" t="str">
            <v>1662</v>
          </cell>
          <cell r="CB187">
            <v>166</v>
          </cell>
          <cell r="CC187">
            <v>2</v>
          </cell>
          <cell r="CE187">
            <v>179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 t="str">
            <v/>
          </cell>
        </row>
        <row r="188">
          <cell r="C188">
            <v>2</v>
          </cell>
          <cell r="CA188" t="str">
            <v>1672</v>
          </cell>
          <cell r="CB188">
            <v>167</v>
          </cell>
          <cell r="CC188">
            <v>2</v>
          </cell>
          <cell r="CE188">
            <v>180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 t="str">
            <v/>
          </cell>
        </row>
        <row r="189">
          <cell r="C189">
            <v>2</v>
          </cell>
          <cell r="CA189" t="str">
            <v>1682</v>
          </cell>
          <cell r="CB189">
            <v>168</v>
          </cell>
          <cell r="CC189">
            <v>2</v>
          </cell>
          <cell r="CE189">
            <v>181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 t="str">
            <v/>
          </cell>
        </row>
        <row r="190">
          <cell r="C190">
            <v>2</v>
          </cell>
          <cell r="CA190" t="str">
            <v>1692</v>
          </cell>
          <cell r="CB190">
            <v>169</v>
          </cell>
          <cell r="CC190">
            <v>2</v>
          </cell>
          <cell r="CE190">
            <v>182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 t="str">
            <v/>
          </cell>
        </row>
        <row r="191">
          <cell r="C191">
            <v>2</v>
          </cell>
          <cell r="CA191" t="str">
            <v>1702</v>
          </cell>
          <cell r="CB191">
            <v>170</v>
          </cell>
          <cell r="CC191">
            <v>2</v>
          </cell>
          <cell r="CE191">
            <v>183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 t="str">
            <v/>
          </cell>
        </row>
        <row r="192">
          <cell r="C192">
            <v>2</v>
          </cell>
          <cell r="CA192" t="str">
            <v>1712</v>
          </cell>
          <cell r="CB192">
            <v>171</v>
          </cell>
          <cell r="CC192">
            <v>2</v>
          </cell>
          <cell r="CE192">
            <v>184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 t="str">
            <v/>
          </cell>
        </row>
        <row r="193">
          <cell r="C193">
            <v>2</v>
          </cell>
          <cell r="CA193" t="str">
            <v>1722</v>
          </cell>
          <cell r="CB193">
            <v>172</v>
          </cell>
          <cell r="CC193">
            <v>2</v>
          </cell>
          <cell r="CE193">
            <v>185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 t="str">
            <v/>
          </cell>
        </row>
        <row r="194">
          <cell r="C194">
            <v>2</v>
          </cell>
          <cell r="CA194" t="str">
            <v>1732</v>
          </cell>
          <cell r="CB194">
            <v>173</v>
          </cell>
          <cell r="CC194">
            <v>2</v>
          </cell>
          <cell r="CE194">
            <v>186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 t="str">
            <v/>
          </cell>
        </row>
        <row r="195">
          <cell r="C195">
            <v>2</v>
          </cell>
          <cell r="CA195" t="str">
            <v>1742</v>
          </cell>
          <cell r="CB195">
            <v>174</v>
          </cell>
          <cell r="CC195">
            <v>2</v>
          </cell>
          <cell r="CE195">
            <v>187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 t="str">
            <v/>
          </cell>
        </row>
        <row r="196">
          <cell r="C196">
            <v>2</v>
          </cell>
          <cell r="CA196" t="str">
            <v>1752</v>
          </cell>
          <cell r="CB196">
            <v>175</v>
          </cell>
          <cell r="CC196">
            <v>2</v>
          </cell>
          <cell r="CE196">
            <v>188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 t="str">
            <v/>
          </cell>
        </row>
        <row r="197">
          <cell r="C197">
            <v>2</v>
          </cell>
          <cell r="CA197" t="str">
            <v>1762</v>
          </cell>
          <cell r="CB197">
            <v>176</v>
          </cell>
          <cell r="CC197">
            <v>2</v>
          </cell>
          <cell r="CE197">
            <v>189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 t="str">
            <v/>
          </cell>
        </row>
        <row r="198">
          <cell r="C198">
            <v>2</v>
          </cell>
          <cell r="CA198" t="str">
            <v>1772</v>
          </cell>
          <cell r="CB198">
            <v>177</v>
          </cell>
          <cell r="CC198">
            <v>2</v>
          </cell>
          <cell r="CE198">
            <v>190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 t="str">
            <v/>
          </cell>
        </row>
        <row r="199">
          <cell r="C199">
            <v>2</v>
          </cell>
          <cell r="CA199" t="str">
            <v>1782</v>
          </cell>
          <cell r="CB199">
            <v>178</v>
          </cell>
          <cell r="CC199">
            <v>2</v>
          </cell>
          <cell r="CE199">
            <v>191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 t="str">
            <v/>
          </cell>
        </row>
        <row r="200">
          <cell r="C200">
            <v>2</v>
          </cell>
          <cell r="CA200" t="str">
            <v>1792</v>
          </cell>
          <cell r="CB200">
            <v>179</v>
          </cell>
          <cell r="CC200">
            <v>2</v>
          </cell>
          <cell r="CE200">
            <v>192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 t="str">
            <v/>
          </cell>
        </row>
        <row r="201">
          <cell r="C201">
            <v>2</v>
          </cell>
          <cell r="CA201" t="str">
            <v>1802</v>
          </cell>
          <cell r="CB201">
            <v>180</v>
          </cell>
          <cell r="CC201">
            <v>2</v>
          </cell>
          <cell r="CE201">
            <v>193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 t="str">
            <v/>
          </cell>
        </row>
        <row r="202">
          <cell r="C202">
            <v>2</v>
          </cell>
          <cell r="CA202" t="str">
            <v>1812</v>
          </cell>
          <cell r="CB202">
            <v>181</v>
          </cell>
          <cell r="CC202">
            <v>2</v>
          </cell>
          <cell r="CE202">
            <v>194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 t="str">
            <v/>
          </cell>
        </row>
        <row r="203">
          <cell r="C203">
            <v>2</v>
          </cell>
          <cell r="CA203" t="str">
            <v>1822</v>
          </cell>
          <cell r="CB203">
            <v>182</v>
          </cell>
          <cell r="CC203">
            <v>2</v>
          </cell>
          <cell r="CE203">
            <v>195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 t="str">
            <v/>
          </cell>
        </row>
        <row r="204">
          <cell r="C204">
            <v>2</v>
          </cell>
          <cell r="CA204" t="str">
            <v>1832</v>
          </cell>
          <cell r="CB204">
            <v>183</v>
          </cell>
          <cell r="CC204">
            <v>2</v>
          </cell>
          <cell r="CE204">
            <v>196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 t="str">
            <v/>
          </cell>
        </row>
        <row r="205">
          <cell r="C205">
            <v>2</v>
          </cell>
          <cell r="CA205" t="str">
            <v>1842</v>
          </cell>
          <cell r="CB205">
            <v>184</v>
          </cell>
          <cell r="CC205">
            <v>2</v>
          </cell>
          <cell r="CE205">
            <v>197</v>
          </cell>
          <cell r="CF205">
            <v>0</v>
          </cell>
          <cell r="CG205">
            <v>0</v>
          </cell>
          <cell r="CH205">
            <v>0</v>
          </cell>
          <cell r="CI205">
            <v>0</v>
          </cell>
          <cell r="CJ205" t="str">
            <v/>
          </cell>
        </row>
        <row r="206">
          <cell r="C206">
            <v>2</v>
          </cell>
          <cell r="CA206" t="str">
            <v>1852</v>
          </cell>
          <cell r="CB206">
            <v>185</v>
          </cell>
          <cell r="CC206">
            <v>2</v>
          </cell>
          <cell r="CE206">
            <v>198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 t="str">
            <v/>
          </cell>
        </row>
        <row r="207">
          <cell r="C207">
            <v>2</v>
          </cell>
          <cell r="CA207" t="str">
            <v>1862</v>
          </cell>
          <cell r="CB207">
            <v>186</v>
          </cell>
          <cell r="CC207">
            <v>2</v>
          </cell>
          <cell r="CE207">
            <v>199</v>
          </cell>
          <cell r="CF207">
            <v>0</v>
          </cell>
          <cell r="CG207">
            <v>0</v>
          </cell>
          <cell r="CH207">
            <v>0</v>
          </cell>
          <cell r="CI207">
            <v>0</v>
          </cell>
          <cell r="CJ207" t="str">
            <v/>
          </cell>
        </row>
        <row r="208">
          <cell r="C208">
            <v>2</v>
          </cell>
          <cell r="CA208" t="str">
            <v>1872</v>
          </cell>
          <cell r="CB208">
            <v>187</v>
          </cell>
          <cell r="CC208">
            <v>2</v>
          </cell>
          <cell r="CE208">
            <v>200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 t="str">
            <v/>
          </cell>
        </row>
        <row r="209">
          <cell r="C209">
            <v>2</v>
          </cell>
          <cell r="CA209" t="str">
            <v>1882</v>
          </cell>
          <cell r="CB209">
            <v>188</v>
          </cell>
          <cell r="CC209">
            <v>2</v>
          </cell>
          <cell r="CE209">
            <v>201</v>
          </cell>
          <cell r="CF209">
            <v>0</v>
          </cell>
          <cell r="CG209">
            <v>0</v>
          </cell>
          <cell r="CH209">
            <v>0</v>
          </cell>
          <cell r="CI209">
            <v>0</v>
          </cell>
          <cell r="CJ209" t="str">
            <v/>
          </cell>
        </row>
        <row r="210">
          <cell r="C210">
            <v>2</v>
          </cell>
          <cell r="CA210" t="str">
            <v>1892</v>
          </cell>
          <cell r="CB210">
            <v>189</v>
          </cell>
          <cell r="CC210">
            <v>2</v>
          </cell>
          <cell r="CE210">
            <v>202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 t="str">
            <v/>
          </cell>
        </row>
        <row r="211">
          <cell r="C211">
            <v>2</v>
          </cell>
          <cell r="CA211" t="str">
            <v>1902</v>
          </cell>
          <cell r="CB211">
            <v>190</v>
          </cell>
          <cell r="CC211">
            <v>2</v>
          </cell>
          <cell r="CE211">
            <v>203</v>
          </cell>
          <cell r="CF211">
            <v>0</v>
          </cell>
          <cell r="CG211">
            <v>0</v>
          </cell>
          <cell r="CH211">
            <v>0</v>
          </cell>
          <cell r="CI211">
            <v>0</v>
          </cell>
          <cell r="CJ211" t="str">
            <v/>
          </cell>
        </row>
        <row r="212">
          <cell r="C212">
            <v>2</v>
          </cell>
          <cell r="CA212" t="str">
            <v>1912</v>
          </cell>
          <cell r="CB212">
            <v>191</v>
          </cell>
          <cell r="CC212">
            <v>2</v>
          </cell>
          <cell r="CE212">
            <v>204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 t="str">
            <v/>
          </cell>
        </row>
        <row r="213">
          <cell r="C213">
            <v>2</v>
          </cell>
          <cell r="CA213" t="str">
            <v>1922</v>
          </cell>
          <cell r="CB213">
            <v>192</v>
          </cell>
          <cell r="CC213">
            <v>2</v>
          </cell>
          <cell r="CE213">
            <v>205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 t="str">
            <v/>
          </cell>
        </row>
        <row r="214">
          <cell r="C214">
            <v>2</v>
          </cell>
          <cell r="CA214" t="str">
            <v>1932</v>
          </cell>
          <cell r="CB214">
            <v>193</v>
          </cell>
          <cell r="CC214">
            <v>2</v>
          </cell>
          <cell r="CE214">
            <v>206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 t="str">
            <v/>
          </cell>
        </row>
        <row r="215">
          <cell r="C215">
            <v>2</v>
          </cell>
          <cell r="CA215" t="str">
            <v>1942</v>
          </cell>
          <cell r="CB215">
            <v>194</v>
          </cell>
          <cell r="CC215">
            <v>2</v>
          </cell>
          <cell r="CE215">
            <v>207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 t="str">
            <v/>
          </cell>
        </row>
        <row r="216">
          <cell r="C216">
            <v>2</v>
          </cell>
          <cell r="CA216" t="str">
            <v>1952</v>
          </cell>
          <cell r="CB216">
            <v>195</v>
          </cell>
          <cell r="CC216">
            <v>2</v>
          </cell>
          <cell r="CE216">
            <v>208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 t="str">
            <v/>
          </cell>
        </row>
        <row r="217">
          <cell r="C217">
            <v>2</v>
          </cell>
          <cell r="CA217" t="str">
            <v>1962</v>
          </cell>
          <cell r="CB217">
            <v>196</v>
          </cell>
          <cell r="CC217">
            <v>2</v>
          </cell>
          <cell r="CE217">
            <v>209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 t="str">
            <v/>
          </cell>
        </row>
        <row r="218">
          <cell r="C218">
            <v>2</v>
          </cell>
          <cell r="CA218" t="str">
            <v>1972</v>
          </cell>
          <cell r="CB218">
            <v>197</v>
          </cell>
          <cell r="CC218">
            <v>2</v>
          </cell>
          <cell r="CE218">
            <v>210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 t="str">
            <v/>
          </cell>
        </row>
        <row r="219">
          <cell r="C219">
            <v>2</v>
          </cell>
          <cell r="CA219" t="str">
            <v>1982</v>
          </cell>
          <cell r="CB219">
            <v>198</v>
          </cell>
          <cell r="CC219">
            <v>2</v>
          </cell>
          <cell r="CE219">
            <v>211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 t="str">
            <v/>
          </cell>
        </row>
        <row r="220">
          <cell r="C220">
            <v>2</v>
          </cell>
          <cell r="CA220" t="str">
            <v>1992</v>
          </cell>
          <cell r="CB220">
            <v>199</v>
          </cell>
          <cell r="CC220">
            <v>2</v>
          </cell>
          <cell r="CE220">
            <v>212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 t="str">
            <v/>
          </cell>
        </row>
        <row r="221">
          <cell r="C221">
            <v>2</v>
          </cell>
          <cell r="CA221" t="str">
            <v>2002</v>
          </cell>
          <cell r="CB221">
            <v>200</v>
          </cell>
          <cell r="CC221">
            <v>2</v>
          </cell>
          <cell r="CE221">
            <v>213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 t="str">
            <v/>
          </cell>
        </row>
        <row r="222">
          <cell r="C222">
            <v>2</v>
          </cell>
          <cell r="CA222" t="str">
            <v>2012</v>
          </cell>
          <cell r="CB222">
            <v>201</v>
          </cell>
          <cell r="CC222">
            <v>2</v>
          </cell>
          <cell r="CE222">
            <v>214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 t="str">
            <v/>
          </cell>
        </row>
        <row r="223">
          <cell r="C223">
            <v>2</v>
          </cell>
          <cell r="CA223" t="str">
            <v>2022</v>
          </cell>
          <cell r="CB223">
            <v>202</v>
          </cell>
          <cell r="CC223">
            <v>2</v>
          </cell>
          <cell r="CE223">
            <v>215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 t="str">
            <v/>
          </cell>
        </row>
        <row r="224">
          <cell r="C224">
            <v>2</v>
          </cell>
          <cell r="CA224" t="str">
            <v>2032</v>
          </cell>
          <cell r="CB224">
            <v>203</v>
          </cell>
          <cell r="CC224">
            <v>2</v>
          </cell>
          <cell r="CE224">
            <v>216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 t="str">
            <v/>
          </cell>
        </row>
        <row r="225">
          <cell r="C225">
            <v>2</v>
          </cell>
          <cell r="CA225" t="str">
            <v>2042</v>
          </cell>
          <cell r="CB225">
            <v>204</v>
          </cell>
          <cell r="CC225">
            <v>2</v>
          </cell>
          <cell r="CE225">
            <v>217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 t="str">
            <v/>
          </cell>
        </row>
        <row r="226">
          <cell r="C226">
            <v>2</v>
          </cell>
          <cell r="CA226" t="str">
            <v>2052</v>
          </cell>
          <cell r="CB226">
            <v>205</v>
          </cell>
          <cell r="CC226">
            <v>2</v>
          </cell>
          <cell r="CE226">
            <v>218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 t="str">
            <v/>
          </cell>
        </row>
        <row r="227">
          <cell r="C227">
            <v>2</v>
          </cell>
          <cell r="CA227" t="str">
            <v>2062</v>
          </cell>
          <cell r="CB227">
            <v>206</v>
          </cell>
          <cell r="CC227">
            <v>2</v>
          </cell>
          <cell r="CE227">
            <v>219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 t="str">
            <v/>
          </cell>
        </row>
        <row r="228">
          <cell r="C228">
            <v>2</v>
          </cell>
          <cell r="CA228" t="str">
            <v>2072</v>
          </cell>
          <cell r="CB228">
            <v>207</v>
          </cell>
          <cell r="CC228">
            <v>2</v>
          </cell>
          <cell r="CE228">
            <v>220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 t="str">
            <v/>
          </cell>
        </row>
        <row r="229">
          <cell r="C229">
            <v>2</v>
          </cell>
          <cell r="CA229" t="str">
            <v>2082</v>
          </cell>
          <cell r="CB229">
            <v>208</v>
          </cell>
          <cell r="CC229">
            <v>2</v>
          </cell>
          <cell r="CE229">
            <v>221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 t="str">
            <v/>
          </cell>
        </row>
        <row r="230">
          <cell r="C230">
            <v>2</v>
          </cell>
          <cell r="CA230" t="str">
            <v>2092</v>
          </cell>
          <cell r="CB230">
            <v>209</v>
          </cell>
          <cell r="CC230">
            <v>2</v>
          </cell>
          <cell r="CE230">
            <v>222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 t="str">
            <v/>
          </cell>
        </row>
        <row r="231">
          <cell r="C231">
            <v>2</v>
          </cell>
          <cell r="CA231" t="str">
            <v>2102</v>
          </cell>
          <cell r="CB231">
            <v>210</v>
          </cell>
          <cell r="CC231">
            <v>2</v>
          </cell>
          <cell r="CE231">
            <v>223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 t="str">
            <v/>
          </cell>
        </row>
        <row r="232">
          <cell r="C232">
            <v>2</v>
          </cell>
          <cell r="CA232" t="str">
            <v>2112</v>
          </cell>
          <cell r="CB232">
            <v>211</v>
          </cell>
          <cell r="CC232">
            <v>2</v>
          </cell>
          <cell r="CE232">
            <v>224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 t="str">
            <v/>
          </cell>
        </row>
        <row r="233">
          <cell r="C233">
            <v>2</v>
          </cell>
          <cell r="CA233" t="str">
            <v>2122</v>
          </cell>
          <cell r="CB233">
            <v>212</v>
          </cell>
          <cell r="CC233">
            <v>2</v>
          </cell>
          <cell r="CE233">
            <v>225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 t="str">
            <v/>
          </cell>
        </row>
        <row r="234">
          <cell r="C234">
            <v>2</v>
          </cell>
          <cell r="CA234" t="str">
            <v>2132</v>
          </cell>
          <cell r="CB234">
            <v>213</v>
          </cell>
          <cell r="CC234">
            <v>2</v>
          </cell>
          <cell r="CE234">
            <v>226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 t="str">
            <v/>
          </cell>
        </row>
        <row r="235">
          <cell r="C235">
            <v>2</v>
          </cell>
          <cell r="CA235" t="str">
            <v>2142</v>
          </cell>
          <cell r="CB235">
            <v>214</v>
          </cell>
          <cell r="CC235">
            <v>2</v>
          </cell>
          <cell r="CE235">
            <v>227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 t="str">
            <v/>
          </cell>
        </row>
        <row r="236">
          <cell r="C236">
            <v>2</v>
          </cell>
          <cell r="CA236" t="str">
            <v>2152</v>
          </cell>
          <cell r="CB236">
            <v>215</v>
          </cell>
          <cell r="CC236">
            <v>2</v>
          </cell>
          <cell r="CE236">
            <v>228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 t="str">
            <v/>
          </cell>
        </row>
        <row r="237">
          <cell r="C237">
            <v>2</v>
          </cell>
          <cell r="CA237" t="str">
            <v>2162</v>
          </cell>
          <cell r="CB237">
            <v>216</v>
          </cell>
          <cell r="CC237">
            <v>2</v>
          </cell>
          <cell r="CE237">
            <v>229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 t="str">
            <v/>
          </cell>
        </row>
        <row r="238">
          <cell r="C238">
            <v>2</v>
          </cell>
          <cell r="CA238" t="str">
            <v>2172</v>
          </cell>
          <cell r="CB238">
            <v>217</v>
          </cell>
          <cell r="CC238">
            <v>2</v>
          </cell>
          <cell r="CE238">
            <v>230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 t="str">
            <v/>
          </cell>
        </row>
        <row r="239">
          <cell r="C239">
            <v>2</v>
          </cell>
          <cell r="CA239" t="str">
            <v>2182</v>
          </cell>
          <cell r="CB239">
            <v>218</v>
          </cell>
          <cell r="CC239">
            <v>2</v>
          </cell>
          <cell r="CE239">
            <v>231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 t="str">
            <v/>
          </cell>
        </row>
        <row r="240">
          <cell r="C240">
            <v>2</v>
          </cell>
          <cell r="CA240" t="str">
            <v>2192</v>
          </cell>
          <cell r="CB240">
            <v>219</v>
          </cell>
          <cell r="CC240">
            <v>2</v>
          </cell>
          <cell r="CE240">
            <v>232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 t="str">
            <v/>
          </cell>
        </row>
        <row r="241">
          <cell r="C241">
            <v>2</v>
          </cell>
          <cell r="CA241" t="str">
            <v>2202</v>
          </cell>
          <cell r="CB241">
            <v>220</v>
          </cell>
          <cell r="CC241">
            <v>2</v>
          </cell>
          <cell r="CE241">
            <v>233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 t="str">
            <v/>
          </cell>
        </row>
        <row r="242">
          <cell r="C242">
            <v>2</v>
          </cell>
          <cell r="CA242" t="str">
            <v>2212</v>
          </cell>
          <cell r="CB242">
            <v>221</v>
          </cell>
          <cell r="CC242">
            <v>2</v>
          </cell>
          <cell r="CE242">
            <v>234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 t="str">
            <v/>
          </cell>
        </row>
        <row r="243">
          <cell r="C243">
            <v>2</v>
          </cell>
          <cell r="CA243" t="str">
            <v>2222</v>
          </cell>
          <cell r="CB243">
            <v>222</v>
          </cell>
          <cell r="CC243">
            <v>2</v>
          </cell>
          <cell r="CE243">
            <v>235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 t="str">
            <v/>
          </cell>
        </row>
        <row r="244">
          <cell r="C244">
            <v>2</v>
          </cell>
          <cell r="CA244" t="str">
            <v>2232</v>
          </cell>
          <cell r="CB244">
            <v>223</v>
          </cell>
          <cell r="CC244">
            <v>2</v>
          </cell>
          <cell r="CE244">
            <v>236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 t="str">
            <v/>
          </cell>
        </row>
        <row r="245">
          <cell r="C245">
            <v>2</v>
          </cell>
          <cell r="CA245" t="str">
            <v>2242</v>
          </cell>
          <cell r="CB245">
            <v>224</v>
          </cell>
          <cell r="CC245">
            <v>2</v>
          </cell>
          <cell r="CE245">
            <v>237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 t="str">
            <v/>
          </cell>
        </row>
        <row r="246">
          <cell r="C246">
            <v>2</v>
          </cell>
          <cell r="CA246" t="str">
            <v>2252</v>
          </cell>
          <cell r="CB246">
            <v>225</v>
          </cell>
          <cell r="CC246">
            <v>2</v>
          </cell>
          <cell r="CE246">
            <v>238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 t="str">
            <v/>
          </cell>
        </row>
        <row r="247">
          <cell r="C247">
            <v>2</v>
          </cell>
          <cell r="CA247" t="str">
            <v>2262</v>
          </cell>
          <cell r="CB247">
            <v>226</v>
          </cell>
          <cell r="CC247">
            <v>2</v>
          </cell>
          <cell r="CE247">
            <v>239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 t="str">
            <v/>
          </cell>
        </row>
        <row r="248">
          <cell r="C248">
            <v>2</v>
          </cell>
          <cell r="CA248" t="str">
            <v>2272</v>
          </cell>
          <cell r="CB248">
            <v>227</v>
          </cell>
          <cell r="CC248">
            <v>2</v>
          </cell>
          <cell r="CE248">
            <v>240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 t="str">
            <v/>
          </cell>
        </row>
        <row r="249">
          <cell r="C249">
            <v>2</v>
          </cell>
          <cell r="CA249" t="str">
            <v>2282</v>
          </cell>
          <cell r="CB249">
            <v>228</v>
          </cell>
          <cell r="CC249">
            <v>2</v>
          </cell>
          <cell r="CE249">
            <v>241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 t="str">
            <v/>
          </cell>
        </row>
        <row r="250">
          <cell r="C250">
            <v>2</v>
          </cell>
          <cell r="CA250" t="str">
            <v>2292</v>
          </cell>
          <cell r="CB250">
            <v>229</v>
          </cell>
          <cell r="CC250">
            <v>2</v>
          </cell>
          <cell r="CE250">
            <v>242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 t="str">
            <v/>
          </cell>
        </row>
        <row r="251">
          <cell r="C251">
            <v>2</v>
          </cell>
          <cell r="CA251" t="str">
            <v>2302</v>
          </cell>
          <cell r="CB251">
            <v>230</v>
          </cell>
          <cell r="CC251">
            <v>2</v>
          </cell>
          <cell r="CE251">
            <v>243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 t="str">
            <v/>
          </cell>
        </row>
        <row r="252">
          <cell r="C252">
            <v>2</v>
          </cell>
          <cell r="CA252" t="str">
            <v>2312</v>
          </cell>
          <cell r="CB252">
            <v>231</v>
          </cell>
          <cell r="CC252">
            <v>2</v>
          </cell>
          <cell r="CE252">
            <v>244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 t="str">
            <v/>
          </cell>
        </row>
        <row r="253">
          <cell r="C253">
            <v>2</v>
          </cell>
          <cell r="CA253" t="str">
            <v>2322</v>
          </cell>
          <cell r="CB253">
            <v>232</v>
          </cell>
          <cell r="CC253">
            <v>2</v>
          </cell>
          <cell r="CE253">
            <v>245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 t="str">
            <v/>
          </cell>
        </row>
        <row r="254">
          <cell r="C254">
            <v>2</v>
          </cell>
          <cell r="CA254" t="str">
            <v>2332</v>
          </cell>
          <cell r="CB254">
            <v>233</v>
          </cell>
          <cell r="CC254">
            <v>2</v>
          </cell>
          <cell r="CE254">
            <v>246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 t="str">
            <v/>
          </cell>
        </row>
        <row r="255">
          <cell r="C255">
            <v>2</v>
          </cell>
          <cell r="CA255" t="str">
            <v>2342</v>
          </cell>
          <cell r="CB255">
            <v>234</v>
          </cell>
          <cell r="CC255">
            <v>2</v>
          </cell>
          <cell r="CE255">
            <v>247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 t="str">
            <v/>
          </cell>
        </row>
        <row r="256">
          <cell r="C256">
            <v>2</v>
          </cell>
          <cell r="CA256" t="str">
            <v>2352</v>
          </cell>
          <cell r="CB256">
            <v>235</v>
          </cell>
          <cell r="CC256">
            <v>2</v>
          </cell>
          <cell r="CE256">
            <v>248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 t="str">
            <v/>
          </cell>
        </row>
        <row r="257">
          <cell r="C257">
            <v>2</v>
          </cell>
          <cell r="CA257" t="str">
            <v>2362</v>
          </cell>
          <cell r="CB257">
            <v>236</v>
          </cell>
          <cell r="CC257">
            <v>2</v>
          </cell>
          <cell r="CE257">
            <v>249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 t="str">
            <v/>
          </cell>
        </row>
        <row r="258">
          <cell r="C258">
            <v>2</v>
          </cell>
          <cell r="CA258" t="str">
            <v>2372</v>
          </cell>
          <cell r="CB258">
            <v>237</v>
          </cell>
          <cell r="CC258">
            <v>2</v>
          </cell>
          <cell r="CE258">
            <v>250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 t="str">
            <v/>
          </cell>
        </row>
        <row r="259">
          <cell r="C259">
            <v>2</v>
          </cell>
          <cell r="CA259" t="str">
            <v>2382</v>
          </cell>
          <cell r="CB259">
            <v>238</v>
          </cell>
          <cell r="CC259">
            <v>2</v>
          </cell>
          <cell r="CE259">
            <v>251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 t="str">
            <v/>
          </cell>
        </row>
        <row r="260">
          <cell r="C260">
            <v>2</v>
          </cell>
          <cell r="CA260" t="str">
            <v>2392</v>
          </cell>
          <cell r="CB260">
            <v>239</v>
          </cell>
          <cell r="CC260">
            <v>2</v>
          </cell>
          <cell r="CE260">
            <v>252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J260" t="str">
            <v/>
          </cell>
        </row>
        <row r="261">
          <cell r="C261">
            <v>2</v>
          </cell>
          <cell r="CA261" t="str">
            <v>2402</v>
          </cell>
          <cell r="CB261">
            <v>240</v>
          </cell>
          <cell r="CC261">
            <v>2</v>
          </cell>
          <cell r="CE261">
            <v>253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 t="str">
            <v/>
          </cell>
        </row>
        <row r="262">
          <cell r="C262">
            <v>2</v>
          </cell>
          <cell r="CA262" t="str">
            <v>2412</v>
          </cell>
          <cell r="CB262">
            <v>241</v>
          </cell>
          <cell r="CC262">
            <v>2</v>
          </cell>
          <cell r="CE262">
            <v>254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 t="str">
            <v/>
          </cell>
        </row>
        <row r="263">
          <cell r="C263">
            <v>2</v>
          </cell>
          <cell r="CA263" t="str">
            <v>2422</v>
          </cell>
          <cell r="CB263">
            <v>242</v>
          </cell>
          <cell r="CC263">
            <v>2</v>
          </cell>
          <cell r="CE263">
            <v>255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 t="str">
            <v/>
          </cell>
        </row>
        <row r="264">
          <cell r="C264">
            <v>2</v>
          </cell>
          <cell r="CA264" t="str">
            <v>2432</v>
          </cell>
          <cell r="CB264">
            <v>243</v>
          </cell>
          <cell r="CC264">
            <v>2</v>
          </cell>
          <cell r="CE264">
            <v>256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 t="str">
            <v/>
          </cell>
        </row>
        <row r="265">
          <cell r="C265">
            <v>2</v>
          </cell>
          <cell r="CA265" t="str">
            <v>2442</v>
          </cell>
          <cell r="CB265">
            <v>244</v>
          </cell>
          <cell r="CC265">
            <v>2</v>
          </cell>
          <cell r="CE265">
            <v>257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 t="str">
            <v/>
          </cell>
        </row>
        <row r="266">
          <cell r="C266">
            <v>2</v>
          </cell>
          <cell r="CA266" t="str">
            <v>2452</v>
          </cell>
          <cell r="CB266">
            <v>245</v>
          </cell>
          <cell r="CC266">
            <v>2</v>
          </cell>
          <cell r="CE266">
            <v>258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 t="str">
            <v/>
          </cell>
        </row>
        <row r="267">
          <cell r="C267">
            <v>2</v>
          </cell>
          <cell r="CA267" t="str">
            <v>2462</v>
          </cell>
          <cell r="CB267">
            <v>246</v>
          </cell>
          <cell r="CC267">
            <v>2</v>
          </cell>
          <cell r="CE267">
            <v>259</v>
          </cell>
          <cell r="CF267">
            <v>0</v>
          </cell>
          <cell r="CG267">
            <v>0</v>
          </cell>
          <cell r="CH267">
            <v>0</v>
          </cell>
          <cell r="CI267">
            <v>0</v>
          </cell>
          <cell r="CJ267" t="str">
            <v/>
          </cell>
        </row>
        <row r="268">
          <cell r="C268">
            <v>2</v>
          </cell>
          <cell r="CA268" t="str">
            <v>2472</v>
          </cell>
          <cell r="CB268">
            <v>247</v>
          </cell>
          <cell r="CC268">
            <v>2</v>
          </cell>
          <cell r="CE268">
            <v>260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 t="str">
            <v/>
          </cell>
        </row>
        <row r="269">
          <cell r="C269">
            <v>2</v>
          </cell>
          <cell r="CA269" t="str">
            <v>2482</v>
          </cell>
          <cell r="CB269">
            <v>248</v>
          </cell>
          <cell r="CC269">
            <v>2</v>
          </cell>
          <cell r="CE269">
            <v>261</v>
          </cell>
          <cell r="CF269">
            <v>0</v>
          </cell>
          <cell r="CG269">
            <v>0</v>
          </cell>
          <cell r="CH269">
            <v>0</v>
          </cell>
          <cell r="CI269">
            <v>0</v>
          </cell>
          <cell r="CJ269" t="str">
            <v/>
          </cell>
        </row>
        <row r="270">
          <cell r="C270">
            <v>2</v>
          </cell>
          <cell r="CA270" t="str">
            <v>2492</v>
          </cell>
          <cell r="CB270">
            <v>249</v>
          </cell>
          <cell r="CC270">
            <v>2</v>
          </cell>
          <cell r="CE270">
            <v>262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 t="str">
            <v/>
          </cell>
        </row>
        <row r="271">
          <cell r="C271">
            <v>2</v>
          </cell>
          <cell r="CA271" t="str">
            <v>2502</v>
          </cell>
          <cell r="CB271">
            <v>250</v>
          </cell>
          <cell r="CC271">
            <v>2</v>
          </cell>
          <cell r="CE271">
            <v>263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 t="str">
            <v/>
          </cell>
        </row>
        <row r="272">
          <cell r="C272">
            <v>2</v>
          </cell>
          <cell r="CA272" t="str">
            <v>2512</v>
          </cell>
          <cell r="CB272">
            <v>251</v>
          </cell>
          <cell r="CC272">
            <v>2</v>
          </cell>
          <cell r="CE272">
            <v>264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 t="str">
            <v/>
          </cell>
        </row>
        <row r="273">
          <cell r="C273">
            <v>2</v>
          </cell>
          <cell r="CA273" t="str">
            <v>2522</v>
          </cell>
          <cell r="CB273">
            <v>252</v>
          </cell>
          <cell r="CC273">
            <v>2</v>
          </cell>
          <cell r="CE273">
            <v>265</v>
          </cell>
          <cell r="CF273">
            <v>0</v>
          </cell>
          <cell r="CG273">
            <v>0</v>
          </cell>
          <cell r="CH273">
            <v>0</v>
          </cell>
          <cell r="CI273">
            <v>0</v>
          </cell>
          <cell r="CJ273" t="str">
            <v/>
          </cell>
        </row>
        <row r="274">
          <cell r="C274">
            <v>2</v>
          </cell>
          <cell r="CA274" t="str">
            <v>2532</v>
          </cell>
          <cell r="CB274">
            <v>253</v>
          </cell>
          <cell r="CC274">
            <v>2</v>
          </cell>
          <cell r="CE274">
            <v>266</v>
          </cell>
          <cell r="CF274">
            <v>0</v>
          </cell>
          <cell r="CG274">
            <v>0</v>
          </cell>
          <cell r="CH274">
            <v>0</v>
          </cell>
          <cell r="CI274">
            <v>0</v>
          </cell>
          <cell r="CJ274" t="str">
            <v/>
          </cell>
        </row>
        <row r="275">
          <cell r="C275">
            <v>2</v>
          </cell>
          <cell r="CA275" t="str">
            <v>2542</v>
          </cell>
          <cell r="CB275">
            <v>254</v>
          </cell>
          <cell r="CC275">
            <v>2</v>
          </cell>
          <cell r="CE275">
            <v>267</v>
          </cell>
          <cell r="CF275">
            <v>0</v>
          </cell>
          <cell r="CG275">
            <v>0</v>
          </cell>
          <cell r="CH275">
            <v>0</v>
          </cell>
          <cell r="CI275">
            <v>0</v>
          </cell>
          <cell r="CJ275" t="str">
            <v/>
          </cell>
        </row>
        <row r="276">
          <cell r="C276">
            <v>2</v>
          </cell>
          <cell r="CA276" t="str">
            <v>2552</v>
          </cell>
          <cell r="CB276">
            <v>255</v>
          </cell>
          <cell r="CC276">
            <v>2</v>
          </cell>
          <cell r="CE276">
            <v>268</v>
          </cell>
          <cell r="CF276">
            <v>0</v>
          </cell>
          <cell r="CG276">
            <v>0</v>
          </cell>
          <cell r="CH276">
            <v>0</v>
          </cell>
          <cell r="CI276">
            <v>0</v>
          </cell>
          <cell r="CJ276" t="str">
            <v/>
          </cell>
        </row>
        <row r="277">
          <cell r="C277">
            <v>2</v>
          </cell>
          <cell r="CA277" t="str">
            <v>2562</v>
          </cell>
          <cell r="CB277">
            <v>256</v>
          </cell>
          <cell r="CC277">
            <v>2</v>
          </cell>
          <cell r="CE277">
            <v>269</v>
          </cell>
          <cell r="CF277">
            <v>0</v>
          </cell>
          <cell r="CG277">
            <v>0</v>
          </cell>
          <cell r="CH277">
            <v>0</v>
          </cell>
          <cell r="CI277">
            <v>0</v>
          </cell>
          <cell r="CJ277" t="str">
            <v/>
          </cell>
        </row>
        <row r="278">
          <cell r="C278">
            <v>2</v>
          </cell>
          <cell r="CA278" t="str">
            <v>2572</v>
          </cell>
          <cell r="CB278">
            <v>257</v>
          </cell>
          <cell r="CC278">
            <v>2</v>
          </cell>
          <cell r="CE278">
            <v>270</v>
          </cell>
          <cell r="CF278">
            <v>0</v>
          </cell>
          <cell r="CG278">
            <v>0</v>
          </cell>
          <cell r="CH278">
            <v>0</v>
          </cell>
          <cell r="CI278">
            <v>0</v>
          </cell>
          <cell r="CJ278" t="str">
            <v/>
          </cell>
        </row>
        <row r="279">
          <cell r="C279">
            <v>2</v>
          </cell>
          <cell r="CA279" t="str">
            <v>2582</v>
          </cell>
          <cell r="CB279">
            <v>258</v>
          </cell>
          <cell r="CC279">
            <v>2</v>
          </cell>
          <cell r="CE279">
            <v>271</v>
          </cell>
          <cell r="CF279">
            <v>0</v>
          </cell>
          <cell r="CG279">
            <v>0</v>
          </cell>
          <cell r="CH279">
            <v>0</v>
          </cell>
          <cell r="CI279">
            <v>0</v>
          </cell>
          <cell r="CJ279" t="str">
            <v/>
          </cell>
        </row>
        <row r="280">
          <cell r="C280">
            <v>2</v>
          </cell>
          <cell r="CA280" t="str">
            <v>2592</v>
          </cell>
          <cell r="CB280">
            <v>259</v>
          </cell>
          <cell r="CC280">
            <v>2</v>
          </cell>
          <cell r="CE280">
            <v>272</v>
          </cell>
          <cell r="CF280">
            <v>0</v>
          </cell>
          <cell r="CG280">
            <v>0</v>
          </cell>
          <cell r="CH280">
            <v>0</v>
          </cell>
          <cell r="CI280">
            <v>0</v>
          </cell>
          <cell r="CJ280" t="str">
            <v/>
          </cell>
        </row>
        <row r="281">
          <cell r="C281">
            <v>2</v>
          </cell>
          <cell r="CA281" t="str">
            <v>2602</v>
          </cell>
          <cell r="CB281">
            <v>260</v>
          </cell>
          <cell r="CC281">
            <v>2</v>
          </cell>
          <cell r="CE281">
            <v>273</v>
          </cell>
          <cell r="CF281">
            <v>0</v>
          </cell>
          <cell r="CG281">
            <v>0</v>
          </cell>
          <cell r="CH281">
            <v>0</v>
          </cell>
          <cell r="CI281">
            <v>0</v>
          </cell>
          <cell r="CJ281" t="str">
            <v/>
          </cell>
        </row>
        <row r="282">
          <cell r="C282">
            <v>2</v>
          </cell>
          <cell r="CA282" t="str">
            <v>2612</v>
          </cell>
          <cell r="CB282">
            <v>261</v>
          </cell>
          <cell r="CC282">
            <v>2</v>
          </cell>
          <cell r="CE282">
            <v>274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 t="str">
            <v/>
          </cell>
        </row>
        <row r="283">
          <cell r="C283">
            <v>2</v>
          </cell>
          <cell r="CA283" t="str">
            <v>2622</v>
          </cell>
          <cell r="CB283">
            <v>262</v>
          </cell>
          <cell r="CC283">
            <v>2</v>
          </cell>
          <cell r="CE283">
            <v>275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 t="str">
            <v/>
          </cell>
        </row>
        <row r="284">
          <cell r="C284">
            <v>2</v>
          </cell>
          <cell r="CA284" t="str">
            <v>2632</v>
          </cell>
          <cell r="CB284">
            <v>263</v>
          </cell>
          <cell r="CC284">
            <v>2</v>
          </cell>
          <cell r="CE284">
            <v>276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 t="str">
            <v/>
          </cell>
        </row>
        <row r="285">
          <cell r="C285">
            <v>2</v>
          </cell>
          <cell r="CA285" t="str">
            <v>2642</v>
          </cell>
          <cell r="CB285">
            <v>264</v>
          </cell>
          <cell r="CC285">
            <v>2</v>
          </cell>
          <cell r="CE285">
            <v>277</v>
          </cell>
          <cell r="CF285">
            <v>0</v>
          </cell>
          <cell r="CG285">
            <v>0</v>
          </cell>
          <cell r="CH285">
            <v>0</v>
          </cell>
          <cell r="CI285">
            <v>0</v>
          </cell>
          <cell r="CJ285" t="str">
            <v/>
          </cell>
        </row>
        <row r="286">
          <cell r="C286">
            <v>2</v>
          </cell>
          <cell r="CA286" t="str">
            <v>2652</v>
          </cell>
          <cell r="CB286">
            <v>265</v>
          </cell>
          <cell r="CC286">
            <v>2</v>
          </cell>
          <cell r="CE286">
            <v>278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 t="str">
            <v/>
          </cell>
        </row>
        <row r="287">
          <cell r="C287">
            <v>2</v>
          </cell>
          <cell r="CA287" t="str">
            <v>2662</v>
          </cell>
          <cell r="CB287">
            <v>266</v>
          </cell>
          <cell r="CC287">
            <v>2</v>
          </cell>
          <cell r="CE287">
            <v>279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 t="str">
            <v/>
          </cell>
        </row>
        <row r="288">
          <cell r="C288">
            <v>2</v>
          </cell>
          <cell r="CA288" t="str">
            <v>2672</v>
          </cell>
          <cell r="CB288">
            <v>267</v>
          </cell>
          <cell r="CC288">
            <v>2</v>
          </cell>
          <cell r="CE288">
            <v>280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 t="str">
            <v/>
          </cell>
        </row>
        <row r="289">
          <cell r="C289">
            <v>2</v>
          </cell>
          <cell r="CA289" t="str">
            <v>2682</v>
          </cell>
          <cell r="CB289">
            <v>268</v>
          </cell>
          <cell r="CC289">
            <v>2</v>
          </cell>
          <cell r="CE289">
            <v>281</v>
          </cell>
          <cell r="CF289">
            <v>0</v>
          </cell>
          <cell r="CG289">
            <v>0</v>
          </cell>
          <cell r="CH289">
            <v>0</v>
          </cell>
          <cell r="CI289">
            <v>0</v>
          </cell>
          <cell r="CJ289" t="str">
            <v/>
          </cell>
        </row>
        <row r="290">
          <cell r="C290">
            <v>2</v>
          </cell>
          <cell r="CA290" t="str">
            <v>2692</v>
          </cell>
          <cell r="CB290">
            <v>269</v>
          </cell>
          <cell r="CC290">
            <v>2</v>
          </cell>
          <cell r="CE290">
            <v>282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 t="str">
            <v/>
          </cell>
        </row>
        <row r="291">
          <cell r="C291">
            <v>2</v>
          </cell>
          <cell r="CA291" t="str">
            <v>2702</v>
          </cell>
          <cell r="CB291">
            <v>270</v>
          </cell>
          <cell r="CC291">
            <v>2</v>
          </cell>
          <cell r="CE291">
            <v>283</v>
          </cell>
          <cell r="CF291">
            <v>0</v>
          </cell>
          <cell r="CG291">
            <v>0</v>
          </cell>
          <cell r="CH291">
            <v>0</v>
          </cell>
          <cell r="CI291">
            <v>0</v>
          </cell>
          <cell r="CJ291" t="str">
            <v/>
          </cell>
        </row>
        <row r="292">
          <cell r="C292">
            <v>2</v>
          </cell>
          <cell r="CA292" t="str">
            <v>2712</v>
          </cell>
          <cell r="CB292">
            <v>271</v>
          </cell>
          <cell r="CC292">
            <v>2</v>
          </cell>
          <cell r="CE292">
            <v>284</v>
          </cell>
          <cell r="CF292">
            <v>0</v>
          </cell>
          <cell r="CG292">
            <v>0</v>
          </cell>
          <cell r="CH292">
            <v>0</v>
          </cell>
          <cell r="CI292">
            <v>0</v>
          </cell>
          <cell r="CJ292" t="str">
            <v/>
          </cell>
        </row>
        <row r="293">
          <cell r="C293">
            <v>2</v>
          </cell>
          <cell r="CA293" t="str">
            <v>2722</v>
          </cell>
          <cell r="CB293">
            <v>272</v>
          </cell>
          <cell r="CC293">
            <v>2</v>
          </cell>
          <cell r="CE293">
            <v>285</v>
          </cell>
          <cell r="CF293">
            <v>0</v>
          </cell>
          <cell r="CG293">
            <v>0</v>
          </cell>
          <cell r="CH293">
            <v>0</v>
          </cell>
          <cell r="CI293">
            <v>0</v>
          </cell>
          <cell r="CJ293" t="str">
            <v/>
          </cell>
        </row>
        <row r="294">
          <cell r="C294">
            <v>2</v>
          </cell>
          <cell r="CA294" t="str">
            <v>2732</v>
          </cell>
          <cell r="CB294">
            <v>273</v>
          </cell>
          <cell r="CC294">
            <v>2</v>
          </cell>
          <cell r="CE294">
            <v>286</v>
          </cell>
          <cell r="CF294">
            <v>0</v>
          </cell>
          <cell r="CG294">
            <v>0</v>
          </cell>
          <cell r="CH294">
            <v>0</v>
          </cell>
          <cell r="CI294">
            <v>0</v>
          </cell>
          <cell r="CJ294" t="str">
            <v/>
          </cell>
        </row>
        <row r="295">
          <cell r="C295">
            <v>2</v>
          </cell>
          <cell r="CA295" t="str">
            <v>2742</v>
          </cell>
          <cell r="CB295">
            <v>274</v>
          </cell>
          <cell r="CC295">
            <v>2</v>
          </cell>
          <cell r="CE295">
            <v>287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 t="str">
            <v/>
          </cell>
        </row>
        <row r="296">
          <cell r="C296">
            <v>2</v>
          </cell>
          <cell r="CA296" t="str">
            <v>2752</v>
          </cell>
          <cell r="CB296">
            <v>275</v>
          </cell>
          <cell r="CC296">
            <v>2</v>
          </cell>
          <cell r="CE296">
            <v>288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J296" t="str">
            <v/>
          </cell>
        </row>
        <row r="297">
          <cell r="C297">
            <v>2</v>
          </cell>
          <cell r="CA297" t="str">
            <v>2762</v>
          </cell>
          <cell r="CB297">
            <v>276</v>
          </cell>
          <cell r="CC297">
            <v>2</v>
          </cell>
          <cell r="CE297">
            <v>289</v>
          </cell>
          <cell r="CF297">
            <v>0</v>
          </cell>
          <cell r="CG297">
            <v>0</v>
          </cell>
          <cell r="CH297">
            <v>0</v>
          </cell>
          <cell r="CI297">
            <v>0</v>
          </cell>
          <cell r="CJ297" t="str">
            <v/>
          </cell>
        </row>
        <row r="298">
          <cell r="C298">
            <v>2</v>
          </cell>
          <cell r="CA298" t="str">
            <v>2772</v>
          </cell>
          <cell r="CB298">
            <v>277</v>
          </cell>
          <cell r="CC298">
            <v>2</v>
          </cell>
          <cell r="CE298">
            <v>290</v>
          </cell>
          <cell r="CF298">
            <v>0</v>
          </cell>
          <cell r="CG298">
            <v>0</v>
          </cell>
          <cell r="CH298">
            <v>0</v>
          </cell>
          <cell r="CI298">
            <v>0</v>
          </cell>
          <cell r="CJ298" t="str">
            <v/>
          </cell>
        </row>
        <row r="299">
          <cell r="C299">
            <v>2</v>
          </cell>
          <cell r="CA299" t="str">
            <v>2782</v>
          </cell>
          <cell r="CB299">
            <v>278</v>
          </cell>
          <cell r="CC299">
            <v>2</v>
          </cell>
          <cell r="CE299">
            <v>291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 t="str">
            <v/>
          </cell>
        </row>
        <row r="300">
          <cell r="C300">
            <v>2</v>
          </cell>
          <cell r="CA300" t="str">
            <v>2792</v>
          </cell>
          <cell r="CB300">
            <v>279</v>
          </cell>
          <cell r="CC300">
            <v>2</v>
          </cell>
          <cell r="CE300">
            <v>292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J300" t="str">
            <v/>
          </cell>
        </row>
        <row r="301">
          <cell r="C301">
            <v>2</v>
          </cell>
          <cell r="CA301" t="str">
            <v>2802</v>
          </cell>
          <cell r="CB301">
            <v>280</v>
          </cell>
          <cell r="CC301">
            <v>2</v>
          </cell>
          <cell r="CE301">
            <v>293</v>
          </cell>
          <cell r="CF301">
            <v>0</v>
          </cell>
          <cell r="CG301">
            <v>0</v>
          </cell>
          <cell r="CH301">
            <v>0</v>
          </cell>
          <cell r="CI301">
            <v>0</v>
          </cell>
          <cell r="CJ301" t="str">
            <v/>
          </cell>
        </row>
        <row r="302">
          <cell r="C302">
            <v>2</v>
          </cell>
          <cell r="CA302" t="str">
            <v>2812</v>
          </cell>
          <cell r="CB302">
            <v>281</v>
          </cell>
          <cell r="CC302">
            <v>2</v>
          </cell>
          <cell r="CE302">
            <v>294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 t="str">
            <v/>
          </cell>
        </row>
        <row r="303">
          <cell r="C303">
            <v>2</v>
          </cell>
          <cell r="CA303" t="str">
            <v>2822</v>
          </cell>
          <cell r="CB303">
            <v>282</v>
          </cell>
          <cell r="CC303">
            <v>2</v>
          </cell>
          <cell r="CE303">
            <v>295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 t="str">
            <v/>
          </cell>
        </row>
        <row r="304">
          <cell r="C304">
            <v>2</v>
          </cell>
          <cell r="CA304" t="str">
            <v>2832</v>
          </cell>
          <cell r="CB304">
            <v>283</v>
          </cell>
          <cell r="CC304">
            <v>2</v>
          </cell>
          <cell r="CE304">
            <v>296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 t="str">
            <v/>
          </cell>
        </row>
        <row r="305">
          <cell r="C305">
            <v>2</v>
          </cell>
          <cell r="CA305" t="str">
            <v>2842</v>
          </cell>
          <cell r="CB305">
            <v>284</v>
          </cell>
          <cell r="CC305">
            <v>2</v>
          </cell>
          <cell r="CE305">
            <v>297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 t="str">
            <v/>
          </cell>
        </row>
        <row r="306">
          <cell r="C306">
            <v>2</v>
          </cell>
          <cell r="CA306" t="str">
            <v>2852</v>
          </cell>
          <cell r="CB306">
            <v>285</v>
          </cell>
          <cell r="CC306">
            <v>2</v>
          </cell>
          <cell r="CE306">
            <v>298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 t="str">
            <v/>
          </cell>
        </row>
        <row r="307">
          <cell r="C307">
            <v>2</v>
          </cell>
          <cell r="CA307" t="str">
            <v>2862</v>
          </cell>
          <cell r="CB307">
            <v>286</v>
          </cell>
          <cell r="CC307">
            <v>2</v>
          </cell>
          <cell r="CE307">
            <v>299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 t="str">
            <v/>
          </cell>
        </row>
        <row r="308">
          <cell r="C308">
            <v>2</v>
          </cell>
          <cell r="CA308" t="str">
            <v>2872</v>
          </cell>
          <cell r="CB308">
            <v>287</v>
          </cell>
          <cell r="CC308">
            <v>2</v>
          </cell>
          <cell r="CE308">
            <v>300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 t="str">
            <v/>
          </cell>
        </row>
        <row r="309">
          <cell r="C309">
            <v>2</v>
          </cell>
          <cell r="CA309" t="str">
            <v>2882</v>
          </cell>
          <cell r="CB309">
            <v>288</v>
          </cell>
          <cell r="CC309">
            <v>2</v>
          </cell>
          <cell r="CE309">
            <v>301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 t="str">
            <v/>
          </cell>
        </row>
        <row r="310">
          <cell r="C310">
            <v>2</v>
          </cell>
          <cell r="CA310" t="str">
            <v>2892</v>
          </cell>
          <cell r="CB310">
            <v>289</v>
          </cell>
          <cell r="CC310">
            <v>2</v>
          </cell>
          <cell r="CE310">
            <v>302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 t="str">
            <v/>
          </cell>
        </row>
        <row r="311">
          <cell r="C311">
            <v>2</v>
          </cell>
          <cell r="CA311" t="str">
            <v>2902</v>
          </cell>
          <cell r="CB311">
            <v>290</v>
          </cell>
          <cell r="CC311">
            <v>2</v>
          </cell>
          <cell r="CE311">
            <v>303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 t="str">
            <v/>
          </cell>
        </row>
        <row r="312">
          <cell r="C312">
            <v>2</v>
          </cell>
          <cell r="CA312" t="str">
            <v>2912</v>
          </cell>
          <cell r="CB312">
            <v>291</v>
          </cell>
          <cell r="CC312">
            <v>2</v>
          </cell>
          <cell r="CE312">
            <v>304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 t="str">
            <v/>
          </cell>
        </row>
        <row r="313">
          <cell r="C313">
            <v>2</v>
          </cell>
          <cell r="CA313" t="str">
            <v>2922</v>
          </cell>
          <cell r="CB313">
            <v>292</v>
          </cell>
          <cell r="CC313">
            <v>2</v>
          </cell>
          <cell r="CE313">
            <v>305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 t="str">
            <v/>
          </cell>
        </row>
        <row r="314">
          <cell r="C314">
            <v>2</v>
          </cell>
          <cell r="CA314" t="str">
            <v>2932</v>
          </cell>
          <cell r="CB314">
            <v>293</v>
          </cell>
          <cell r="CC314">
            <v>2</v>
          </cell>
          <cell r="CE314">
            <v>306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 t="str">
            <v/>
          </cell>
        </row>
        <row r="315">
          <cell r="C315">
            <v>2</v>
          </cell>
          <cell r="CA315" t="str">
            <v>2942</v>
          </cell>
          <cell r="CB315">
            <v>294</v>
          </cell>
          <cell r="CC315">
            <v>2</v>
          </cell>
          <cell r="CE315">
            <v>307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 t="str">
            <v/>
          </cell>
        </row>
        <row r="316">
          <cell r="C316">
            <v>2</v>
          </cell>
          <cell r="CA316" t="str">
            <v>2952</v>
          </cell>
          <cell r="CB316">
            <v>295</v>
          </cell>
          <cell r="CC316">
            <v>2</v>
          </cell>
          <cell r="CE316">
            <v>308</v>
          </cell>
          <cell r="CF316">
            <v>0</v>
          </cell>
          <cell r="CG316">
            <v>0</v>
          </cell>
          <cell r="CH316">
            <v>0</v>
          </cell>
          <cell r="CI316">
            <v>0</v>
          </cell>
          <cell r="CJ316" t="str">
            <v/>
          </cell>
        </row>
        <row r="317">
          <cell r="C317">
            <v>2</v>
          </cell>
          <cell r="CA317" t="str">
            <v>2962</v>
          </cell>
          <cell r="CB317">
            <v>296</v>
          </cell>
          <cell r="CC317">
            <v>2</v>
          </cell>
          <cell r="CE317">
            <v>309</v>
          </cell>
          <cell r="CF317">
            <v>0</v>
          </cell>
          <cell r="CG317">
            <v>0</v>
          </cell>
          <cell r="CH317">
            <v>0</v>
          </cell>
          <cell r="CI317">
            <v>0</v>
          </cell>
          <cell r="CJ317" t="str">
            <v/>
          </cell>
        </row>
        <row r="318">
          <cell r="C318">
            <v>2</v>
          </cell>
          <cell r="CA318" t="str">
            <v>2972</v>
          </cell>
          <cell r="CB318">
            <v>297</v>
          </cell>
          <cell r="CC318">
            <v>2</v>
          </cell>
          <cell r="CE318">
            <v>310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 t="str">
            <v/>
          </cell>
        </row>
        <row r="319">
          <cell r="C319">
            <v>2</v>
          </cell>
          <cell r="CA319" t="str">
            <v>2982</v>
          </cell>
          <cell r="CB319">
            <v>298</v>
          </cell>
          <cell r="CC319">
            <v>2</v>
          </cell>
          <cell r="CE319">
            <v>311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 t="str">
            <v/>
          </cell>
        </row>
        <row r="320">
          <cell r="C320">
            <v>2</v>
          </cell>
          <cell r="CA320" t="str">
            <v>2992</v>
          </cell>
          <cell r="CB320">
            <v>299</v>
          </cell>
          <cell r="CC320">
            <v>2</v>
          </cell>
          <cell r="CE320">
            <v>312</v>
          </cell>
          <cell r="CF320">
            <v>0</v>
          </cell>
          <cell r="CG320">
            <v>0</v>
          </cell>
          <cell r="CH320">
            <v>0</v>
          </cell>
          <cell r="CI320">
            <v>0</v>
          </cell>
          <cell r="CJ320" t="str">
            <v/>
          </cell>
        </row>
        <row r="321">
          <cell r="C321">
            <v>2</v>
          </cell>
          <cell r="CA321" t="str">
            <v>3002</v>
          </cell>
          <cell r="CB321">
            <v>300</v>
          </cell>
          <cell r="CC321">
            <v>2</v>
          </cell>
          <cell r="CE321">
            <v>313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 t="str">
            <v/>
          </cell>
        </row>
        <row r="322">
          <cell r="C322">
            <v>2</v>
          </cell>
          <cell r="CA322" t="str">
            <v>3012</v>
          </cell>
          <cell r="CB322">
            <v>301</v>
          </cell>
          <cell r="CC322">
            <v>2</v>
          </cell>
          <cell r="CE322">
            <v>314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J322" t="str">
            <v/>
          </cell>
        </row>
        <row r="323">
          <cell r="C323">
            <v>2</v>
          </cell>
          <cell r="CA323" t="str">
            <v>3022</v>
          </cell>
          <cell r="CB323">
            <v>302</v>
          </cell>
          <cell r="CC323">
            <v>2</v>
          </cell>
          <cell r="CE323">
            <v>315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 t="str">
            <v/>
          </cell>
        </row>
        <row r="324">
          <cell r="C324">
            <v>2</v>
          </cell>
          <cell r="CA324" t="str">
            <v>3032</v>
          </cell>
          <cell r="CB324">
            <v>303</v>
          </cell>
          <cell r="CC324">
            <v>2</v>
          </cell>
          <cell r="CE324">
            <v>316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 t="str">
            <v/>
          </cell>
        </row>
        <row r="325">
          <cell r="C325">
            <v>2</v>
          </cell>
          <cell r="CA325" t="str">
            <v>3042</v>
          </cell>
          <cell r="CB325">
            <v>304</v>
          </cell>
          <cell r="CC325">
            <v>2</v>
          </cell>
          <cell r="CE325">
            <v>317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 t="str">
            <v/>
          </cell>
        </row>
        <row r="326">
          <cell r="C326">
            <v>2</v>
          </cell>
          <cell r="CA326" t="str">
            <v>3052</v>
          </cell>
          <cell r="CB326">
            <v>305</v>
          </cell>
          <cell r="CC326">
            <v>2</v>
          </cell>
          <cell r="CE326">
            <v>318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J326" t="str">
            <v/>
          </cell>
        </row>
        <row r="327">
          <cell r="C327">
            <v>2</v>
          </cell>
          <cell r="CA327" t="str">
            <v>3062</v>
          </cell>
          <cell r="CB327">
            <v>306</v>
          </cell>
          <cell r="CC327">
            <v>2</v>
          </cell>
          <cell r="CE327">
            <v>319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 t="str">
            <v/>
          </cell>
        </row>
        <row r="328">
          <cell r="C328">
            <v>2</v>
          </cell>
          <cell r="CA328" t="str">
            <v>3072</v>
          </cell>
          <cell r="CB328">
            <v>307</v>
          </cell>
          <cell r="CC328">
            <v>2</v>
          </cell>
          <cell r="CE328">
            <v>320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 t="str">
            <v/>
          </cell>
        </row>
        <row r="329">
          <cell r="C329">
            <v>2</v>
          </cell>
          <cell r="CA329" t="str">
            <v>3082</v>
          </cell>
          <cell r="CB329">
            <v>308</v>
          </cell>
          <cell r="CC329">
            <v>2</v>
          </cell>
          <cell r="CE329">
            <v>321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 t="str">
            <v/>
          </cell>
        </row>
        <row r="330">
          <cell r="C330">
            <v>2</v>
          </cell>
          <cell r="CA330" t="str">
            <v>3092</v>
          </cell>
          <cell r="CB330">
            <v>309</v>
          </cell>
          <cell r="CC330">
            <v>2</v>
          </cell>
          <cell r="CE330">
            <v>322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 t="str">
            <v/>
          </cell>
        </row>
        <row r="331">
          <cell r="C331">
            <v>2</v>
          </cell>
          <cell r="CA331" t="str">
            <v>3102</v>
          </cell>
          <cell r="CB331">
            <v>310</v>
          </cell>
          <cell r="CC331">
            <v>2</v>
          </cell>
          <cell r="CE331">
            <v>323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J331" t="str">
            <v/>
          </cell>
        </row>
        <row r="332">
          <cell r="C332">
            <v>2</v>
          </cell>
          <cell r="CA332" t="str">
            <v>3112</v>
          </cell>
          <cell r="CB332">
            <v>311</v>
          </cell>
          <cell r="CC332">
            <v>2</v>
          </cell>
          <cell r="CE332">
            <v>324</v>
          </cell>
          <cell r="CF332">
            <v>0</v>
          </cell>
          <cell r="CG332">
            <v>0</v>
          </cell>
          <cell r="CH332">
            <v>0</v>
          </cell>
          <cell r="CI332">
            <v>0</v>
          </cell>
          <cell r="CJ332" t="str">
            <v/>
          </cell>
        </row>
        <row r="333">
          <cell r="C333">
            <v>2</v>
          </cell>
          <cell r="CA333" t="str">
            <v>3122</v>
          </cell>
          <cell r="CB333">
            <v>312</v>
          </cell>
          <cell r="CC333">
            <v>2</v>
          </cell>
          <cell r="CE333">
            <v>325</v>
          </cell>
          <cell r="CF333">
            <v>0</v>
          </cell>
          <cell r="CG333">
            <v>0</v>
          </cell>
          <cell r="CH333">
            <v>0</v>
          </cell>
          <cell r="CI333">
            <v>0</v>
          </cell>
          <cell r="CJ333" t="str">
            <v/>
          </cell>
        </row>
        <row r="334">
          <cell r="C334">
            <v>2</v>
          </cell>
          <cell r="CA334" t="str">
            <v>3132</v>
          </cell>
          <cell r="CB334">
            <v>313</v>
          </cell>
          <cell r="CC334">
            <v>2</v>
          </cell>
          <cell r="CE334">
            <v>326</v>
          </cell>
          <cell r="CF334">
            <v>0</v>
          </cell>
          <cell r="CG334">
            <v>0</v>
          </cell>
          <cell r="CH334">
            <v>0</v>
          </cell>
          <cell r="CI334">
            <v>0</v>
          </cell>
          <cell r="CJ334" t="str">
            <v/>
          </cell>
        </row>
        <row r="335">
          <cell r="C335">
            <v>2</v>
          </cell>
          <cell r="CA335" t="str">
            <v>3142</v>
          </cell>
          <cell r="CB335">
            <v>314</v>
          </cell>
          <cell r="CC335">
            <v>2</v>
          </cell>
          <cell r="CE335">
            <v>327</v>
          </cell>
          <cell r="CF335">
            <v>0</v>
          </cell>
          <cell r="CG335">
            <v>0</v>
          </cell>
          <cell r="CH335">
            <v>0</v>
          </cell>
          <cell r="CI335">
            <v>0</v>
          </cell>
          <cell r="CJ335" t="str">
            <v/>
          </cell>
        </row>
        <row r="336">
          <cell r="C336">
            <v>2</v>
          </cell>
          <cell r="CA336" t="str">
            <v>3152</v>
          </cell>
          <cell r="CB336">
            <v>315</v>
          </cell>
          <cell r="CC336">
            <v>2</v>
          </cell>
          <cell r="CE336">
            <v>328</v>
          </cell>
          <cell r="CF336">
            <v>0</v>
          </cell>
          <cell r="CG336">
            <v>0</v>
          </cell>
          <cell r="CH336">
            <v>0</v>
          </cell>
          <cell r="CI336">
            <v>0</v>
          </cell>
          <cell r="CJ336" t="str">
            <v/>
          </cell>
        </row>
        <row r="337">
          <cell r="C337">
            <v>2</v>
          </cell>
          <cell r="CA337" t="str">
            <v>3162</v>
          </cell>
          <cell r="CB337">
            <v>316</v>
          </cell>
          <cell r="CC337">
            <v>2</v>
          </cell>
          <cell r="CE337">
            <v>329</v>
          </cell>
          <cell r="CF337">
            <v>0</v>
          </cell>
          <cell r="CG337">
            <v>0</v>
          </cell>
          <cell r="CH337">
            <v>0</v>
          </cell>
          <cell r="CI337">
            <v>0</v>
          </cell>
          <cell r="CJ337" t="str">
            <v/>
          </cell>
        </row>
        <row r="338">
          <cell r="C338">
            <v>2</v>
          </cell>
          <cell r="CA338" t="str">
            <v>3172</v>
          </cell>
          <cell r="CB338">
            <v>317</v>
          </cell>
          <cell r="CC338">
            <v>2</v>
          </cell>
          <cell r="CE338">
            <v>330</v>
          </cell>
          <cell r="CF338">
            <v>0</v>
          </cell>
          <cell r="CG338">
            <v>0</v>
          </cell>
          <cell r="CH338">
            <v>0</v>
          </cell>
          <cell r="CI338">
            <v>0</v>
          </cell>
          <cell r="CJ338" t="str">
            <v/>
          </cell>
        </row>
        <row r="339">
          <cell r="C339">
            <v>2</v>
          </cell>
          <cell r="CA339" t="str">
            <v>3182</v>
          </cell>
          <cell r="CB339">
            <v>318</v>
          </cell>
          <cell r="CC339">
            <v>2</v>
          </cell>
          <cell r="CE339">
            <v>331</v>
          </cell>
          <cell r="CF339">
            <v>0</v>
          </cell>
          <cell r="CG339">
            <v>0</v>
          </cell>
          <cell r="CH339">
            <v>0</v>
          </cell>
          <cell r="CI339">
            <v>0</v>
          </cell>
          <cell r="CJ339" t="str">
            <v/>
          </cell>
        </row>
        <row r="340">
          <cell r="C340">
            <v>2</v>
          </cell>
          <cell r="CA340" t="str">
            <v>3192</v>
          </cell>
          <cell r="CB340">
            <v>319</v>
          </cell>
          <cell r="CC340">
            <v>2</v>
          </cell>
          <cell r="CE340">
            <v>332</v>
          </cell>
          <cell r="CF340">
            <v>0</v>
          </cell>
          <cell r="CG340">
            <v>0</v>
          </cell>
          <cell r="CH340">
            <v>0</v>
          </cell>
          <cell r="CI340">
            <v>0</v>
          </cell>
          <cell r="CJ340" t="str">
            <v/>
          </cell>
        </row>
        <row r="341">
          <cell r="C341">
            <v>2</v>
          </cell>
          <cell r="CA341" t="str">
            <v>3202</v>
          </cell>
          <cell r="CB341">
            <v>320</v>
          </cell>
          <cell r="CC341">
            <v>2</v>
          </cell>
          <cell r="CE341">
            <v>333</v>
          </cell>
          <cell r="CF341">
            <v>0</v>
          </cell>
          <cell r="CG341">
            <v>0</v>
          </cell>
          <cell r="CH341">
            <v>0</v>
          </cell>
          <cell r="CI341">
            <v>0</v>
          </cell>
          <cell r="CJ341" t="str">
            <v/>
          </cell>
        </row>
        <row r="342">
          <cell r="C342">
            <v>2</v>
          </cell>
          <cell r="CA342" t="str">
            <v>3212</v>
          </cell>
          <cell r="CB342">
            <v>321</v>
          </cell>
          <cell r="CC342">
            <v>2</v>
          </cell>
          <cell r="CE342">
            <v>334</v>
          </cell>
          <cell r="CF342">
            <v>0</v>
          </cell>
          <cell r="CG342">
            <v>0</v>
          </cell>
          <cell r="CH342">
            <v>0</v>
          </cell>
          <cell r="CI342">
            <v>0</v>
          </cell>
          <cell r="CJ342" t="str">
            <v/>
          </cell>
        </row>
        <row r="343">
          <cell r="C343">
            <v>2</v>
          </cell>
          <cell r="CA343" t="str">
            <v>3222</v>
          </cell>
          <cell r="CB343">
            <v>322</v>
          </cell>
          <cell r="CC343">
            <v>2</v>
          </cell>
          <cell r="CE343">
            <v>335</v>
          </cell>
          <cell r="CF343">
            <v>0</v>
          </cell>
          <cell r="CG343">
            <v>0</v>
          </cell>
          <cell r="CH343">
            <v>0</v>
          </cell>
          <cell r="CI343">
            <v>0</v>
          </cell>
          <cell r="CJ343" t="str">
            <v/>
          </cell>
        </row>
        <row r="344">
          <cell r="C344">
            <v>2</v>
          </cell>
          <cell r="CA344" t="str">
            <v>3232</v>
          </cell>
          <cell r="CB344">
            <v>323</v>
          </cell>
          <cell r="CC344">
            <v>2</v>
          </cell>
          <cell r="CE344">
            <v>336</v>
          </cell>
          <cell r="CF344">
            <v>0</v>
          </cell>
          <cell r="CG344">
            <v>0</v>
          </cell>
          <cell r="CH344">
            <v>0</v>
          </cell>
          <cell r="CI344">
            <v>0</v>
          </cell>
          <cell r="CJ344" t="str">
            <v/>
          </cell>
        </row>
        <row r="345">
          <cell r="C345">
            <v>2</v>
          </cell>
          <cell r="CA345" t="str">
            <v>3242</v>
          </cell>
          <cell r="CB345">
            <v>324</v>
          </cell>
          <cell r="CC345">
            <v>2</v>
          </cell>
          <cell r="CE345">
            <v>337</v>
          </cell>
          <cell r="CF345">
            <v>0</v>
          </cell>
          <cell r="CG345">
            <v>0</v>
          </cell>
          <cell r="CH345">
            <v>0</v>
          </cell>
          <cell r="CI345">
            <v>0</v>
          </cell>
          <cell r="CJ345" t="str">
            <v/>
          </cell>
        </row>
        <row r="346">
          <cell r="C346">
            <v>2</v>
          </cell>
          <cell r="CA346" t="str">
            <v>3252</v>
          </cell>
          <cell r="CB346">
            <v>325</v>
          </cell>
          <cell r="CC346">
            <v>2</v>
          </cell>
          <cell r="CE346">
            <v>338</v>
          </cell>
          <cell r="CF346">
            <v>0</v>
          </cell>
          <cell r="CG346">
            <v>0</v>
          </cell>
          <cell r="CH346">
            <v>0</v>
          </cell>
          <cell r="CI346">
            <v>0</v>
          </cell>
          <cell r="CJ346" t="str">
            <v/>
          </cell>
        </row>
        <row r="347">
          <cell r="C347">
            <v>2</v>
          </cell>
          <cell r="CA347" t="str">
            <v>3262</v>
          </cell>
          <cell r="CB347">
            <v>326</v>
          </cell>
          <cell r="CC347">
            <v>2</v>
          </cell>
          <cell r="CE347">
            <v>339</v>
          </cell>
          <cell r="CF347">
            <v>0</v>
          </cell>
          <cell r="CG347">
            <v>0</v>
          </cell>
          <cell r="CH347">
            <v>0</v>
          </cell>
          <cell r="CI347">
            <v>0</v>
          </cell>
          <cell r="CJ347" t="str">
            <v/>
          </cell>
        </row>
        <row r="348">
          <cell r="C348">
            <v>2</v>
          </cell>
          <cell r="CA348" t="str">
            <v>3272</v>
          </cell>
          <cell r="CB348">
            <v>327</v>
          </cell>
          <cell r="CC348">
            <v>2</v>
          </cell>
          <cell r="CE348">
            <v>340</v>
          </cell>
          <cell r="CF348">
            <v>0</v>
          </cell>
          <cell r="CG348">
            <v>0</v>
          </cell>
          <cell r="CH348">
            <v>0</v>
          </cell>
          <cell r="CI348">
            <v>0</v>
          </cell>
          <cell r="CJ348" t="str">
            <v/>
          </cell>
        </row>
        <row r="349">
          <cell r="C349">
            <v>2</v>
          </cell>
          <cell r="CA349" t="str">
            <v>3282</v>
          </cell>
          <cell r="CB349">
            <v>328</v>
          </cell>
          <cell r="CC349">
            <v>2</v>
          </cell>
          <cell r="CE349">
            <v>341</v>
          </cell>
          <cell r="CF349">
            <v>0</v>
          </cell>
          <cell r="CG349">
            <v>0</v>
          </cell>
          <cell r="CH349">
            <v>0</v>
          </cell>
          <cell r="CI349">
            <v>0</v>
          </cell>
          <cell r="CJ349" t="str">
            <v/>
          </cell>
        </row>
        <row r="350">
          <cell r="C350">
            <v>2</v>
          </cell>
          <cell r="CA350" t="str">
            <v>3292</v>
          </cell>
          <cell r="CB350">
            <v>329</v>
          </cell>
          <cell r="CC350">
            <v>2</v>
          </cell>
          <cell r="CE350">
            <v>342</v>
          </cell>
          <cell r="CF350">
            <v>0</v>
          </cell>
          <cell r="CG350">
            <v>0</v>
          </cell>
          <cell r="CH350">
            <v>0</v>
          </cell>
          <cell r="CI350">
            <v>0</v>
          </cell>
          <cell r="CJ350" t="str">
            <v/>
          </cell>
        </row>
        <row r="351">
          <cell r="C351">
            <v>2</v>
          </cell>
          <cell r="CA351" t="str">
            <v>3302</v>
          </cell>
          <cell r="CB351">
            <v>330</v>
          </cell>
          <cell r="CC351">
            <v>2</v>
          </cell>
          <cell r="CE351">
            <v>343</v>
          </cell>
          <cell r="CF351">
            <v>0</v>
          </cell>
          <cell r="CG351">
            <v>0</v>
          </cell>
          <cell r="CH351">
            <v>0</v>
          </cell>
          <cell r="CI351">
            <v>0</v>
          </cell>
          <cell r="CJ351" t="str">
            <v/>
          </cell>
        </row>
        <row r="352">
          <cell r="C352">
            <v>2</v>
          </cell>
          <cell r="CA352" t="str">
            <v>3312</v>
          </cell>
          <cell r="CB352">
            <v>331</v>
          </cell>
          <cell r="CC352">
            <v>2</v>
          </cell>
          <cell r="CE352">
            <v>344</v>
          </cell>
          <cell r="CF352">
            <v>0</v>
          </cell>
          <cell r="CG352">
            <v>0</v>
          </cell>
          <cell r="CH352">
            <v>0</v>
          </cell>
          <cell r="CI352">
            <v>0</v>
          </cell>
          <cell r="CJ352" t="str">
            <v/>
          </cell>
        </row>
        <row r="353">
          <cell r="C353">
            <v>2</v>
          </cell>
          <cell r="CA353" t="str">
            <v>3322</v>
          </cell>
          <cell r="CB353">
            <v>332</v>
          </cell>
          <cell r="CC353">
            <v>2</v>
          </cell>
          <cell r="CE353">
            <v>345</v>
          </cell>
          <cell r="CF353">
            <v>0</v>
          </cell>
          <cell r="CG353">
            <v>0</v>
          </cell>
          <cell r="CH353">
            <v>0</v>
          </cell>
          <cell r="CI353">
            <v>0</v>
          </cell>
          <cell r="CJ353" t="str">
            <v/>
          </cell>
        </row>
        <row r="354">
          <cell r="C354">
            <v>2</v>
          </cell>
          <cell r="CA354" t="str">
            <v>3332</v>
          </cell>
          <cell r="CB354">
            <v>333</v>
          </cell>
          <cell r="CC354">
            <v>2</v>
          </cell>
          <cell r="CE354">
            <v>346</v>
          </cell>
          <cell r="CF354">
            <v>0</v>
          </cell>
          <cell r="CG354">
            <v>0</v>
          </cell>
          <cell r="CH354">
            <v>0</v>
          </cell>
          <cell r="CI354">
            <v>0</v>
          </cell>
          <cell r="CJ354" t="str">
            <v/>
          </cell>
        </row>
        <row r="355">
          <cell r="C355">
            <v>2</v>
          </cell>
          <cell r="CA355" t="str">
            <v>3342</v>
          </cell>
          <cell r="CB355">
            <v>334</v>
          </cell>
          <cell r="CC355">
            <v>2</v>
          </cell>
          <cell r="CE355">
            <v>347</v>
          </cell>
          <cell r="CF355">
            <v>0</v>
          </cell>
          <cell r="CG355">
            <v>0</v>
          </cell>
          <cell r="CH355">
            <v>0</v>
          </cell>
          <cell r="CI355">
            <v>0</v>
          </cell>
          <cell r="CJ355" t="str">
            <v/>
          </cell>
        </row>
        <row r="356">
          <cell r="C356">
            <v>2</v>
          </cell>
          <cell r="CA356" t="str">
            <v>3352</v>
          </cell>
          <cell r="CB356">
            <v>335</v>
          </cell>
          <cell r="CC356">
            <v>2</v>
          </cell>
          <cell r="CE356">
            <v>348</v>
          </cell>
          <cell r="CF356">
            <v>0</v>
          </cell>
          <cell r="CG356">
            <v>0</v>
          </cell>
          <cell r="CH356">
            <v>0</v>
          </cell>
          <cell r="CI356">
            <v>0</v>
          </cell>
          <cell r="CJ356" t="str">
            <v/>
          </cell>
        </row>
        <row r="357">
          <cell r="C357">
            <v>2</v>
          </cell>
          <cell r="CA357" t="str">
            <v>3362</v>
          </cell>
          <cell r="CB357">
            <v>336</v>
          </cell>
          <cell r="CC357">
            <v>2</v>
          </cell>
          <cell r="CE357">
            <v>349</v>
          </cell>
          <cell r="CF357">
            <v>0</v>
          </cell>
          <cell r="CG357">
            <v>0</v>
          </cell>
          <cell r="CH357">
            <v>0</v>
          </cell>
          <cell r="CI357">
            <v>0</v>
          </cell>
          <cell r="CJ357" t="str">
            <v/>
          </cell>
        </row>
        <row r="358">
          <cell r="C358">
            <v>2</v>
          </cell>
          <cell r="CA358" t="str">
            <v>3372</v>
          </cell>
          <cell r="CB358">
            <v>337</v>
          </cell>
          <cell r="CC358">
            <v>2</v>
          </cell>
          <cell r="CE358">
            <v>350</v>
          </cell>
          <cell r="CF358">
            <v>0</v>
          </cell>
          <cell r="CG358">
            <v>0</v>
          </cell>
          <cell r="CH358">
            <v>0</v>
          </cell>
          <cell r="CI358">
            <v>0</v>
          </cell>
          <cell r="CJ358" t="str">
            <v/>
          </cell>
        </row>
        <row r="359">
          <cell r="C359">
            <v>2</v>
          </cell>
          <cell r="CA359" t="str">
            <v>3382</v>
          </cell>
          <cell r="CB359">
            <v>338</v>
          </cell>
          <cell r="CC359">
            <v>2</v>
          </cell>
          <cell r="CE359">
            <v>351</v>
          </cell>
          <cell r="CF359">
            <v>0</v>
          </cell>
          <cell r="CG359">
            <v>0</v>
          </cell>
          <cell r="CH359">
            <v>0</v>
          </cell>
          <cell r="CI359">
            <v>0</v>
          </cell>
          <cell r="CJ359" t="str">
            <v/>
          </cell>
        </row>
        <row r="360">
          <cell r="C360">
            <v>2</v>
          </cell>
          <cell r="CA360" t="str">
            <v>3392</v>
          </cell>
          <cell r="CB360">
            <v>339</v>
          </cell>
          <cell r="CC360">
            <v>2</v>
          </cell>
          <cell r="CE360">
            <v>352</v>
          </cell>
          <cell r="CF360">
            <v>0</v>
          </cell>
          <cell r="CG360">
            <v>0</v>
          </cell>
          <cell r="CH360">
            <v>0</v>
          </cell>
          <cell r="CI360">
            <v>0</v>
          </cell>
          <cell r="CJ360" t="str">
            <v/>
          </cell>
        </row>
        <row r="361">
          <cell r="C361">
            <v>2</v>
          </cell>
          <cell r="CA361" t="str">
            <v>3402</v>
          </cell>
          <cell r="CB361">
            <v>340</v>
          </cell>
          <cell r="CC361">
            <v>2</v>
          </cell>
          <cell r="CE361">
            <v>353</v>
          </cell>
          <cell r="CF361">
            <v>0</v>
          </cell>
          <cell r="CG361">
            <v>0</v>
          </cell>
          <cell r="CH361">
            <v>0</v>
          </cell>
          <cell r="CI361">
            <v>0</v>
          </cell>
          <cell r="CJ361" t="str">
            <v/>
          </cell>
        </row>
        <row r="362">
          <cell r="C362">
            <v>2</v>
          </cell>
          <cell r="CA362" t="str">
            <v>3412</v>
          </cell>
          <cell r="CB362">
            <v>341</v>
          </cell>
          <cell r="CC362">
            <v>2</v>
          </cell>
          <cell r="CE362">
            <v>354</v>
          </cell>
          <cell r="CF362">
            <v>0</v>
          </cell>
          <cell r="CG362">
            <v>0</v>
          </cell>
          <cell r="CH362">
            <v>0</v>
          </cell>
          <cell r="CI362">
            <v>0</v>
          </cell>
          <cell r="CJ362" t="str">
            <v/>
          </cell>
        </row>
        <row r="363">
          <cell r="C363">
            <v>2</v>
          </cell>
          <cell r="CA363" t="str">
            <v>3422</v>
          </cell>
          <cell r="CB363">
            <v>342</v>
          </cell>
          <cell r="CC363">
            <v>2</v>
          </cell>
          <cell r="CE363">
            <v>355</v>
          </cell>
          <cell r="CF363">
            <v>0</v>
          </cell>
          <cell r="CG363">
            <v>0</v>
          </cell>
          <cell r="CH363">
            <v>0</v>
          </cell>
          <cell r="CI363">
            <v>0</v>
          </cell>
          <cell r="CJ363" t="str">
            <v/>
          </cell>
        </row>
        <row r="364">
          <cell r="C364">
            <v>2</v>
          </cell>
          <cell r="CA364" t="str">
            <v>3432</v>
          </cell>
          <cell r="CB364">
            <v>343</v>
          </cell>
          <cell r="CC364">
            <v>2</v>
          </cell>
          <cell r="CE364">
            <v>356</v>
          </cell>
          <cell r="CF364">
            <v>0</v>
          </cell>
          <cell r="CG364">
            <v>0</v>
          </cell>
          <cell r="CH364">
            <v>0</v>
          </cell>
          <cell r="CI364">
            <v>0</v>
          </cell>
          <cell r="CJ364" t="str">
            <v/>
          </cell>
        </row>
        <row r="365">
          <cell r="C365">
            <v>2</v>
          </cell>
          <cell r="CA365" t="str">
            <v>3442</v>
          </cell>
          <cell r="CB365">
            <v>344</v>
          </cell>
          <cell r="CC365">
            <v>2</v>
          </cell>
          <cell r="CE365">
            <v>357</v>
          </cell>
          <cell r="CF365">
            <v>0</v>
          </cell>
          <cell r="CG365">
            <v>0</v>
          </cell>
          <cell r="CH365">
            <v>0</v>
          </cell>
          <cell r="CI365">
            <v>0</v>
          </cell>
          <cell r="CJ365" t="str">
            <v/>
          </cell>
        </row>
        <row r="366">
          <cell r="C366">
            <v>2</v>
          </cell>
          <cell r="CA366" t="str">
            <v>3452</v>
          </cell>
          <cell r="CB366">
            <v>345</v>
          </cell>
          <cell r="CC366">
            <v>2</v>
          </cell>
          <cell r="CE366">
            <v>358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 t="str">
            <v/>
          </cell>
        </row>
        <row r="367">
          <cell r="C367">
            <v>2</v>
          </cell>
          <cell r="CA367" t="str">
            <v>3462</v>
          </cell>
          <cell r="CB367">
            <v>346</v>
          </cell>
          <cell r="CC367">
            <v>2</v>
          </cell>
          <cell r="CE367">
            <v>359</v>
          </cell>
          <cell r="CF367">
            <v>0</v>
          </cell>
          <cell r="CG367">
            <v>0</v>
          </cell>
          <cell r="CH367">
            <v>0</v>
          </cell>
          <cell r="CI367">
            <v>0</v>
          </cell>
          <cell r="CJ367" t="str">
            <v/>
          </cell>
        </row>
        <row r="368">
          <cell r="C368">
            <v>2</v>
          </cell>
          <cell r="CA368" t="str">
            <v>3472</v>
          </cell>
          <cell r="CB368">
            <v>347</v>
          </cell>
          <cell r="CC368">
            <v>2</v>
          </cell>
          <cell r="CE368">
            <v>360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 t="str">
            <v/>
          </cell>
        </row>
        <row r="369">
          <cell r="C369">
            <v>2</v>
          </cell>
          <cell r="CA369" t="str">
            <v>3482</v>
          </cell>
          <cell r="CB369">
            <v>348</v>
          </cell>
          <cell r="CC369">
            <v>2</v>
          </cell>
          <cell r="CE369">
            <v>361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J369" t="str">
            <v/>
          </cell>
        </row>
        <row r="370">
          <cell r="C370">
            <v>2</v>
          </cell>
          <cell r="CA370" t="str">
            <v>3492</v>
          </cell>
          <cell r="CB370">
            <v>349</v>
          </cell>
          <cell r="CC370">
            <v>2</v>
          </cell>
          <cell r="CE370">
            <v>362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 t="str">
            <v/>
          </cell>
        </row>
        <row r="371">
          <cell r="C371">
            <v>2</v>
          </cell>
          <cell r="CA371" t="str">
            <v>3502</v>
          </cell>
          <cell r="CB371">
            <v>350</v>
          </cell>
          <cell r="CC371">
            <v>2</v>
          </cell>
          <cell r="CE371">
            <v>363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 t="str">
            <v/>
          </cell>
        </row>
        <row r="372">
          <cell r="C372">
            <v>2</v>
          </cell>
          <cell r="CA372" t="str">
            <v>3512</v>
          </cell>
          <cell r="CB372">
            <v>351</v>
          </cell>
          <cell r="CC372">
            <v>2</v>
          </cell>
          <cell r="CE372">
            <v>364</v>
          </cell>
          <cell r="CF372">
            <v>0</v>
          </cell>
          <cell r="CG372">
            <v>0</v>
          </cell>
          <cell r="CH372">
            <v>0</v>
          </cell>
          <cell r="CI372">
            <v>0</v>
          </cell>
          <cell r="CJ372" t="str">
            <v/>
          </cell>
        </row>
        <row r="373">
          <cell r="C373">
            <v>2</v>
          </cell>
          <cell r="CA373" t="str">
            <v>3522</v>
          </cell>
          <cell r="CB373">
            <v>352</v>
          </cell>
          <cell r="CC373">
            <v>2</v>
          </cell>
          <cell r="CE373">
            <v>365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 t="str">
            <v/>
          </cell>
        </row>
        <row r="374">
          <cell r="C374">
            <v>2</v>
          </cell>
          <cell r="CA374" t="str">
            <v>3532</v>
          </cell>
          <cell r="CB374">
            <v>353</v>
          </cell>
          <cell r="CC374">
            <v>2</v>
          </cell>
          <cell r="CE374">
            <v>366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 t="str">
            <v/>
          </cell>
        </row>
        <row r="375">
          <cell r="C375">
            <v>2</v>
          </cell>
          <cell r="CA375" t="str">
            <v>3542</v>
          </cell>
          <cell r="CB375">
            <v>354</v>
          </cell>
          <cell r="CC375">
            <v>2</v>
          </cell>
          <cell r="CE375">
            <v>367</v>
          </cell>
          <cell r="CF375">
            <v>0</v>
          </cell>
          <cell r="CG375">
            <v>0</v>
          </cell>
          <cell r="CH375">
            <v>0</v>
          </cell>
          <cell r="CI375">
            <v>0</v>
          </cell>
          <cell r="CJ375" t="str">
            <v/>
          </cell>
        </row>
        <row r="376">
          <cell r="C376">
            <v>2</v>
          </cell>
          <cell r="CA376" t="str">
            <v>3552</v>
          </cell>
          <cell r="CB376">
            <v>355</v>
          </cell>
          <cell r="CC376">
            <v>2</v>
          </cell>
          <cell r="CE376">
            <v>368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 t="str">
            <v/>
          </cell>
        </row>
        <row r="377">
          <cell r="C377">
            <v>2</v>
          </cell>
          <cell r="CA377" t="str">
            <v>3562</v>
          </cell>
          <cell r="CB377">
            <v>356</v>
          </cell>
          <cell r="CC377">
            <v>2</v>
          </cell>
          <cell r="CE377">
            <v>369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 t="str">
            <v/>
          </cell>
        </row>
        <row r="378">
          <cell r="C378">
            <v>2</v>
          </cell>
          <cell r="CA378" t="str">
            <v>3572</v>
          </cell>
          <cell r="CB378">
            <v>357</v>
          </cell>
          <cell r="CC378">
            <v>2</v>
          </cell>
          <cell r="CE378">
            <v>370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 t="str">
            <v/>
          </cell>
        </row>
        <row r="379">
          <cell r="C379">
            <v>2</v>
          </cell>
          <cell r="CA379" t="str">
            <v>3582</v>
          </cell>
          <cell r="CB379">
            <v>358</v>
          </cell>
          <cell r="CC379">
            <v>2</v>
          </cell>
          <cell r="CE379">
            <v>371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 t="str">
            <v/>
          </cell>
        </row>
        <row r="380">
          <cell r="C380">
            <v>2</v>
          </cell>
          <cell r="CA380" t="str">
            <v>3592</v>
          </cell>
          <cell r="CB380">
            <v>359</v>
          </cell>
          <cell r="CC380">
            <v>2</v>
          </cell>
          <cell r="CE380">
            <v>372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 t="str">
            <v/>
          </cell>
        </row>
        <row r="381">
          <cell r="C381">
            <v>2</v>
          </cell>
          <cell r="CA381" t="str">
            <v>3602</v>
          </cell>
          <cell r="CB381">
            <v>360</v>
          </cell>
          <cell r="CC381">
            <v>2</v>
          </cell>
          <cell r="CE381">
            <v>373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 t="str">
            <v/>
          </cell>
        </row>
        <row r="382">
          <cell r="C382">
            <v>2</v>
          </cell>
          <cell r="CA382" t="str">
            <v>3612</v>
          </cell>
          <cell r="CB382">
            <v>361</v>
          </cell>
          <cell r="CC382">
            <v>2</v>
          </cell>
          <cell r="CE382">
            <v>374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 t="str">
            <v/>
          </cell>
        </row>
        <row r="383">
          <cell r="C383">
            <v>2</v>
          </cell>
          <cell r="CA383" t="str">
            <v>3622</v>
          </cell>
          <cell r="CB383">
            <v>362</v>
          </cell>
          <cell r="CC383">
            <v>2</v>
          </cell>
          <cell r="CE383">
            <v>375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 t="str">
            <v/>
          </cell>
        </row>
        <row r="384">
          <cell r="C384">
            <v>2</v>
          </cell>
          <cell r="CA384" t="str">
            <v>3632</v>
          </cell>
          <cell r="CB384">
            <v>363</v>
          </cell>
          <cell r="CC384">
            <v>2</v>
          </cell>
          <cell r="CE384">
            <v>376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 t="str">
            <v/>
          </cell>
        </row>
        <row r="385">
          <cell r="C385">
            <v>2</v>
          </cell>
          <cell r="CA385" t="str">
            <v>3642</v>
          </cell>
          <cell r="CB385">
            <v>364</v>
          </cell>
          <cell r="CC385">
            <v>2</v>
          </cell>
          <cell r="CE385">
            <v>377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 t="str">
            <v/>
          </cell>
        </row>
        <row r="386">
          <cell r="C386">
            <v>2</v>
          </cell>
          <cell r="CA386" t="str">
            <v>3652</v>
          </cell>
          <cell r="CB386">
            <v>365</v>
          </cell>
          <cell r="CC386">
            <v>2</v>
          </cell>
          <cell r="CE386">
            <v>378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 t="str">
            <v/>
          </cell>
        </row>
        <row r="387">
          <cell r="C387">
            <v>2</v>
          </cell>
          <cell r="CA387" t="str">
            <v>3662</v>
          </cell>
          <cell r="CB387">
            <v>366</v>
          </cell>
          <cell r="CC387">
            <v>2</v>
          </cell>
          <cell r="CE387">
            <v>379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 t="str">
            <v/>
          </cell>
        </row>
        <row r="388">
          <cell r="C388">
            <v>2</v>
          </cell>
          <cell r="CA388" t="str">
            <v>3672</v>
          </cell>
          <cell r="CB388">
            <v>367</v>
          </cell>
          <cell r="CC388">
            <v>2</v>
          </cell>
          <cell r="CE388">
            <v>380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 t="str">
            <v/>
          </cell>
        </row>
        <row r="389">
          <cell r="C389">
            <v>2</v>
          </cell>
          <cell r="CA389" t="str">
            <v>3682</v>
          </cell>
          <cell r="CB389">
            <v>368</v>
          </cell>
          <cell r="CC389">
            <v>2</v>
          </cell>
          <cell r="CE389">
            <v>381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 t="str">
            <v/>
          </cell>
        </row>
        <row r="390">
          <cell r="C390">
            <v>2</v>
          </cell>
          <cell r="CA390" t="str">
            <v>3692</v>
          </cell>
          <cell r="CB390">
            <v>369</v>
          </cell>
          <cell r="CC390">
            <v>2</v>
          </cell>
          <cell r="CE390">
            <v>382</v>
          </cell>
          <cell r="CF390">
            <v>0</v>
          </cell>
          <cell r="CG390">
            <v>0</v>
          </cell>
          <cell r="CH390">
            <v>0</v>
          </cell>
          <cell r="CI390">
            <v>0</v>
          </cell>
          <cell r="CJ390" t="str">
            <v/>
          </cell>
        </row>
        <row r="391">
          <cell r="C391">
            <v>2</v>
          </cell>
          <cell r="CA391" t="str">
            <v>3702</v>
          </cell>
          <cell r="CB391">
            <v>370</v>
          </cell>
          <cell r="CC391">
            <v>2</v>
          </cell>
          <cell r="CE391">
            <v>383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 t="str">
            <v/>
          </cell>
        </row>
        <row r="392">
          <cell r="C392">
            <v>2</v>
          </cell>
          <cell r="CA392" t="str">
            <v>3712</v>
          </cell>
          <cell r="CB392">
            <v>371</v>
          </cell>
          <cell r="CC392">
            <v>2</v>
          </cell>
          <cell r="CE392">
            <v>384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 t="str">
            <v/>
          </cell>
        </row>
        <row r="393">
          <cell r="C393">
            <v>2</v>
          </cell>
          <cell r="CA393" t="str">
            <v>3722</v>
          </cell>
          <cell r="CB393">
            <v>372</v>
          </cell>
          <cell r="CC393">
            <v>2</v>
          </cell>
          <cell r="CE393">
            <v>385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 t="str">
            <v/>
          </cell>
        </row>
        <row r="394">
          <cell r="C394">
            <v>2</v>
          </cell>
          <cell r="CA394" t="str">
            <v>3732</v>
          </cell>
          <cell r="CB394">
            <v>373</v>
          </cell>
          <cell r="CC394">
            <v>2</v>
          </cell>
          <cell r="CE394">
            <v>386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 t="str">
            <v/>
          </cell>
        </row>
        <row r="395">
          <cell r="C395">
            <v>2</v>
          </cell>
          <cell r="CA395" t="str">
            <v>3742</v>
          </cell>
          <cell r="CB395">
            <v>374</v>
          </cell>
          <cell r="CC395">
            <v>2</v>
          </cell>
          <cell r="CE395">
            <v>387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 t="str">
            <v/>
          </cell>
        </row>
        <row r="396">
          <cell r="C396">
            <v>2</v>
          </cell>
          <cell r="CA396" t="str">
            <v>3752</v>
          </cell>
          <cell r="CB396">
            <v>375</v>
          </cell>
          <cell r="CC396">
            <v>2</v>
          </cell>
          <cell r="CE396">
            <v>388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 t="str">
            <v/>
          </cell>
        </row>
        <row r="397">
          <cell r="C397">
            <v>2</v>
          </cell>
          <cell r="CA397" t="str">
            <v>3762</v>
          </cell>
          <cell r="CB397">
            <v>376</v>
          </cell>
          <cell r="CC397">
            <v>2</v>
          </cell>
          <cell r="CE397">
            <v>389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 t="str">
            <v/>
          </cell>
        </row>
        <row r="398">
          <cell r="C398">
            <v>2</v>
          </cell>
          <cell r="CA398" t="str">
            <v>3772</v>
          </cell>
          <cell r="CB398">
            <v>377</v>
          </cell>
          <cell r="CC398">
            <v>2</v>
          </cell>
          <cell r="CE398">
            <v>390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 t="str">
            <v/>
          </cell>
        </row>
        <row r="399">
          <cell r="C399">
            <v>2</v>
          </cell>
          <cell r="CA399" t="str">
            <v>3782</v>
          </cell>
          <cell r="CB399">
            <v>378</v>
          </cell>
          <cell r="CC399">
            <v>2</v>
          </cell>
          <cell r="CE399">
            <v>391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 t="str">
            <v/>
          </cell>
        </row>
        <row r="400">
          <cell r="C400">
            <v>2</v>
          </cell>
          <cell r="CA400" t="str">
            <v>3792</v>
          </cell>
          <cell r="CB400">
            <v>379</v>
          </cell>
          <cell r="CC400">
            <v>2</v>
          </cell>
          <cell r="CE400">
            <v>392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 t="str">
            <v/>
          </cell>
        </row>
        <row r="401">
          <cell r="C401">
            <v>2</v>
          </cell>
          <cell r="CA401" t="str">
            <v>3802</v>
          </cell>
          <cell r="CB401">
            <v>380</v>
          </cell>
          <cell r="CC401">
            <v>2</v>
          </cell>
          <cell r="CE401">
            <v>393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 t="str">
            <v/>
          </cell>
        </row>
        <row r="402">
          <cell r="C402">
            <v>2</v>
          </cell>
          <cell r="CA402" t="str">
            <v>3812</v>
          </cell>
          <cell r="CB402">
            <v>381</v>
          </cell>
          <cell r="CC402">
            <v>2</v>
          </cell>
          <cell r="CE402">
            <v>394</v>
          </cell>
          <cell r="CF402">
            <v>0</v>
          </cell>
          <cell r="CG402">
            <v>0</v>
          </cell>
          <cell r="CH402">
            <v>0</v>
          </cell>
          <cell r="CI402">
            <v>0</v>
          </cell>
          <cell r="CJ402" t="str">
            <v/>
          </cell>
        </row>
        <row r="403">
          <cell r="C403">
            <v>2</v>
          </cell>
          <cell r="CA403" t="str">
            <v>3822</v>
          </cell>
          <cell r="CB403">
            <v>382</v>
          </cell>
          <cell r="CC403">
            <v>2</v>
          </cell>
          <cell r="CE403">
            <v>395</v>
          </cell>
          <cell r="CF403">
            <v>0</v>
          </cell>
          <cell r="CG403">
            <v>0</v>
          </cell>
          <cell r="CH403">
            <v>0</v>
          </cell>
          <cell r="CI403">
            <v>0</v>
          </cell>
          <cell r="CJ403" t="str">
            <v/>
          </cell>
        </row>
        <row r="404">
          <cell r="C404">
            <v>2</v>
          </cell>
          <cell r="CA404" t="str">
            <v>3832</v>
          </cell>
          <cell r="CB404">
            <v>383</v>
          </cell>
          <cell r="CC404">
            <v>2</v>
          </cell>
          <cell r="CE404">
            <v>396</v>
          </cell>
          <cell r="CF404">
            <v>0</v>
          </cell>
          <cell r="CG404">
            <v>0</v>
          </cell>
          <cell r="CH404">
            <v>0</v>
          </cell>
          <cell r="CI404">
            <v>0</v>
          </cell>
          <cell r="CJ404" t="str">
            <v/>
          </cell>
        </row>
        <row r="405">
          <cell r="C405">
            <v>2</v>
          </cell>
          <cell r="CA405" t="str">
            <v>3842</v>
          </cell>
          <cell r="CB405">
            <v>384</v>
          </cell>
          <cell r="CC405">
            <v>2</v>
          </cell>
          <cell r="CE405">
            <v>397</v>
          </cell>
          <cell r="CF405">
            <v>0</v>
          </cell>
          <cell r="CG405">
            <v>0</v>
          </cell>
          <cell r="CH405">
            <v>0</v>
          </cell>
          <cell r="CI405">
            <v>0</v>
          </cell>
          <cell r="CJ405" t="str">
            <v/>
          </cell>
        </row>
        <row r="406">
          <cell r="C406">
            <v>2</v>
          </cell>
          <cell r="CA406" t="str">
            <v>3852</v>
          </cell>
          <cell r="CB406">
            <v>385</v>
          </cell>
          <cell r="CC406">
            <v>2</v>
          </cell>
          <cell r="CE406">
            <v>398</v>
          </cell>
          <cell r="CF406">
            <v>0</v>
          </cell>
          <cell r="CG406">
            <v>0</v>
          </cell>
          <cell r="CH406">
            <v>0</v>
          </cell>
          <cell r="CI406">
            <v>0</v>
          </cell>
          <cell r="CJ406" t="str">
            <v/>
          </cell>
        </row>
        <row r="407">
          <cell r="C407">
            <v>2</v>
          </cell>
          <cell r="CA407" t="str">
            <v>3862</v>
          </cell>
          <cell r="CB407">
            <v>386</v>
          </cell>
          <cell r="CC407">
            <v>2</v>
          </cell>
          <cell r="CE407">
            <v>399</v>
          </cell>
          <cell r="CF407">
            <v>0</v>
          </cell>
          <cell r="CG407">
            <v>0</v>
          </cell>
          <cell r="CH407">
            <v>0</v>
          </cell>
          <cell r="CI407">
            <v>0</v>
          </cell>
          <cell r="CJ407" t="str">
            <v/>
          </cell>
        </row>
        <row r="408">
          <cell r="C408">
            <v>2</v>
          </cell>
          <cell r="CA408" t="str">
            <v>3872</v>
          </cell>
          <cell r="CB408">
            <v>387</v>
          </cell>
          <cell r="CC408">
            <v>2</v>
          </cell>
          <cell r="CE408">
            <v>400</v>
          </cell>
          <cell r="CF408">
            <v>0</v>
          </cell>
          <cell r="CG408">
            <v>0</v>
          </cell>
          <cell r="CH408">
            <v>0</v>
          </cell>
          <cell r="CI408">
            <v>0</v>
          </cell>
          <cell r="CJ408" t="str">
            <v/>
          </cell>
        </row>
        <row r="409">
          <cell r="C409">
            <v>2</v>
          </cell>
          <cell r="CA409" t="str">
            <v>3882</v>
          </cell>
          <cell r="CB409">
            <v>388</v>
          </cell>
          <cell r="CC409">
            <v>2</v>
          </cell>
          <cell r="CE409">
            <v>401</v>
          </cell>
          <cell r="CF409">
            <v>0</v>
          </cell>
          <cell r="CG409">
            <v>0</v>
          </cell>
          <cell r="CH409">
            <v>0</v>
          </cell>
          <cell r="CI409">
            <v>0</v>
          </cell>
          <cell r="CJ409" t="str">
            <v/>
          </cell>
        </row>
        <row r="410">
          <cell r="C410">
            <v>2</v>
          </cell>
          <cell r="CA410" t="str">
            <v>3892</v>
          </cell>
          <cell r="CB410">
            <v>389</v>
          </cell>
          <cell r="CC410">
            <v>2</v>
          </cell>
          <cell r="CE410">
            <v>402</v>
          </cell>
          <cell r="CF410">
            <v>0</v>
          </cell>
          <cell r="CG410">
            <v>0</v>
          </cell>
          <cell r="CH410">
            <v>0</v>
          </cell>
          <cell r="CI410">
            <v>0</v>
          </cell>
          <cell r="CJ410" t="str">
            <v/>
          </cell>
        </row>
        <row r="411">
          <cell r="C411">
            <v>2</v>
          </cell>
          <cell r="CA411" t="str">
            <v>3902</v>
          </cell>
          <cell r="CB411">
            <v>390</v>
          </cell>
          <cell r="CC411">
            <v>2</v>
          </cell>
          <cell r="CE411">
            <v>403</v>
          </cell>
          <cell r="CF411">
            <v>0</v>
          </cell>
          <cell r="CG411">
            <v>0</v>
          </cell>
          <cell r="CH411">
            <v>0</v>
          </cell>
          <cell r="CI411">
            <v>0</v>
          </cell>
          <cell r="CJ411" t="str">
            <v/>
          </cell>
        </row>
        <row r="412">
          <cell r="C412">
            <v>2</v>
          </cell>
          <cell r="CA412" t="str">
            <v>3912</v>
          </cell>
          <cell r="CB412">
            <v>391</v>
          </cell>
          <cell r="CC412">
            <v>2</v>
          </cell>
          <cell r="CE412">
            <v>404</v>
          </cell>
          <cell r="CF412">
            <v>0</v>
          </cell>
          <cell r="CG412">
            <v>0</v>
          </cell>
          <cell r="CH412">
            <v>0</v>
          </cell>
          <cell r="CI412">
            <v>0</v>
          </cell>
          <cell r="CJ412" t="str">
            <v/>
          </cell>
        </row>
        <row r="413">
          <cell r="C413">
            <v>2</v>
          </cell>
          <cell r="CA413" t="str">
            <v>3922</v>
          </cell>
          <cell r="CB413">
            <v>392</v>
          </cell>
          <cell r="CC413">
            <v>2</v>
          </cell>
          <cell r="CE413">
            <v>405</v>
          </cell>
          <cell r="CF413">
            <v>0</v>
          </cell>
          <cell r="CG413">
            <v>0</v>
          </cell>
          <cell r="CH413">
            <v>0</v>
          </cell>
          <cell r="CI413">
            <v>0</v>
          </cell>
          <cell r="CJ413" t="str">
            <v/>
          </cell>
        </row>
        <row r="414">
          <cell r="C414">
            <v>2</v>
          </cell>
          <cell r="CA414" t="str">
            <v>3932</v>
          </cell>
          <cell r="CB414">
            <v>393</v>
          </cell>
          <cell r="CC414">
            <v>2</v>
          </cell>
          <cell r="CE414">
            <v>406</v>
          </cell>
          <cell r="CF414">
            <v>0</v>
          </cell>
          <cell r="CG414">
            <v>0</v>
          </cell>
          <cell r="CH414">
            <v>0</v>
          </cell>
          <cell r="CI414">
            <v>0</v>
          </cell>
          <cell r="CJ414" t="str">
            <v/>
          </cell>
        </row>
        <row r="415">
          <cell r="C415">
            <v>2</v>
          </cell>
          <cell r="CA415" t="str">
            <v>3942</v>
          </cell>
          <cell r="CB415">
            <v>394</v>
          </cell>
          <cell r="CC415">
            <v>2</v>
          </cell>
          <cell r="CE415">
            <v>407</v>
          </cell>
          <cell r="CF415">
            <v>0</v>
          </cell>
          <cell r="CG415">
            <v>0</v>
          </cell>
          <cell r="CH415">
            <v>0</v>
          </cell>
          <cell r="CI415">
            <v>0</v>
          </cell>
          <cell r="CJ415" t="str">
            <v/>
          </cell>
        </row>
        <row r="416">
          <cell r="C416">
            <v>2</v>
          </cell>
          <cell r="CA416" t="str">
            <v>3952</v>
          </cell>
          <cell r="CB416">
            <v>395</v>
          </cell>
          <cell r="CC416">
            <v>2</v>
          </cell>
          <cell r="CE416">
            <v>408</v>
          </cell>
          <cell r="CF416">
            <v>0</v>
          </cell>
          <cell r="CG416">
            <v>0</v>
          </cell>
          <cell r="CH416">
            <v>0</v>
          </cell>
          <cell r="CI416">
            <v>0</v>
          </cell>
          <cell r="CJ416" t="str">
            <v/>
          </cell>
        </row>
        <row r="417">
          <cell r="C417">
            <v>2</v>
          </cell>
          <cell r="CA417" t="str">
            <v>3962</v>
          </cell>
          <cell r="CB417">
            <v>396</v>
          </cell>
          <cell r="CC417">
            <v>2</v>
          </cell>
          <cell r="CE417">
            <v>409</v>
          </cell>
          <cell r="CF417">
            <v>0</v>
          </cell>
          <cell r="CG417">
            <v>0</v>
          </cell>
          <cell r="CH417">
            <v>0</v>
          </cell>
          <cell r="CI417">
            <v>0</v>
          </cell>
          <cell r="CJ417" t="str">
            <v/>
          </cell>
        </row>
        <row r="418">
          <cell r="C418">
            <v>2</v>
          </cell>
          <cell r="CA418" t="str">
            <v>3972</v>
          </cell>
          <cell r="CB418">
            <v>397</v>
          </cell>
          <cell r="CC418">
            <v>2</v>
          </cell>
          <cell r="CE418">
            <v>410</v>
          </cell>
          <cell r="CF418">
            <v>0</v>
          </cell>
          <cell r="CG418">
            <v>0</v>
          </cell>
          <cell r="CH418">
            <v>0</v>
          </cell>
          <cell r="CI418">
            <v>0</v>
          </cell>
          <cell r="CJ418" t="str">
            <v/>
          </cell>
        </row>
        <row r="419">
          <cell r="C419">
            <v>2</v>
          </cell>
          <cell r="CA419" t="str">
            <v>3982</v>
          </cell>
          <cell r="CB419">
            <v>398</v>
          </cell>
          <cell r="CC419">
            <v>2</v>
          </cell>
          <cell r="CE419">
            <v>411</v>
          </cell>
          <cell r="CF419">
            <v>0</v>
          </cell>
          <cell r="CG419">
            <v>0</v>
          </cell>
          <cell r="CH419">
            <v>0</v>
          </cell>
          <cell r="CI419">
            <v>0</v>
          </cell>
          <cell r="CJ419" t="str">
            <v/>
          </cell>
        </row>
        <row r="420">
          <cell r="C420">
            <v>2</v>
          </cell>
          <cell r="CA420" t="str">
            <v>3992</v>
          </cell>
          <cell r="CB420">
            <v>399</v>
          </cell>
          <cell r="CC420">
            <v>2</v>
          </cell>
          <cell r="CE420">
            <v>412</v>
          </cell>
          <cell r="CF420">
            <v>0</v>
          </cell>
          <cell r="CG420">
            <v>0</v>
          </cell>
          <cell r="CH420">
            <v>0</v>
          </cell>
          <cell r="CI420">
            <v>0</v>
          </cell>
          <cell r="CJ420" t="str">
            <v/>
          </cell>
        </row>
        <row r="421">
          <cell r="C421">
            <v>2</v>
          </cell>
          <cell r="CA421" t="str">
            <v>4002</v>
          </cell>
          <cell r="CB421">
            <v>400</v>
          </cell>
          <cell r="CC421">
            <v>2</v>
          </cell>
          <cell r="CE421">
            <v>413</v>
          </cell>
          <cell r="CF421">
            <v>0</v>
          </cell>
          <cell r="CG421">
            <v>0</v>
          </cell>
          <cell r="CH421">
            <v>0</v>
          </cell>
          <cell r="CI421">
            <v>0</v>
          </cell>
          <cell r="CJ421" t="str">
            <v/>
          </cell>
        </row>
        <row r="422">
          <cell r="C422">
            <v>2</v>
          </cell>
          <cell r="CA422" t="str">
            <v>4012</v>
          </cell>
          <cell r="CB422">
            <v>401</v>
          </cell>
          <cell r="CC422">
            <v>2</v>
          </cell>
          <cell r="CE422">
            <v>414</v>
          </cell>
          <cell r="CF422">
            <v>0</v>
          </cell>
          <cell r="CG422">
            <v>0</v>
          </cell>
          <cell r="CH422">
            <v>0</v>
          </cell>
          <cell r="CI422">
            <v>0</v>
          </cell>
          <cell r="CJ422" t="str">
            <v/>
          </cell>
        </row>
        <row r="423">
          <cell r="C423">
            <v>2</v>
          </cell>
          <cell r="CA423" t="str">
            <v>4022</v>
          </cell>
          <cell r="CB423">
            <v>402</v>
          </cell>
          <cell r="CC423">
            <v>2</v>
          </cell>
          <cell r="CE423">
            <v>415</v>
          </cell>
          <cell r="CF423">
            <v>0</v>
          </cell>
          <cell r="CG423">
            <v>0</v>
          </cell>
          <cell r="CH423">
            <v>0</v>
          </cell>
          <cell r="CI423">
            <v>0</v>
          </cell>
          <cell r="CJ423" t="str">
            <v/>
          </cell>
        </row>
        <row r="424">
          <cell r="C424">
            <v>2</v>
          </cell>
          <cell r="CA424" t="str">
            <v>4032</v>
          </cell>
          <cell r="CB424">
            <v>403</v>
          </cell>
          <cell r="CC424">
            <v>2</v>
          </cell>
          <cell r="CE424">
            <v>416</v>
          </cell>
          <cell r="CF424">
            <v>0</v>
          </cell>
          <cell r="CG424">
            <v>0</v>
          </cell>
          <cell r="CH424">
            <v>0</v>
          </cell>
          <cell r="CI424">
            <v>0</v>
          </cell>
          <cell r="CJ424" t="str">
            <v/>
          </cell>
        </row>
        <row r="425">
          <cell r="C425">
            <v>2</v>
          </cell>
          <cell r="CA425" t="str">
            <v>4042</v>
          </cell>
          <cell r="CB425">
            <v>404</v>
          </cell>
          <cell r="CC425">
            <v>2</v>
          </cell>
          <cell r="CE425">
            <v>417</v>
          </cell>
          <cell r="CF425">
            <v>0</v>
          </cell>
          <cell r="CG425">
            <v>0</v>
          </cell>
          <cell r="CH425">
            <v>0</v>
          </cell>
          <cell r="CI425">
            <v>0</v>
          </cell>
          <cell r="CJ425" t="str">
            <v/>
          </cell>
        </row>
        <row r="426">
          <cell r="C426">
            <v>2</v>
          </cell>
          <cell r="CA426" t="str">
            <v>4052</v>
          </cell>
          <cell r="CB426">
            <v>405</v>
          </cell>
          <cell r="CC426">
            <v>2</v>
          </cell>
          <cell r="CE426">
            <v>418</v>
          </cell>
          <cell r="CF426">
            <v>0</v>
          </cell>
          <cell r="CG426">
            <v>0</v>
          </cell>
          <cell r="CH426">
            <v>0</v>
          </cell>
          <cell r="CI426">
            <v>0</v>
          </cell>
          <cell r="CJ426" t="str">
            <v/>
          </cell>
        </row>
        <row r="427">
          <cell r="C427">
            <v>2</v>
          </cell>
          <cell r="CA427" t="str">
            <v>4062</v>
          </cell>
          <cell r="CB427">
            <v>406</v>
          </cell>
          <cell r="CC427">
            <v>2</v>
          </cell>
          <cell r="CE427">
            <v>419</v>
          </cell>
          <cell r="CF427">
            <v>0</v>
          </cell>
          <cell r="CG427">
            <v>0</v>
          </cell>
          <cell r="CH427">
            <v>0</v>
          </cell>
          <cell r="CI427">
            <v>0</v>
          </cell>
          <cell r="CJ427" t="str">
            <v/>
          </cell>
        </row>
        <row r="428">
          <cell r="C428">
            <v>2</v>
          </cell>
          <cell r="CA428" t="str">
            <v>4072</v>
          </cell>
          <cell r="CB428">
            <v>407</v>
          </cell>
          <cell r="CC428">
            <v>2</v>
          </cell>
          <cell r="CE428">
            <v>420</v>
          </cell>
          <cell r="CF428">
            <v>0</v>
          </cell>
          <cell r="CG428">
            <v>0</v>
          </cell>
          <cell r="CH428">
            <v>0</v>
          </cell>
          <cell r="CI428">
            <v>0</v>
          </cell>
          <cell r="CJ428" t="str">
            <v/>
          </cell>
        </row>
        <row r="429">
          <cell r="C429">
            <v>2</v>
          </cell>
          <cell r="CA429" t="str">
            <v>4082</v>
          </cell>
          <cell r="CB429">
            <v>408</v>
          </cell>
          <cell r="CC429">
            <v>2</v>
          </cell>
          <cell r="CE429">
            <v>421</v>
          </cell>
          <cell r="CF429">
            <v>0</v>
          </cell>
          <cell r="CG429">
            <v>0</v>
          </cell>
          <cell r="CH429">
            <v>0</v>
          </cell>
          <cell r="CI429">
            <v>0</v>
          </cell>
          <cell r="CJ429" t="str">
            <v/>
          </cell>
        </row>
        <row r="430">
          <cell r="C430">
            <v>2</v>
          </cell>
          <cell r="CA430" t="str">
            <v>4092</v>
          </cell>
          <cell r="CB430">
            <v>409</v>
          </cell>
          <cell r="CC430">
            <v>2</v>
          </cell>
          <cell r="CE430">
            <v>422</v>
          </cell>
          <cell r="CF430">
            <v>0</v>
          </cell>
          <cell r="CG430">
            <v>0</v>
          </cell>
          <cell r="CH430">
            <v>0</v>
          </cell>
          <cell r="CI430">
            <v>0</v>
          </cell>
          <cell r="CJ430" t="str">
            <v/>
          </cell>
        </row>
        <row r="431">
          <cell r="C431">
            <v>2</v>
          </cell>
          <cell r="CA431" t="str">
            <v>4102</v>
          </cell>
          <cell r="CB431">
            <v>410</v>
          </cell>
          <cell r="CC431">
            <v>2</v>
          </cell>
          <cell r="CE431">
            <v>423</v>
          </cell>
          <cell r="CF431">
            <v>0</v>
          </cell>
          <cell r="CG431">
            <v>0</v>
          </cell>
          <cell r="CH431">
            <v>0</v>
          </cell>
          <cell r="CI431">
            <v>0</v>
          </cell>
          <cell r="CJ431" t="str">
            <v/>
          </cell>
        </row>
        <row r="432">
          <cell r="C432">
            <v>2</v>
          </cell>
          <cell r="CA432" t="str">
            <v>4112</v>
          </cell>
          <cell r="CB432">
            <v>411</v>
          </cell>
          <cell r="CC432">
            <v>2</v>
          </cell>
          <cell r="CE432">
            <v>424</v>
          </cell>
          <cell r="CF432">
            <v>0</v>
          </cell>
          <cell r="CG432">
            <v>0</v>
          </cell>
          <cell r="CH432">
            <v>0</v>
          </cell>
          <cell r="CI432">
            <v>0</v>
          </cell>
          <cell r="CJ432" t="str">
            <v/>
          </cell>
        </row>
        <row r="433">
          <cell r="C433">
            <v>2</v>
          </cell>
          <cell r="CA433" t="str">
            <v>4122</v>
          </cell>
          <cell r="CB433">
            <v>412</v>
          </cell>
          <cell r="CC433">
            <v>2</v>
          </cell>
          <cell r="CE433">
            <v>425</v>
          </cell>
          <cell r="CF433">
            <v>0</v>
          </cell>
          <cell r="CG433">
            <v>0</v>
          </cell>
          <cell r="CH433">
            <v>0</v>
          </cell>
          <cell r="CI433">
            <v>0</v>
          </cell>
          <cell r="CJ433" t="str">
            <v/>
          </cell>
        </row>
        <row r="434">
          <cell r="C434">
            <v>2</v>
          </cell>
          <cell r="CA434" t="str">
            <v>4132</v>
          </cell>
          <cell r="CB434">
            <v>413</v>
          </cell>
          <cell r="CC434">
            <v>2</v>
          </cell>
          <cell r="CE434">
            <v>426</v>
          </cell>
          <cell r="CF434">
            <v>0</v>
          </cell>
          <cell r="CG434">
            <v>0</v>
          </cell>
          <cell r="CH434">
            <v>0</v>
          </cell>
          <cell r="CI434">
            <v>0</v>
          </cell>
          <cell r="CJ434" t="str">
            <v/>
          </cell>
        </row>
        <row r="435">
          <cell r="C435">
            <v>2</v>
          </cell>
          <cell r="CA435" t="str">
            <v>4142</v>
          </cell>
          <cell r="CB435">
            <v>414</v>
          </cell>
          <cell r="CC435">
            <v>2</v>
          </cell>
          <cell r="CE435">
            <v>427</v>
          </cell>
          <cell r="CF435">
            <v>0</v>
          </cell>
          <cell r="CG435">
            <v>0</v>
          </cell>
          <cell r="CH435">
            <v>0</v>
          </cell>
          <cell r="CI435">
            <v>0</v>
          </cell>
          <cell r="CJ435" t="str">
            <v/>
          </cell>
        </row>
        <row r="436">
          <cell r="C436">
            <v>2</v>
          </cell>
          <cell r="CA436" t="str">
            <v>4152</v>
          </cell>
          <cell r="CB436">
            <v>415</v>
          </cell>
          <cell r="CC436">
            <v>2</v>
          </cell>
          <cell r="CE436">
            <v>428</v>
          </cell>
          <cell r="CF436">
            <v>0</v>
          </cell>
          <cell r="CG436">
            <v>0</v>
          </cell>
          <cell r="CH436">
            <v>0</v>
          </cell>
          <cell r="CI436">
            <v>0</v>
          </cell>
          <cell r="CJ436" t="str">
            <v/>
          </cell>
        </row>
        <row r="437">
          <cell r="C437">
            <v>2</v>
          </cell>
          <cell r="CA437" t="str">
            <v>4162</v>
          </cell>
          <cell r="CB437">
            <v>416</v>
          </cell>
          <cell r="CC437">
            <v>2</v>
          </cell>
          <cell r="CE437">
            <v>429</v>
          </cell>
          <cell r="CF437">
            <v>0</v>
          </cell>
          <cell r="CG437">
            <v>0</v>
          </cell>
          <cell r="CH437">
            <v>0</v>
          </cell>
          <cell r="CI437">
            <v>0</v>
          </cell>
          <cell r="CJ437" t="str">
            <v/>
          </cell>
        </row>
        <row r="438">
          <cell r="C438">
            <v>2</v>
          </cell>
          <cell r="CA438" t="str">
            <v>4172</v>
          </cell>
          <cell r="CB438">
            <v>417</v>
          </cell>
          <cell r="CC438">
            <v>2</v>
          </cell>
          <cell r="CE438">
            <v>430</v>
          </cell>
          <cell r="CF438">
            <v>0</v>
          </cell>
          <cell r="CG438">
            <v>0</v>
          </cell>
          <cell r="CH438">
            <v>0</v>
          </cell>
          <cell r="CI438">
            <v>0</v>
          </cell>
          <cell r="CJ438" t="str">
            <v/>
          </cell>
        </row>
        <row r="439">
          <cell r="C439">
            <v>2</v>
          </cell>
          <cell r="CA439" t="str">
            <v>4182</v>
          </cell>
          <cell r="CB439">
            <v>418</v>
          </cell>
          <cell r="CC439">
            <v>2</v>
          </cell>
          <cell r="CE439">
            <v>431</v>
          </cell>
          <cell r="CF439">
            <v>0</v>
          </cell>
          <cell r="CG439">
            <v>0</v>
          </cell>
          <cell r="CH439">
            <v>0</v>
          </cell>
          <cell r="CI439">
            <v>0</v>
          </cell>
          <cell r="CJ439" t="str">
            <v/>
          </cell>
        </row>
        <row r="440">
          <cell r="C440">
            <v>2</v>
          </cell>
          <cell r="CA440" t="str">
            <v>4192</v>
          </cell>
          <cell r="CB440">
            <v>419</v>
          </cell>
          <cell r="CC440">
            <v>2</v>
          </cell>
          <cell r="CE440">
            <v>432</v>
          </cell>
          <cell r="CF440">
            <v>0</v>
          </cell>
          <cell r="CG440">
            <v>0</v>
          </cell>
          <cell r="CH440">
            <v>0</v>
          </cell>
          <cell r="CI440">
            <v>0</v>
          </cell>
          <cell r="CJ440" t="str">
            <v/>
          </cell>
        </row>
        <row r="441">
          <cell r="C441">
            <v>2</v>
          </cell>
          <cell r="CA441" t="str">
            <v>4202</v>
          </cell>
          <cell r="CB441">
            <v>420</v>
          </cell>
          <cell r="CC441">
            <v>2</v>
          </cell>
          <cell r="CE441">
            <v>433</v>
          </cell>
          <cell r="CF441">
            <v>0</v>
          </cell>
          <cell r="CG441">
            <v>0</v>
          </cell>
          <cell r="CH441">
            <v>0</v>
          </cell>
          <cell r="CI441">
            <v>0</v>
          </cell>
          <cell r="CJ441" t="str">
            <v/>
          </cell>
        </row>
        <row r="442">
          <cell r="C442">
            <v>2</v>
          </cell>
          <cell r="CA442" t="str">
            <v>4212</v>
          </cell>
          <cell r="CB442">
            <v>421</v>
          </cell>
          <cell r="CC442">
            <v>2</v>
          </cell>
          <cell r="CE442">
            <v>434</v>
          </cell>
          <cell r="CF442">
            <v>0</v>
          </cell>
          <cell r="CG442">
            <v>0</v>
          </cell>
          <cell r="CH442">
            <v>0</v>
          </cell>
          <cell r="CI442">
            <v>0</v>
          </cell>
          <cell r="CJ442" t="str">
            <v/>
          </cell>
        </row>
        <row r="443">
          <cell r="C443">
            <v>2</v>
          </cell>
          <cell r="CA443" t="str">
            <v>4222</v>
          </cell>
          <cell r="CB443">
            <v>422</v>
          </cell>
          <cell r="CC443">
            <v>2</v>
          </cell>
          <cell r="CE443">
            <v>435</v>
          </cell>
          <cell r="CF443">
            <v>0</v>
          </cell>
          <cell r="CG443">
            <v>0</v>
          </cell>
          <cell r="CH443">
            <v>0</v>
          </cell>
          <cell r="CI443">
            <v>0</v>
          </cell>
          <cell r="CJ443" t="str">
            <v/>
          </cell>
        </row>
        <row r="444">
          <cell r="C444">
            <v>2</v>
          </cell>
          <cell r="CA444" t="str">
            <v>4232</v>
          </cell>
          <cell r="CB444">
            <v>423</v>
          </cell>
          <cell r="CC444">
            <v>2</v>
          </cell>
          <cell r="CE444">
            <v>436</v>
          </cell>
          <cell r="CF444">
            <v>0</v>
          </cell>
          <cell r="CG444">
            <v>0</v>
          </cell>
          <cell r="CH444">
            <v>0</v>
          </cell>
          <cell r="CI444">
            <v>0</v>
          </cell>
          <cell r="CJ444" t="str">
            <v/>
          </cell>
        </row>
        <row r="445">
          <cell r="C445">
            <v>2</v>
          </cell>
          <cell r="CA445" t="str">
            <v>4242</v>
          </cell>
          <cell r="CB445">
            <v>424</v>
          </cell>
          <cell r="CC445">
            <v>2</v>
          </cell>
          <cell r="CE445">
            <v>437</v>
          </cell>
          <cell r="CF445">
            <v>0</v>
          </cell>
          <cell r="CG445">
            <v>0</v>
          </cell>
          <cell r="CH445">
            <v>0</v>
          </cell>
          <cell r="CI445">
            <v>0</v>
          </cell>
          <cell r="CJ445" t="str">
            <v/>
          </cell>
        </row>
        <row r="446">
          <cell r="C446">
            <v>2</v>
          </cell>
          <cell r="CA446" t="str">
            <v>4252</v>
          </cell>
          <cell r="CB446">
            <v>425</v>
          </cell>
          <cell r="CC446">
            <v>2</v>
          </cell>
          <cell r="CE446">
            <v>438</v>
          </cell>
          <cell r="CF446">
            <v>0</v>
          </cell>
          <cell r="CG446">
            <v>0</v>
          </cell>
          <cell r="CH446">
            <v>0</v>
          </cell>
          <cell r="CI446">
            <v>0</v>
          </cell>
          <cell r="CJ446" t="str">
            <v/>
          </cell>
        </row>
        <row r="447">
          <cell r="C447">
            <v>2</v>
          </cell>
          <cell r="CA447" t="str">
            <v>4262</v>
          </cell>
          <cell r="CB447">
            <v>426</v>
          </cell>
          <cell r="CC447">
            <v>2</v>
          </cell>
          <cell r="CE447">
            <v>439</v>
          </cell>
          <cell r="CF447">
            <v>0</v>
          </cell>
          <cell r="CG447">
            <v>0</v>
          </cell>
          <cell r="CH447">
            <v>0</v>
          </cell>
          <cell r="CI447">
            <v>0</v>
          </cell>
          <cell r="CJ447" t="str">
            <v/>
          </cell>
        </row>
        <row r="448">
          <cell r="C448">
            <v>2</v>
          </cell>
          <cell r="CA448" t="str">
            <v>4272</v>
          </cell>
          <cell r="CB448">
            <v>427</v>
          </cell>
          <cell r="CC448">
            <v>2</v>
          </cell>
          <cell r="CE448">
            <v>440</v>
          </cell>
          <cell r="CF448">
            <v>0</v>
          </cell>
          <cell r="CG448">
            <v>0</v>
          </cell>
          <cell r="CH448">
            <v>0</v>
          </cell>
          <cell r="CI448">
            <v>0</v>
          </cell>
          <cell r="CJ448" t="str">
            <v/>
          </cell>
        </row>
        <row r="449">
          <cell r="C449">
            <v>2</v>
          </cell>
          <cell r="CA449" t="str">
            <v>4282</v>
          </cell>
          <cell r="CB449">
            <v>428</v>
          </cell>
          <cell r="CC449">
            <v>2</v>
          </cell>
          <cell r="CE449">
            <v>441</v>
          </cell>
          <cell r="CF449">
            <v>0</v>
          </cell>
          <cell r="CG449">
            <v>0</v>
          </cell>
          <cell r="CH449">
            <v>0</v>
          </cell>
          <cell r="CI449">
            <v>0</v>
          </cell>
          <cell r="CJ449" t="str">
            <v/>
          </cell>
        </row>
        <row r="450">
          <cell r="C450">
            <v>2</v>
          </cell>
          <cell r="CA450" t="str">
            <v>4292</v>
          </cell>
          <cell r="CB450">
            <v>429</v>
          </cell>
          <cell r="CC450">
            <v>2</v>
          </cell>
          <cell r="CE450">
            <v>442</v>
          </cell>
          <cell r="CF450">
            <v>0</v>
          </cell>
          <cell r="CG450">
            <v>0</v>
          </cell>
          <cell r="CH450">
            <v>0</v>
          </cell>
          <cell r="CI450">
            <v>0</v>
          </cell>
          <cell r="CJ450" t="str">
            <v/>
          </cell>
        </row>
        <row r="451">
          <cell r="C451">
            <v>2</v>
          </cell>
          <cell r="CA451" t="str">
            <v>4302</v>
          </cell>
          <cell r="CB451">
            <v>430</v>
          </cell>
          <cell r="CC451">
            <v>2</v>
          </cell>
          <cell r="CE451">
            <v>443</v>
          </cell>
          <cell r="CF451">
            <v>0</v>
          </cell>
          <cell r="CG451">
            <v>0</v>
          </cell>
          <cell r="CH451">
            <v>0</v>
          </cell>
          <cell r="CI451">
            <v>0</v>
          </cell>
          <cell r="CJ451" t="str">
            <v/>
          </cell>
        </row>
        <row r="452">
          <cell r="C452">
            <v>2</v>
          </cell>
          <cell r="CA452" t="str">
            <v>4312</v>
          </cell>
          <cell r="CB452">
            <v>431</v>
          </cell>
          <cell r="CC452">
            <v>2</v>
          </cell>
          <cell r="CE452">
            <v>444</v>
          </cell>
          <cell r="CF452">
            <v>0</v>
          </cell>
          <cell r="CG452">
            <v>0</v>
          </cell>
          <cell r="CH452">
            <v>0</v>
          </cell>
          <cell r="CI452">
            <v>0</v>
          </cell>
          <cell r="CJ452" t="str">
            <v/>
          </cell>
        </row>
        <row r="453">
          <cell r="C453">
            <v>2</v>
          </cell>
          <cell r="CA453" t="str">
            <v>4322</v>
          </cell>
          <cell r="CB453">
            <v>432</v>
          </cell>
          <cell r="CC453">
            <v>2</v>
          </cell>
          <cell r="CE453">
            <v>445</v>
          </cell>
          <cell r="CF453">
            <v>0</v>
          </cell>
          <cell r="CG453">
            <v>0</v>
          </cell>
          <cell r="CH453">
            <v>0</v>
          </cell>
          <cell r="CI453">
            <v>0</v>
          </cell>
          <cell r="CJ453" t="str">
            <v/>
          </cell>
        </row>
        <row r="454">
          <cell r="C454">
            <v>2</v>
          </cell>
          <cell r="CA454" t="str">
            <v>4332</v>
          </cell>
          <cell r="CB454">
            <v>433</v>
          </cell>
          <cell r="CC454">
            <v>2</v>
          </cell>
          <cell r="CE454">
            <v>446</v>
          </cell>
          <cell r="CF454">
            <v>0</v>
          </cell>
          <cell r="CG454">
            <v>0</v>
          </cell>
          <cell r="CH454">
            <v>0</v>
          </cell>
          <cell r="CI454">
            <v>0</v>
          </cell>
          <cell r="CJ454" t="str">
            <v/>
          </cell>
        </row>
        <row r="455">
          <cell r="C455">
            <v>2</v>
          </cell>
          <cell r="CA455" t="str">
            <v>4342</v>
          </cell>
          <cell r="CB455">
            <v>434</v>
          </cell>
          <cell r="CC455">
            <v>2</v>
          </cell>
          <cell r="CE455">
            <v>447</v>
          </cell>
          <cell r="CF455">
            <v>0</v>
          </cell>
          <cell r="CG455">
            <v>0</v>
          </cell>
          <cell r="CH455">
            <v>0</v>
          </cell>
          <cell r="CI455">
            <v>0</v>
          </cell>
          <cell r="CJ455" t="str">
            <v/>
          </cell>
        </row>
        <row r="456">
          <cell r="C456">
            <v>2</v>
          </cell>
          <cell r="CA456" t="str">
            <v>4352</v>
          </cell>
          <cell r="CB456">
            <v>435</v>
          </cell>
          <cell r="CC456">
            <v>2</v>
          </cell>
          <cell r="CE456">
            <v>448</v>
          </cell>
          <cell r="CF456">
            <v>0</v>
          </cell>
          <cell r="CG456">
            <v>0</v>
          </cell>
          <cell r="CH456">
            <v>0</v>
          </cell>
          <cell r="CI456">
            <v>0</v>
          </cell>
          <cell r="CJ456" t="str">
            <v/>
          </cell>
        </row>
        <row r="457">
          <cell r="C457">
            <v>2</v>
          </cell>
          <cell r="CA457" t="str">
            <v>4362</v>
          </cell>
          <cell r="CB457">
            <v>436</v>
          </cell>
          <cell r="CC457">
            <v>2</v>
          </cell>
          <cell r="CE457">
            <v>449</v>
          </cell>
          <cell r="CF457">
            <v>0</v>
          </cell>
          <cell r="CG457">
            <v>0</v>
          </cell>
          <cell r="CH457">
            <v>0</v>
          </cell>
          <cell r="CI457">
            <v>0</v>
          </cell>
          <cell r="CJ457" t="str">
            <v/>
          </cell>
        </row>
        <row r="458">
          <cell r="C458">
            <v>2</v>
          </cell>
          <cell r="CA458" t="str">
            <v>4372</v>
          </cell>
          <cell r="CB458">
            <v>437</v>
          </cell>
          <cell r="CC458">
            <v>2</v>
          </cell>
          <cell r="CE458">
            <v>450</v>
          </cell>
          <cell r="CF458">
            <v>0</v>
          </cell>
          <cell r="CG458">
            <v>0</v>
          </cell>
          <cell r="CH458">
            <v>0</v>
          </cell>
          <cell r="CI458">
            <v>0</v>
          </cell>
          <cell r="CJ458" t="str">
            <v/>
          </cell>
        </row>
        <row r="459">
          <cell r="C459">
            <v>2</v>
          </cell>
          <cell r="CA459" t="str">
            <v>4382</v>
          </cell>
          <cell r="CB459">
            <v>438</v>
          </cell>
          <cell r="CC459">
            <v>2</v>
          </cell>
          <cell r="CE459">
            <v>451</v>
          </cell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J459" t="str">
            <v/>
          </cell>
        </row>
        <row r="460">
          <cell r="C460">
            <v>2</v>
          </cell>
          <cell r="CA460" t="str">
            <v>4392</v>
          </cell>
          <cell r="CB460">
            <v>439</v>
          </cell>
          <cell r="CC460">
            <v>2</v>
          </cell>
          <cell r="CE460">
            <v>452</v>
          </cell>
          <cell r="CF460">
            <v>0</v>
          </cell>
          <cell r="CG460">
            <v>0</v>
          </cell>
          <cell r="CH460">
            <v>0</v>
          </cell>
          <cell r="CI460">
            <v>0</v>
          </cell>
          <cell r="CJ460" t="str">
            <v/>
          </cell>
        </row>
        <row r="461">
          <cell r="C461">
            <v>2</v>
          </cell>
          <cell r="CA461" t="str">
            <v>4402</v>
          </cell>
          <cell r="CB461">
            <v>440</v>
          </cell>
          <cell r="CC461">
            <v>2</v>
          </cell>
          <cell r="CE461">
            <v>453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 t="str">
            <v/>
          </cell>
        </row>
        <row r="462">
          <cell r="C462">
            <v>2</v>
          </cell>
          <cell r="CA462" t="str">
            <v>4412</v>
          </cell>
          <cell r="CB462">
            <v>441</v>
          </cell>
          <cell r="CC462">
            <v>2</v>
          </cell>
          <cell r="CE462">
            <v>454</v>
          </cell>
          <cell r="CF462">
            <v>0</v>
          </cell>
          <cell r="CG462">
            <v>0</v>
          </cell>
          <cell r="CH462">
            <v>0</v>
          </cell>
          <cell r="CI462">
            <v>0</v>
          </cell>
          <cell r="CJ462" t="str">
            <v/>
          </cell>
        </row>
        <row r="463">
          <cell r="C463">
            <v>2</v>
          </cell>
          <cell r="CA463" t="str">
            <v>4422</v>
          </cell>
          <cell r="CB463">
            <v>442</v>
          </cell>
          <cell r="CC463">
            <v>2</v>
          </cell>
          <cell r="CE463">
            <v>455</v>
          </cell>
          <cell r="CF463">
            <v>0</v>
          </cell>
          <cell r="CG463">
            <v>0</v>
          </cell>
          <cell r="CH463">
            <v>0</v>
          </cell>
          <cell r="CI463">
            <v>0</v>
          </cell>
          <cell r="CJ463" t="str">
            <v/>
          </cell>
        </row>
        <row r="464">
          <cell r="C464">
            <v>2</v>
          </cell>
          <cell r="CA464" t="str">
            <v>4432</v>
          </cell>
          <cell r="CB464">
            <v>443</v>
          </cell>
          <cell r="CC464">
            <v>2</v>
          </cell>
          <cell r="CE464">
            <v>456</v>
          </cell>
          <cell r="CF464">
            <v>0</v>
          </cell>
          <cell r="CG464">
            <v>0</v>
          </cell>
          <cell r="CH464">
            <v>0</v>
          </cell>
          <cell r="CI464">
            <v>0</v>
          </cell>
          <cell r="CJ464" t="str">
            <v/>
          </cell>
        </row>
        <row r="465">
          <cell r="C465">
            <v>2</v>
          </cell>
          <cell r="CA465" t="str">
            <v>4442</v>
          </cell>
          <cell r="CB465">
            <v>444</v>
          </cell>
          <cell r="CC465">
            <v>2</v>
          </cell>
          <cell r="CE465">
            <v>457</v>
          </cell>
          <cell r="CF465">
            <v>0</v>
          </cell>
          <cell r="CG465">
            <v>0</v>
          </cell>
          <cell r="CH465">
            <v>0</v>
          </cell>
          <cell r="CI465">
            <v>0</v>
          </cell>
          <cell r="CJ465" t="str">
            <v/>
          </cell>
        </row>
        <row r="466">
          <cell r="C466">
            <v>2</v>
          </cell>
          <cell r="CA466" t="str">
            <v>4452</v>
          </cell>
          <cell r="CB466">
            <v>445</v>
          </cell>
          <cell r="CC466">
            <v>2</v>
          </cell>
          <cell r="CE466">
            <v>458</v>
          </cell>
          <cell r="CF466">
            <v>0</v>
          </cell>
          <cell r="CG466">
            <v>0</v>
          </cell>
          <cell r="CH466">
            <v>0</v>
          </cell>
          <cell r="CI466">
            <v>0</v>
          </cell>
          <cell r="CJ466" t="str">
            <v/>
          </cell>
        </row>
        <row r="467">
          <cell r="C467">
            <v>2</v>
          </cell>
          <cell r="CA467" t="str">
            <v>4462</v>
          </cell>
          <cell r="CB467">
            <v>446</v>
          </cell>
          <cell r="CC467">
            <v>2</v>
          </cell>
          <cell r="CE467">
            <v>459</v>
          </cell>
          <cell r="CF467">
            <v>0</v>
          </cell>
          <cell r="CG467">
            <v>0</v>
          </cell>
          <cell r="CH467">
            <v>0</v>
          </cell>
          <cell r="CI467">
            <v>0</v>
          </cell>
          <cell r="CJ467" t="str">
            <v/>
          </cell>
        </row>
        <row r="468">
          <cell r="C468">
            <v>2</v>
          </cell>
          <cell r="CA468" t="str">
            <v>4472</v>
          </cell>
          <cell r="CB468">
            <v>447</v>
          </cell>
          <cell r="CC468">
            <v>2</v>
          </cell>
          <cell r="CE468">
            <v>460</v>
          </cell>
          <cell r="CF468">
            <v>0</v>
          </cell>
          <cell r="CG468">
            <v>0</v>
          </cell>
          <cell r="CH468">
            <v>0</v>
          </cell>
          <cell r="CI468">
            <v>0</v>
          </cell>
          <cell r="CJ468" t="str">
            <v/>
          </cell>
        </row>
        <row r="469">
          <cell r="C469">
            <v>2</v>
          </cell>
          <cell r="CA469" t="str">
            <v>4482</v>
          </cell>
          <cell r="CB469">
            <v>448</v>
          </cell>
          <cell r="CC469">
            <v>2</v>
          </cell>
          <cell r="CE469">
            <v>461</v>
          </cell>
          <cell r="CF469">
            <v>0</v>
          </cell>
          <cell r="CG469">
            <v>0</v>
          </cell>
          <cell r="CH469">
            <v>0</v>
          </cell>
          <cell r="CI469">
            <v>0</v>
          </cell>
          <cell r="CJ469" t="str">
            <v/>
          </cell>
        </row>
        <row r="470">
          <cell r="C470">
            <v>2</v>
          </cell>
          <cell r="CA470" t="str">
            <v>4492</v>
          </cell>
          <cell r="CB470">
            <v>449</v>
          </cell>
          <cell r="CC470">
            <v>2</v>
          </cell>
          <cell r="CE470">
            <v>462</v>
          </cell>
          <cell r="CF470">
            <v>0</v>
          </cell>
          <cell r="CG470">
            <v>0</v>
          </cell>
          <cell r="CH470">
            <v>0</v>
          </cell>
          <cell r="CI470">
            <v>0</v>
          </cell>
          <cell r="CJ470" t="str">
            <v/>
          </cell>
        </row>
        <row r="471">
          <cell r="C471">
            <v>2</v>
          </cell>
          <cell r="CA471" t="str">
            <v>4502</v>
          </cell>
          <cell r="CB471">
            <v>450</v>
          </cell>
          <cell r="CC471">
            <v>2</v>
          </cell>
          <cell r="CE471">
            <v>463</v>
          </cell>
          <cell r="CF471">
            <v>0</v>
          </cell>
          <cell r="CG471">
            <v>0</v>
          </cell>
          <cell r="CH471">
            <v>0</v>
          </cell>
          <cell r="CI471">
            <v>0</v>
          </cell>
          <cell r="CJ471" t="str">
            <v/>
          </cell>
        </row>
        <row r="472">
          <cell r="C472">
            <v>2</v>
          </cell>
          <cell r="CA472" t="str">
            <v>4512</v>
          </cell>
          <cell r="CB472">
            <v>451</v>
          </cell>
          <cell r="CC472">
            <v>2</v>
          </cell>
          <cell r="CE472">
            <v>464</v>
          </cell>
          <cell r="CF472">
            <v>0</v>
          </cell>
          <cell r="CG472">
            <v>0</v>
          </cell>
          <cell r="CH472">
            <v>0</v>
          </cell>
          <cell r="CI472">
            <v>0</v>
          </cell>
          <cell r="CJ472" t="str">
            <v/>
          </cell>
        </row>
        <row r="473">
          <cell r="C473">
            <v>2</v>
          </cell>
          <cell r="CA473" t="str">
            <v>4522</v>
          </cell>
          <cell r="CB473">
            <v>452</v>
          </cell>
          <cell r="CC473">
            <v>2</v>
          </cell>
          <cell r="CE473">
            <v>465</v>
          </cell>
          <cell r="CF473">
            <v>0</v>
          </cell>
          <cell r="CG473">
            <v>0</v>
          </cell>
          <cell r="CH473">
            <v>0</v>
          </cell>
          <cell r="CI473">
            <v>0</v>
          </cell>
          <cell r="CJ473" t="str">
            <v/>
          </cell>
        </row>
        <row r="474">
          <cell r="C474">
            <v>2</v>
          </cell>
          <cell r="CA474" t="str">
            <v>4532</v>
          </cell>
          <cell r="CB474">
            <v>453</v>
          </cell>
          <cell r="CC474">
            <v>2</v>
          </cell>
          <cell r="CE474">
            <v>466</v>
          </cell>
          <cell r="CF474">
            <v>0</v>
          </cell>
          <cell r="CG474">
            <v>0</v>
          </cell>
          <cell r="CH474">
            <v>0</v>
          </cell>
          <cell r="CI474">
            <v>0</v>
          </cell>
          <cell r="CJ474" t="str">
            <v/>
          </cell>
        </row>
        <row r="475">
          <cell r="C475">
            <v>2</v>
          </cell>
          <cell r="CA475" t="str">
            <v>4542</v>
          </cell>
          <cell r="CB475">
            <v>454</v>
          </cell>
          <cell r="CC475">
            <v>2</v>
          </cell>
          <cell r="CE475">
            <v>467</v>
          </cell>
          <cell r="CF475">
            <v>0</v>
          </cell>
          <cell r="CG475">
            <v>0</v>
          </cell>
          <cell r="CH475">
            <v>0</v>
          </cell>
          <cell r="CI475">
            <v>0</v>
          </cell>
          <cell r="CJ475" t="str">
            <v/>
          </cell>
        </row>
        <row r="476">
          <cell r="C476">
            <v>2</v>
          </cell>
          <cell r="CA476" t="str">
            <v>4552</v>
          </cell>
          <cell r="CB476">
            <v>455</v>
          </cell>
          <cell r="CC476">
            <v>2</v>
          </cell>
          <cell r="CE476">
            <v>468</v>
          </cell>
          <cell r="CF476">
            <v>0</v>
          </cell>
          <cell r="CG476">
            <v>0</v>
          </cell>
          <cell r="CH476">
            <v>0</v>
          </cell>
          <cell r="CI476">
            <v>0</v>
          </cell>
          <cell r="CJ476" t="str">
            <v/>
          </cell>
        </row>
        <row r="477">
          <cell r="C477">
            <v>2</v>
          </cell>
          <cell r="CA477" t="str">
            <v>4562</v>
          </cell>
          <cell r="CB477">
            <v>456</v>
          </cell>
          <cell r="CC477">
            <v>2</v>
          </cell>
          <cell r="CE477">
            <v>469</v>
          </cell>
          <cell r="CF477">
            <v>0</v>
          </cell>
          <cell r="CG477">
            <v>0</v>
          </cell>
          <cell r="CH477">
            <v>0</v>
          </cell>
          <cell r="CI477">
            <v>0</v>
          </cell>
          <cell r="CJ477" t="str">
            <v/>
          </cell>
        </row>
        <row r="478">
          <cell r="C478">
            <v>2</v>
          </cell>
          <cell r="CA478" t="str">
            <v>4572</v>
          </cell>
          <cell r="CB478">
            <v>457</v>
          </cell>
          <cell r="CC478">
            <v>2</v>
          </cell>
          <cell r="CE478">
            <v>470</v>
          </cell>
          <cell r="CF478">
            <v>0</v>
          </cell>
          <cell r="CG478">
            <v>0</v>
          </cell>
          <cell r="CH478">
            <v>0</v>
          </cell>
          <cell r="CI478">
            <v>0</v>
          </cell>
          <cell r="CJ478" t="str">
            <v/>
          </cell>
        </row>
        <row r="479">
          <cell r="C479">
            <v>2</v>
          </cell>
          <cell r="CA479" t="str">
            <v>4582</v>
          </cell>
          <cell r="CB479">
            <v>458</v>
          </cell>
          <cell r="CC479">
            <v>2</v>
          </cell>
          <cell r="CE479">
            <v>471</v>
          </cell>
          <cell r="CF479">
            <v>0</v>
          </cell>
          <cell r="CG479">
            <v>0</v>
          </cell>
          <cell r="CH479">
            <v>0</v>
          </cell>
          <cell r="CI479">
            <v>0</v>
          </cell>
          <cell r="CJ479" t="str">
            <v/>
          </cell>
        </row>
        <row r="480">
          <cell r="C480">
            <v>2</v>
          </cell>
          <cell r="CA480" t="str">
            <v>4592</v>
          </cell>
          <cell r="CB480">
            <v>459</v>
          </cell>
          <cell r="CC480">
            <v>2</v>
          </cell>
          <cell r="CE480">
            <v>472</v>
          </cell>
          <cell r="CF480">
            <v>0</v>
          </cell>
          <cell r="CG480">
            <v>0</v>
          </cell>
          <cell r="CH480">
            <v>0</v>
          </cell>
          <cell r="CI480">
            <v>0</v>
          </cell>
          <cell r="CJ480" t="str">
            <v/>
          </cell>
        </row>
        <row r="481">
          <cell r="C481">
            <v>2</v>
          </cell>
          <cell r="CA481" t="str">
            <v>4602</v>
          </cell>
          <cell r="CB481">
            <v>460</v>
          </cell>
          <cell r="CC481">
            <v>2</v>
          </cell>
          <cell r="CE481">
            <v>473</v>
          </cell>
          <cell r="CF481">
            <v>0</v>
          </cell>
          <cell r="CG481">
            <v>0</v>
          </cell>
          <cell r="CH481">
            <v>0</v>
          </cell>
          <cell r="CI481">
            <v>0</v>
          </cell>
          <cell r="CJ481" t="str">
            <v/>
          </cell>
        </row>
        <row r="482">
          <cell r="C482">
            <v>2</v>
          </cell>
          <cell r="CA482" t="str">
            <v>4612</v>
          </cell>
          <cell r="CB482">
            <v>461</v>
          </cell>
          <cell r="CC482">
            <v>2</v>
          </cell>
          <cell r="CE482">
            <v>474</v>
          </cell>
          <cell r="CF482">
            <v>0</v>
          </cell>
          <cell r="CG482">
            <v>0</v>
          </cell>
          <cell r="CH482">
            <v>0</v>
          </cell>
          <cell r="CI482">
            <v>0</v>
          </cell>
          <cell r="CJ482" t="str">
            <v/>
          </cell>
        </row>
        <row r="483">
          <cell r="C483">
            <v>2</v>
          </cell>
          <cell r="CA483" t="str">
            <v>4622</v>
          </cell>
          <cell r="CB483">
            <v>462</v>
          </cell>
          <cell r="CC483">
            <v>2</v>
          </cell>
          <cell r="CE483">
            <v>475</v>
          </cell>
          <cell r="CF483">
            <v>0</v>
          </cell>
          <cell r="CG483">
            <v>0</v>
          </cell>
          <cell r="CH483">
            <v>0</v>
          </cell>
          <cell r="CI483">
            <v>0</v>
          </cell>
          <cell r="CJ483" t="str">
            <v/>
          </cell>
        </row>
        <row r="484">
          <cell r="C484">
            <v>2</v>
          </cell>
          <cell r="CA484" t="str">
            <v>4632</v>
          </cell>
          <cell r="CB484">
            <v>463</v>
          </cell>
          <cell r="CC484">
            <v>2</v>
          </cell>
          <cell r="CE484">
            <v>476</v>
          </cell>
          <cell r="CF484">
            <v>0</v>
          </cell>
          <cell r="CG484">
            <v>0</v>
          </cell>
          <cell r="CH484">
            <v>0</v>
          </cell>
          <cell r="CI484">
            <v>0</v>
          </cell>
          <cell r="CJ484" t="str">
            <v/>
          </cell>
        </row>
        <row r="485">
          <cell r="C485">
            <v>2</v>
          </cell>
          <cell r="CA485" t="str">
            <v>4642</v>
          </cell>
          <cell r="CB485">
            <v>464</v>
          </cell>
          <cell r="CC485">
            <v>2</v>
          </cell>
          <cell r="CE485">
            <v>477</v>
          </cell>
          <cell r="CF485">
            <v>0</v>
          </cell>
          <cell r="CG485">
            <v>0</v>
          </cell>
          <cell r="CH485">
            <v>0</v>
          </cell>
          <cell r="CI485">
            <v>0</v>
          </cell>
          <cell r="CJ485" t="str">
            <v/>
          </cell>
        </row>
        <row r="486">
          <cell r="C486">
            <v>2</v>
          </cell>
          <cell r="CA486" t="str">
            <v>4652</v>
          </cell>
          <cell r="CB486">
            <v>465</v>
          </cell>
          <cell r="CC486">
            <v>2</v>
          </cell>
          <cell r="CE486">
            <v>478</v>
          </cell>
          <cell r="CF486">
            <v>0</v>
          </cell>
          <cell r="CG486">
            <v>0</v>
          </cell>
          <cell r="CH486">
            <v>0</v>
          </cell>
          <cell r="CI486">
            <v>0</v>
          </cell>
          <cell r="CJ486" t="str">
            <v/>
          </cell>
        </row>
        <row r="487">
          <cell r="C487">
            <v>2</v>
          </cell>
          <cell r="CA487" t="str">
            <v>4662</v>
          </cell>
          <cell r="CB487">
            <v>466</v>
          </cell>
          <cell r="CC487">
            <v>2</v>
          </cell>
          <cell r="CE487">
            <v>479</v>
          </cell>
          <cell r="CF487">
            <v>0</v>
          </cell>
          <cell r="CG487">
            <v>0</v>
          </cell>
          <cell r="CH487">
            <v>0</v>
          </cell>
          <cell r="CI487">
            <v>0</v>
          </cell>
          <cell r="CJ487" t="str">
            <v/>
          </cell>
        </row>
        <row r="488">
          <cell r="C488">
            <v>2</v>
          </cell>
          <cell r="CA488" t="str">
            <v>4672</v>
          </cell>
          <cell r="CB488">
            <v>467</v>
          </cell>
          <cell r="CC488">
            <v>2</v>
          </cell>
          <cell r="CE488">
            <v>480</v>
          </cell>
          <cell r="CF488">
            <v>0</v>
          </cell>
          <cell r="CG488">
            <v>0</v>
          </cell>
          <cell r="CH488">
            <v>0</v>
          </cell>
          <cell r="CI488">
            <v>0</v>
          </cell>
          <cell r="CJ488" t="str">
            <v/>
          </cell>
        </row>
        <row r="489">
          <cell r="C489">
            <v>2</v>
          </cell>
          <cell r="CA489" t="str">
            <v>4682</v>
          </cell>
          <cell r="CB489">
            <v>468</v>
          </cell>
          <cell r="CC489">
            <v>2</v>
          </cell>
          <cell r="CE489">
            <v>481</v>
          </cell>
          <cell r="CF489">
            <v>0</v>
          </cell>
          <cell r="CG489">
            <v>0</v>
          </cell>
          <cell r="CH489">
            <v>0</v>
          </cell>
          <cell r="CI489">
            <v>0</v>
          </cell>
          <cell r="CJ489" t="str">
            <v/>
          </cell>
        </row>
        <row r="490">
          <cell r="C490">
            <v>2</v>
          </cell>
          <cell r="CA490" t="str">
            <v>4692</v>
          </cell>
          <cell r="CB490">
            <v>469</v>
          </cell>
          <cell r="CC490">
            <v>2</v>
          </cell>
          <cell r="CE490">
            <v>482</v>
          </cell>
          <cell r="CF490">
            <v>0</v>
          </cell>
          <cell r="CG490">
            <v>0</v>
          </cell>
          <cell r="CH490">
            <v>0</v>
          </cell>
          <cell r="CI490">
            <v>0</v>
          </cell>
          <cell r="CJ490" t="str">
            <v/>
          </cell>
        </row>
        <row r="491">
          <cell r="C491">
            <v>2</v>
          </cell>
          <cell r="CA491" t="str">
            <v>4702</v>
          </cell>
          <cell r="CB491">
            <v>470</v>
          </cell>
          <cell r="CC491">
            <v>2</v>
          </cell>
          <cell r="CE491">
            <v>483</v>
          </cell>
          <cell r="CF491">
            <v>0</v>
          </cell>
          <cell r="CG491">
            <v>0</v>
          </cell>
          <cell r="CH491">
            <v>0</v>
          </cell>
          <cell r="CI491">
            <v>0</v>
          </cell>
          <cell r="CJ491" t="str">
            <v/>
          </cell>
        </row>
        <row r="492">
          <cell r="C492">
            <v>2</v>
          </cell>
          <cell r="CA492" t="str">
            <v>4712</v>
          </cell>
          <cell r="CB492">
            <v>471</v>
          </cell>
          <cell r="CC492">
            <v>2</v>
          </cell>
          <cell r="CE492">
            <v>484</v>
          </cell>
          <cell r="CF492">
            <v>0</v>
          </cell>
          <cell r="CG492">
            <v>0</v>
          </cell>
          <cell r="CH492">
            <v>0</v>
          </cell>
          <cell r="CI492">
            <v>0</v>
          </cell>
          <cell r="CJ492" t="str">
            <v/>
          </cell>
        </row>
        <row r="493">
          <cell r="C493">
            <v>2</v>
          </cell>
          <cell r="CA493" t="str">
            <v>4722</v>
          </cell>
          <cell r="CB493">
            <v>472</v>
          </cell>
          <cell r="CC493">
            <v>2</v>
          </cell>
          <cell r="CE493">
            <v>485</v>
          </cell>
          <cell r="CF493">
            <v>0</v>
          </cell>
          <cell r="CG493">
            <v>0</v>
          </cell>
          <cell r="CH493">
            <v>0</v>
          </cell>
          <cell r="CI493">
            <v>0</v>
          </cell>
          <cell r="CJ493" t="str">
            <v/>
          </cell>
        </row>
        <row r="494">
          <cell r="C494">
            <v>2</v>
          </cell>
          <cell r="CA494" t="str">
            <v>4732</v>
          </cell>
          <cell r="CB494">
            <v>473</v>
          </cell>
          <cell r="CC494">
            <v>2</v>
          </cell>
          <cell r="CE494">
            <v>486</v>
          </cell>
          <cell r="CF494">
            <v>0</v>
          </cell>
          <cell r="CG494">
            <v>0</v>
          </cell>
          <cell r="CH494">
            <v>0</v>
          </cell>
          <cell r="CI494">
            <v>0</v>
          </cell>
          <cell r="CJ494" t="str">
            <v/>
          </cell>
        </row>
        <row r="495">
          <cell r="C495">
            <v>2</v>
          </cell>
          <cell r="CA495" t="str">
            <v>4742</v>
          </cell>
          <cell r="CB495">
            <v>474</v>
          </cell>
          <cell r="CC495">
            <v>2</v>
          </cell>
          <cell r="CE495">
            <v>487</v>
          </cell>
          <cell r="CF495">
            <v>0</v>
          </cell>
          <cell r="CG495">
            <v>0</v>
          </cell>
          <cell r="CH495">
            <v>0</v>
          </cell>
          <cell r="CI495">
            <v>0</v>
          </cell>
          <cell r="CJ495" t="str">
            <v/>
          </cell>
        </row>
        <row r="496">
          <cell r="C496">
            <v>2</v>
          </cell>
          <cell r="CA496" t="str">
            <v>4752</v>
          </cell>
          <cell r="CB496">
            <v>475</v>
          </cell>
          <cell r="CC496">
            <v>2</v>
          </cell>
          <cell r="CE496">
            <v>488</v>
          </cell>
          <cell r="CF496">
            <v>0</v>
          </cell>
          <cell r="CG496">
            <v>0</v>
          </cell>
          <cell r="CH496">
            <v>0</v>
          </cell>
          <cell r="CI496">
            <v>0</v>
          </cell>
          <cell r="CJ496" t="str">
            <v/>
          </cell>
        </row>
        <row r="497">
          <cell r="C497">
            <v>2</v>
          </cell>
          <cell r="CA497" t="str">
            <v>4762</v>
          </cell>
          <cell r="CB497">
            <v>476</v>
          </cell>
          <cell r="CC497">
            <v>2</v>
          </cell>
          <cell r="CE497">
            <v>489</v>
          </cell>
          <cell r="CF497">
            <v>0</v>
          </cell>
          <cell r="CG497">
            <v>0</v>
          </cell>
          <cell r="CH497">
            <v>0</v>
          </cell>
          <cell r="CI497">
            <v>0</v>
          </cell>
          <cell r="CJ497" t="str">
            <v/>
          </cell>
        </row>
        <row r="498">
          <cell r="C498">
            <v>2</v>
          </cell>
          <cell r="CA498" t="str">
            <v>4772</v>
          </cell>
          <cell r="CB498">
            <v>477</v>
          </cell>
          <cell r="CC498">
            <v>2</v>
          </cell>
          <cell r="CE498">
            <v>490</v>
          </cell>
          <cell r="CF498">
            <v>0</v>
          </cell>
          <cell r="CG498">
            <v>0</v>
          </cell>
          <cell r="CH498">
            <v>0</v>
          </cell>
          <cell r="CI498">
            <v>0</v>
          </cell>
          <cell r="CJ498" t="str">
            <v/>
          </cell>
        </row>
        <row r="499">
          <cell r="C499">
            <v>2</v>
          </cell>
          <cell r="CA499" t="str">
            <v>4782</v>
          </cell>
          <cell r="CB499">
            <v>478</v>
          </cell>
          <cell r="CC499">
            <v>2</v>
          </cell>
          <cell r="CE499">
            <v>491</v>
          </cell>
          <cell r="CF499">
            <v>0</v>
          </cell>
          <cell r="CG499">
            <v>0</v>
          </cell>
          <cell r="CH499">
            <v>0</v>
          </cell>
          <cell r="CI499">
            <v>0</v>
          </cell>
          <cell r="CJ499" t="str">
            <v/>
          </cell>
        </row>
        <row r="500">
          <cell r="C500">
            <v>2</v>
          </cell>
          <cell r="CA500" t="str">
            <v>4792</v>
          </cell>
          <cell r="CB500">
            <v>479</v>
          </cell>
          <cell r="CC500">
            <v>2</v>
          </cell>
          <cell r="CE500">
            <v>492</v>
          </cell>
          <cell r="CF500">
            <v>0</v>
          </cell>
          <cell r="CG500">
            <v>0</v>
          </cell>
          <cell r="CH500">
            <v>0</v>
          </cell>
          <cell r="CI500">
            <v>0</v>
          </cell>
          <cell r="CJ500" t="str">
            <v/>
          </cell>
        </row>
        <row r="501">
          <cell r="C501">
            <v>2</v>
          </cell>
          <cell r="CA501" t="str">
            <v>4802</v>
          </cell>
          <cell r="CB501">
            <v>480</v>
          </cell>
          <cell r="CC501">
            <v>2</v>
          </cell>
          <cell r="CE501">
            <v>493</v>
          </cell>
          <cell r="CF501">
            <v>0</v>
          </cell>
          <cell r="CG501">
            <v>0</v>
          </cell>
          <cell r="CH501">
            <v>0</v>
          </cell>
          <cell r="CI501">
            <v>0</v>
          </cell>
          <cell r="CJ501" t="str">
            <v/>
          </cell>
        </row>
        <row r="502">
          <cell r="C502">
            <v>2</v>
          </cell>
          <cell r="CA502" t="str">
            <v>4812</v>
          </cell>
          <cell r="CB502">
            <v>481</v>
          </cell>
          <cell r="CC502">
            <v>2</v>
          </cell>
          <cell r="CE502">
            <v>494</v>
          </cell>
          <cell r="CF502">
            <v>0</v>
          </cell>
          <cell r="CG502">
            <v>0</v>
          </cell>
          <cell r="CH502">
            <v>0</v>
          </cell>
          <cell r="CI502">
            <v>0</v>
          </cell>
          <cell r="CJ502" t="str">
            <v/>
          </cell>
        </row>
        <row r="503">
          <cell r="C503">
            <v>2</v>
          </cell>
          <cell r="CA503" t="str">
            <v>4822</v>
          </cell>
          <cell r="CB503">
            <v>482</v>
          </cell>
          <cell r="CC503">
            <v>2</v>
          </cell>
          <cell r="CE503">
            <v>495</v>
          </cell>
          <cell r="CF503">
            <v>0</v>
          </cell>
          <cell r="CG503">
            <v>0</v>
          </cell>
          <cell r="CH503">
            <v>0</v>
          </cell>
          <cell r="CI503">
            <v>0</v>
          </cell>
          <cell r="CJ503" t="str">
            <v/>
          </cell>
        </row>
        <row r="504">
          <cell r="C504">
            <v>2</v>
          </cell>
          <cell r="CA504" t="str">
            <v>4832</v>
          </cell>
          <cell r="CB504">
            <v>483</v>
          </cell>
          <cell r="CC504">
            <v>2</v>
          </cell>
          <cell r="CE504">
            <v>496</v>
          </cell>
          <cell r="CF504">
            <v>0</v>
          </cell>
          <cell r="CG504">
            <v>0</v>
          </cell>
          <cell r="CH504">
            <v>0</v>
          </cell>
          <cell r="CI504">
            <v>0</v>
          </cell>
          <cell r="CJ504" t="str">
            <v/>
          </cell>
        </row>
        <row r="505">
          <cell r="C505">
            <v>2</v>
          </cell>
          <cell r="CA505" t="str">
            <v>4842</v>
          </cell>
          <cell r="CB505">
            <v>484</v>
          </cell>
          <cell r="CC505">
            <v>2</v>
          </cell>
          <cell r="CE505">
            <v>497</v>
          </cell>
          <cell r="CF505">
            <v>0</v>
          </cell>
          <cell r="CG505">
            <v>0</v>
          </cell>
          <cell r="CH505">
            <v>0</v>
          </cell>
          <cell r="CI505">
            <v>0</v>
          </cell>
          <cell r="CJ505" t="str">
            <v/>
          </cell>
        </row>
        <row r="506">
          <cell r="C506">
            <v>2</v>
          </cell>
          <cell r="CA506" t="str">
            <v>4852</v>
          </cell>
          <cell r="CB506">
            <v>485</v>
          </cell>
          <cell r="CC506">
            <v>2</v>
          </cell>
          <cell r="CE506">
            <v>498</v>
          </cell>
          <cell r="CF506">
            <v>0</v>
          </cell>
          <cell r="CG506">
            <v>0</v>
          </cell>
          <cell r="CH506">
            <v>0</v>
          </cell>
          <cell r="CI506">
            <v>0</v>
          </cell>
          <cell r="CJ506" t="str">
            <v/>
          </cell>
        </row>
        <row r="507">
          <cell r="C507">
            <v>2</v>
          </cell>
          <cell r="CA507" t="str">
            <v>4862</v>
          </cell>
          <cell r="CB507">
            <v>486</v>
          </cell>
          <cell r="CC507">
            <v>2</v>
          </cell>
          <cell r="CE507">
            <v>499</v>
          </cell>
          <cell r="CF507">
            <v>0</v>
          </cell>
          <cell r="CG507">
            <v>0</v>
          </cell>
          <cell r="CH507">
            <v>0</v>
          </cell>
          <cell r="CI507">
            <v>0</v>
          </cell>
          <cell r="CJ507" t="str">
            <v/>
          </cell>
        </row>
        <row r="508">
          <cell r="C508">
            <v>2</v>
          </cell>
          <cell r="CA508" t="str">
            <v>4872</v>
          </cell>
          <cell r="CB508">
            <v>487</v>
          </cell>
          <cell r="CC508">
            <v>2</v>
          </cell>
          <cell r="CE508">
            <v>500</v>
          </cell>
          <cell r="CF508">
            <v>0</v>
          </cell>
          <cell r="CG508">
            <v>0</v>
          </cell>
          <cell r="CH508">
            <v>0</v>
          </cell>
          <cell r="CI508">
            <v>0</v>
          </cell>
          <cell r="CJ508" t="str">
            <v/>
          </cell>
        </row>
      </sheetData>
      <sheetData sheetId="3">
        <row r="12">
          <cell r="DC12" t="str">
            <v>K/1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S Gabung"/>
      <sheetName val="Catatan Gab"/>
      <sheetName val="AT"/>
      <sheetName val="Hutang Leasing"/>
      <sheetName val="Neraca"/>
      <sheetName val="Ekuitas"/>
      <sheetName val="WS Gmpng"/>
      <sheetName val="WS Ka"/>
      <sheetName val="WS Gomb"/>
      <sheetName val="LR"/>
      <sheetName val="Arus Kas"/>
      <sheetName val="Adjustment"/>
      <sheetName val="GLMASTER"/>
      <sheetName val="BI JUNI 2006"/>
      <sheetName val="Data1"/>
      <sheetName val="JUAL"/>
      <sheetName val="BELI"/>
      <sheetName val="BBRI-J"/>
      <sheetName val="N-SMGR"/>
      <sheetName val="LAPD"/>
      <sheetName val="N-AALI"/>
      <sheetName val="ADIRA-N"/>
      <sheetName val="ANTA"/>
      <sheetName val="N-ASII"/>
      <sheetName val="BBCAJ"/>
      <sheetName val="BBCA"/>
      <sheetName val="BBRI-N"/>
      <sheetName val="BMRI"/>
      <sheetName val="DNKS-N"/>
      <sheetName val="IDSR"/>
      <sheetName val="JIHD-J"/>
      <sheetName val="ISAT"/>
      <sheetName val="N-ISAT"/>
      <sheetName val="N-JIHD"/>
      <sheetName val="N-KLBF"/>
      <sheetName val="N-TLKM"/>
      <sheetName val="N-UNTR"/>
      <sheetName val="N-UNVR"/>
      <sheetName val="Aktivitas"/>
      <sheetName val="SajiNrc"/>
      <sheetName val="SajiLR"/>
      <sheetName val="BB-PD 2004"/>
      <sheetName val="Neraca Harian Lengkap KTB"/>
      <sheetName val="Neraca Harian Lengkap KTN"/>
      <sheetName val="Neraca Harian Lengkap LWA"/>
      <sheetName val="Neraca Harian Lengkap TBT"/>
      <sheetName val="Neraca Harian Lengkap WKN"/>
      <sheetName val="Akun"/>
      <sheetName val="Data GL"/>
      <sheetName val="tunj"/>
      <sheetName val="Kodeakun"/>
      <sheetName val="REKAP_EVENT"/>
      <sheetName val="Mutasi"/>
      <sheetName val="AP-NR"/>
      <sheetName val="Sheet1"/>
      <sheetName val="GeneralInfo"/>
      <sheetName val="Entry  HTM"/>
      <sheetName val="Entry Broker"/>
      <sheetName val="SK HTM"/>
      <sheetName val="Kartu"/>
      <sheetName val="1721-A1_2014"/>
      <sheetName val="KEUANGAN"/>
      <sheetName val="TKS-BMPK"/>
      <sheetName val="Kode"/>
      <sheetName val="Jurnal"/>
      <sheetName val="WS_Gabung1"/>
      <sheetName val="Catatan_Gab1"/>
      <sheetName val="Hutang_Leasing1"/>
      <sheetName val="WS_Gmpng1"/>
      <sheetName val="WS_Ka1"/>
      <sheetName val="WS_Gomb1"/>
      <sheetName val="Arus_Kas1"/>
      <sheetName val="BI_JUNI_20061"/>
      <sheetName val="BB-PD_20041"/>
      <sheetName val="Neraca_Harian_Lengkap_KTB1"/>
      <sheetName val="Neraca_Harian_Lengkap_KTN1"/>
      <sheetName val="Neraca_Harian_Lengkap_LWA1"/>
      <sheetName val="Neraca_Harian_Lengkap_TBT1"/>
      <sheetName val="Neraca_Harian_Lengkap_WKN1"/>
      <sheetName val="WS_Gabung"/>
      <sheetName val="Catatan_Gab"/>
      <sheetName val="Hutang_Leasing"/>
      <sheetName val="WS_Gmpng"/>
      <sheetName val="WS_Ka"/>
      <sheetName val="WS_Gomb"/>
      <sheetName val="Arus_Kas"/>
      <sheetName val="BI_JUNI_2006"/>
      <sheetName val="BB-PD_2004"/>
      <sheetName val="Neraca_Harian_Lengkap_KTB"/>
      <sheetName val="Neraca_Harian_Lengkap_KTN"/>
      <sheetName val="Neraca_Harian_Lengkap_LWA"/>
      <sheetName val="Neraca_Harian_Lengkap_TBT"/>
      <sheetName val="Neraca_Harian_Lengkap_WKN"/>
      <sheetName val="WS_Gabung2"/>
      <sheetName val="Catatan_Gab2"/>
      <sheetName val="Hutang_Leasing2"/>
      <sheetName val="WS_Gmpng2"/>
      <sheetName val="WS_Ka2"/>
      <sheetName val="WS_Gomb2"/>
      <sheetName val="Arus_Kas2"/>
      <sheetName val="BI_JUNI_20062"/>
      <sheetName val="BB-PD_20042"/>
      <sheetName val="Neraca_Harian_Lengkap_KTB2"/>
      <sheetName val="Neraca_Harian_Lengkap_KTN2"/>
      <sheetName val="Neraca_Harian_Lengkap_LWA2"/>
      <sheetName val="Neraca_Harian_Lengkap_TBT2"/>
      <sheetName val="Neraca_Harian_Lengkap_WKN2"/>
      <sheetName val="KASUS2"/>
      <sheetName val="INDUK2"/>
      <sheetName val="Desc "/>
      <sheetName val="CSGspbuGabungan2002"/>
      <sheetName val="data"/>
      <sheetName val="Lembar Penghitungan"/>
      <sheetName val="Lembar Penolo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9">
          <cell r="A9" t="str">
            <v>1110101</v>
          </cell>
          <cell r="B9">
            <v>0</v>
          </cell>
          <cell r="C9" t="str">
            <v>KAS SPBU 44.552.07 GAMPING</v>
          </cell>
          <cell r="D9">
            <v>25663345</v>
          </cell>
          <cell r="E9">
            <v>2295538975</v>
          </cell>
          <cell r="F9">
            <v>2230498338</v>
          </cell>
          <cell r="G9">
            <v>2211473630</v>
          </cell>
          <cell r="H9">
            <v>2158152259</v>
          </cell>
          <cell r="I9">
            <v>2553913966</v>
          </cell>
          <cell r="J9">
            <v>2504474409</v>
          </cell>
          <cell r="K9">
            <v>2423593920</v>
          </cell>
          <cell r="L9">
            <v>2483260224</v>
          </cell>
          <cell r="M9">
            <v>2993394865</v>
          </cell>
          <cell r="N9">
            <v>3076021896</v>
          </cell>
          <cell r="O9">
            <v>2787243925</v>
          </cell>
          <cell r="P9">
            <v>2580256734</v>
          </cell>
          <cell r="Q9">
            <v>3029823950</v>
          </cell>
          <cell r="R9">
            <v>3212290460</v>
          </cell>
          <cell r="S9">
            <v>2852635589</v>
          </cell>
          <cell r="T9">
            <v>2797447151</v>
          </cell>
          <cell r="U9">
            <v>2702419050</v>
          </cell>
          <cell r="V9">
            <v>2766587144</v>
          </cell>
          <cell r="W9">
            <v>3128799000</v>
          </cell>
          <cell r="X9">
            <v>3024030691</v>
          </cell>
          <cell r="Y9">
            <v>3234049580</v>
          </cell>
          <cell r="Z9">
            <v>3256477940</v>
          </cell>
          <cell r="AA9">
            <v>3743181389</v>
          </cell>
          <cell r="AB9">
            <v>3774355012</v>
          </cell>
          <cell r="AC9">
            <v>33956067839</v>
          </cell>
          <cell r="AD9">
            <v>33863852258</v>
          </cell>
        </row>
        <row r="10">
          <cell r="A10" t="str">
            <v>1110102</v>
          </cell>
          <cell r="B10">
            <v>0</v>
          </cell>
          <cell r="C10" t="str">
            <v>KAS KECIL SPBU 44.552.07 GAMPING</v>
          </cell>
          <cell r="D10">
            <v>1000000</v>
          </cell>
          <cell r="E10">
            <v>2986543</v>
          </cell>
          <cell r="F10">
            <v>3402573</v>
          </cell>
          <cell r="G10">
            <v>3175853</v>
          </cell>
          <cell r="H10">
            <v>3304074</v>
          </cell>
          <cell r="I10">
            <v>4135520</v>
          </cell>
          <cell r="J10">
            <v>4243769</v>
          </cell>
          <cell r="K10">
            <v>3092820</v>
          </cell>
          <cell r="L10">
            <v>3215096</v>
          </cell>
          <cell r="M10">
            <v>4120327</v>
          </cell>
          <cell r="N10">
            <v>4000617</v>
          </cell>
          <cell r="O10">
            <v>3124750</v>
          </cell>
          <cell r="P10">
            <v>3198175</v>
          </cell>
          <cell r="Q10">
            <v>2905565</v>
          </cell>
          <cell r="R10">
            <v>2441340</v>
          </cell>
          <cell r="S10">
            <v>3033625</v>
          </cell>
          <cell r="T10">
            <v>2781230</v>
          </cell>
          <cell r="U10">
            <v>1925579</v>
          </cell>
          <cell r="V10">
            <v>2624980</v>
          </cell>
          <cell r="W10">
            <v>2707900</v>
          </cell>
          <cell r="X10">
            <v>2469060</v>
          </cell>
          <cell r="Y10">
            <v>3207435</v>
          </cell>
          <cell r="Z10">
            <v>2436380</v>
          </cell>
          <cell r="AA10">
            <v>2598484</v>
          </cell>
          <cell r="AB10">
            <v>3399137</v>
          </cell>
          <cell r="AC10">
            <v>37014401</v>
          </cell>
          <cell r="AD10">
            <v>37516431</v>
          </cell>
        </row>
        <row r="12">
          <cell r="A12" t="str">
            <v>1110200</v>
          </cell>
          <cell r="B12" t="str">
            <v>BANK</v>
          </cell>
        </row>
        <row r="13">
          <cell r="A13" t="str">
            <v>1110201</v>
          </cell>
          <cell r="B13">
            <v>0</v>
          </cell>
          <cell r="C13" t="str">
            <v>BNI 46 TRIKORA REK.011962-001</v>
          </cell>
          <cell r="D13">
            <v>903693</v>
          </cell>
          <cell r="E13">
            <v>1758793970</v>
          </cell>
          <cell r="F13">
            <v>1757019200</v>
          </cell>
          <cell r="G13">
            <v>1995791660</v>
          </cell>
          <cell r="H13">
            <v>1993507200</v>
          </cell>
          <cell r="I13">
            <v>2366294790</v>
          </cell>
          <cell r="J13">
            <v>2367578900</v>
          </cell>
          <cell r="K13">
            <v>2248390000</v>
          </cell>
          <cell r="L13">
            <v>2236154200</v>
          </cell>
          <cell r="M13">
            <v>2799544690</v>
          </cell>
          <cell r="N13">
            <v>2812109300</v>
          </cell>
          <cell r="O13">
            <v>2396740360</v>
          </cell>
          <cell r="P13">
            <v>2396631200</v>
          </cell>
          <cell r="Q13">
            <v>2923951240</v>
          </cell>
          <cell r="R13">
            <v>2922901200</v>
          </cell>
          <cell r="S13">
            <v>2576408560</v>
          </cell>
          <cell r="T13">
            <v>2578708120</v>
          </cell>
          <cell r="U13">
            <v>2511058130</v>
          </cell>
          <cell r="V13">
            <v>2484434080</v>
          </cell>
          <cell r="W13">
            <v>2452123110</v>
          </cell>
          <cell r="X13">
            <v>2464036000</v>
          </cell>
          <cell r="Y13">
            <v>2460049260</v>
          </cell>
          <cell r="Z13">
            <v>2467696880</v>
          </cell>
          <cell r="AA13">
            <v>1528991050</v>
          </cell>
          <cell r="AB13">
            <v>1528199000</v>
          </cell>
          <cell r="AC13">
            <v>28018136820</v>
          </cell>
          <cell r="AD13">
            <v>28008975280</v>
          </cell>
        </row>
        <row r="14">
          <cell r="A14" t="str">
            <v>1110202</v>
          </cell>
          <cell r="B14">
            <v>0</v>
          </cell>
          <cell r="C14" t="str">
            <v>BANK MANDIRI YKT 137-0001187158</v>
          </cell>
          <cell r="D14">
            <v>940000</v>
          </cell>
          <cell r="E14">
            <v>0</v>
          </cell>
          <cell r="F14">
            <v>10000</v>
          </cell>
          <cell r="G14">
            <v>0</v>
          </cell>
          <cell r="H14">
            <v>10000</v>
          </cell>
          <cell r="I14">
            <v>0</v>
          </cell>
          <cell r="J14">
            <v>10000</v>
          </cell>
          <cell r="K14">
            <v>0</v>
          </cell>
          <cell r="L14">
            <v>10000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80000</v>
          </cell>
          <cell r="AC14">
            <v>0</v>
          </cell>
          <cell r="AD14">
            <v>120000</v>
          </cell>
        </row>
        <row r="15">
          <cell r="A15" t="str">
            <v>1110203</v>
          </cell>
          <cell r="B15">
            <v>0</v>
          </cell>
          <cell r="C15" t="str">
            <v>BANK MANDIRI (SHU) 137-0094037849 TABUNGAN</v>
          </cell>
          <cell r="D15">
            <v>50000000</v>
          </cell>
          <cell r="E15">
            <v>10000000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10000000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20000000</v>
          </cell>
          <cell r="T15">
            <v>0</v>
          </cell>
          <cell r="U15">
            <v>0</v>
          </cell>
          <cell r="V15">
            <v>0</v>
          </cell>
          <cell r="W15">
            <v>112000000</v>
          </cell>
          <cell r="X15">
            <v>112000000</v>
          </cell>
          <cell r="Y15">
            <v>0</v>
          </cell>
          <cell r="Z15">
            <v>0</v>
          </cell>
          <cell r="AA15">
            <v>150000000</v>
          </cell>
          <cell r="AB15">
            <v>0</v>
          </cell>
          <cell r="AC15">
            <v>302000000</v>
          </cell>
          <cell r="AD15">
            <v>112000000</v>
          </cell>
        </row>
        <row r="18">
          <cell r="A18" t="str">
            <v>1140201</v>
          </cell>
          <cell r="B18" t="str">
            <v>PIUTANG KARYAWAN SPBU 44.552.07 GAMPING</v>
          </cell>
          <cell r="C18">
            <v>0</v>
          </cell>
          <cell r="D18">
            <v>500000</v>
          </cell>
          <cell r="E18">
            <v>400000</v>
          </cell>
          <cell r="F18">
            <v>0</v>
          </cell>
          <cell r="G18">
            <v>200000</v>
          </cell>
          <cell r="H18">
            <v>400000</v>
          </cell>
          <cell r="I18">
            <v>15500</v>
          </cell>
          <cell r="J18">
            <v>115500</v>
          </cell>
          <cell r="K18">
            <v>0</v>
          </cell>
          <cell r="L18">
            <v>100000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2326000</v>
          </cell>
          <cell r="V18">
            <v>2326000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2941500</v>
          </cell>
          <cell r="AD18">
            <v>2941500</v>
          </cell>
        </row>
        <row r="20">
          <cell r="A20" t="str">
            <v>1140300</v>
          </cell>
          <cell r="B20" t="str">
            <v>PIUTANG AFILIASI</v>
          </cell>
        </row>
        <row r="21">
          <cell r="A21" t="str">
            <v>1140301</v>
          </cell>
          <cell r="B21">
            <v>0</v>
          </cell>
          <cell r="C21" t="str">
            <v>PA-SPBU KARANGANYAR</v>
          </cell>
          <cell r="D21">
            <v>-10170055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500000</v>
          </cell>
          <cell r="J21">
            <v>6335060</v>
          </cell>
          <cell r="K21">
            <v>5835060</v>
          </cell>
          <cell r="L21">
            <v>0</v>
          </cell>
          <cell r="M21">
            <v>10000000</v>
          </cell>
          <cell r="N21">
            <v>10000000</v>
          </cell>
          <cell r="O21">
            <v>0</v>
          </cell>
          <cell r="P21">
            <v>10000000</v>
          </cell>
          <cell r="Q21">
            <v>4000000</v>
          </cell>
          <cell r="R21">
            <v>6136960</v>
          </cell>
          <cell r="S21">
            <v>2136960</v>
          </cell>
          <cell r="T21">
            <v>0</v>
          </cell>
          <cell r="U21">
            <v>31907500</v>
          </cell>
          <cell r="V21">
            <v>36500000</v>
          </cell>
          <cell r="W21">
            <v>20000000</v>
          </cell>
          <cell r="X21">
            <v>0</v>
          </cell>
          <cell r="Y21">
            <v>7725000</v>
          </cell>
          <cell r="Z21">
            <v>20000000</v>
          </cell>
          <cell r="AA21">
            <v>150000000</v>
          </cell>
          <cell r="AB21">
            <v>100975000</v>
          </cell>
          <cell r="AC21">
            <v>232104520</v>
          </cell>
          <cell r="AD21">
            <v>189947020</v>
          </cell>
        </row>
        <row r="22">
          <cell r="A22" t="str">
            <v>1140302</v>
          </cell>
          <cell r="B22">
            <v>0</v>
          </cell>
          <cell r="C22" t="str">
            <v>PA-SPBU GOMBONG</v>
          </cell>
          <cell r="D22">
            <v>18736199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500000</v>
          </cell>
          <cell r="J22">
            <v>500000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20000000</v>
          </cell>
          <cell r="Q22">
            <v>4000000</v>
          </cell>
          <cell r="R22">
            <v>5534550</v>
          </cell>
          <cell r="S22">
            <v>1534540</v>
          </cell>
          <cell r="T22">
            <v>0</v>
          </cell>
          <cell r="U22">
            <v>6250000</v>
          </cell>
          <cell r="V22">
            <v>16500000</v>
          </cell>
          <cell r="W22">
            <v>0</v>
          </cell>
          <cell r="X22">
            <v>0</v>
          </cell>
          <cell r="Y22">
            <v>450000</v>
          </cell>
          <cell r="Z22">
            <v>0</v>
          </cell>
          <cell r="AA22">
            <v>40000000</v>
          </cell>
          <cell r="AB22">
            <v>40450000</v>
          </cell>
          <cell r="AC22">
            <v>52734540</v>
          </cell>
          <cell r="AD22">
            <v>82984550</v>
          </cell>
        </row>
        <row r="23">
          <cell r="A23" t="str">
            <v>1140308</v>
          </cell>
          <cell r="B23">
            <v>0</v>
          </cell>
          <cell r="C23" t="str">
            <v>PA-RUMAH MAKAN CANDISARI  YK</v>
          </cell>
          <cell r="D23">
            <v>2521400</v>
          </cell>
          <cell r="E23">
            <v>978600</v>
          </cell>
          <cell r="F23">
            <v>624500</v>
          </cell>
          <cell r="G23">
            <v>624500</v>
          </cell>
          <cell r="H23">
            <v>521800</v>
          </cell>
          <cell r="I23">
            <v>519050</v>
          </cell>
          <cell r="J23">
            <v>534200</v>
          </cell>
          <cell r="K23">
            <v>816210</v>
          </cell>
          <cell r="L23">
            <v>579000</v>
          </cell>
          <cell r="M23">
            <v>1129987</v>
          </cell>
          <cell r="N23">
            <v>615000</v>
          </cell>
          <cell r="O23">
            <v>1142687</v>
          </cell>
          <cell r="P23">
            <v>517100</v>
          </cell>
          <cell r="Q23">
            <v>1030071</v>
          </cell>
          <cell r="R23">
            <v>608700</v>
          </cell>
          <cell r="S23">
            <v>1162629</v>
          </cell>
          <cell r="T23">
            <v>659000</v>
          </cell>
          <cell r="U23">
            <v>1155170</v>
          </cell>
          <cell r="V23">
            <v>691600</v>
          </cell>
          <cell r="W23">
            <v>3569558</v>
          </cell>
          <cell r="X23">
            <v>712200</v>
          </cell>
          <cell r="Y23">
            <v>2085282</v>
          </cell>
          <cell r="Z23">
            <v>8267194</v>
          </cell>
          <cell r="AA23">
            <v>860750</v>
          </cell>
          <cell r="AB23">
            <v>744200</v>
          </cell>
          <cell r="AC23">
            <v>15074494</v>
          </cell>
          <cell r="AD23">
            <v>15074494</v>
          </cell>
        </row>
        <row r="24">
          <cell r="A24" t="str">
            <v>1140309</v>
          </cell>
          <cell r="B24">
            <v>0</v>
          </cell>
          <cell r="C24" t="str">
            <v>PA-IBU SUTINI SS</v>
          </cell>
          <cell r="D24">
            <v>9797559</v>
          </cell>
          <cell r="E24">
            <v>121000000</v>
          </cell>
          <cell r="F24">
            <v>112000000</v>
          </cell>
          <cell r="G24">
            <v>185000000</v>
          </cell>
          <cell r="H24">
            <v>144000000</v>
          </cell>
          <cell r="I24">
            <v>369200000</v>
          </cell>
          <cell r="J24">
            <v>365000000</v>
          </cell>
          <cell r="K24">
            <v>9500000</v>
          </cell>
          <cell r="L24">
            <v>18700000</v>
          </cell>
          <cell r="M24">
            <v>181652000</v>
          </cell>
          <cell r="N24">
            <v>179600000</v>
          </cell>
          <cell r="O24">
            <v>61738500</v>
          </cell>
          <cell r="P24">
            <v>52500000</v>
          </cell>
          <cell r="Q24">
            <v>29915000</v>
          </cell>
          <cell r="R24">
            <v>39790500</v>
          </cell>
          <cell r="S24">
            <v>58500000</v>
          </cell>
          <cell r="T24">
            <v>16915000</v>
          </cell>
          <cell r="U24">
            <v>87005000</v>
          </cell>
          <cell r="V24">
            <v>71000000</v>
          </cell>
          <cell r="W24">
            <v>233103500</v>
          </cell>
          <cell r="X24">
            <v>112000000</v>
          </cell>
          <cell r="Y24">
            <v>133200000</v>
          </cell>
          <cell r="Z24">
            <v>283308500</v>
          </cell>
          <cell r="AA24">
            <v>111526900</v>
          </cell>
          <cell r="AB24">
            <v>141526900</v>
          </cell>
          <cell r="AC24">
            <v>1581340900</v>
          </cell>
          <cell r="AD24">
            <v>1536340900</v>
          </cell>
        </row>
        <row r="25">
          <cell r="A25" t="str">
            <v>1140315</v>
          </cell>
          <cell r="B25">
            <v>0</v>
          </cell>
          <cell r="C25" t="str">
            <v>PA-TAW JAKARTA</v>
          </cell>
          <cell r="D25">
            <v>93605350</v>
          </cell>
          <cell r="E25">
            <v>7033000</v>
          </cell>
          <cell r="F25">
            <v>18738200</v>
          </cell>
          <cell r="G25">
            <v>0</v>
          </cell>
          <cell r="H25">
            <v>0</v>
          </cell>
          <cell r="I25">
            <v>771000</v>
          </cell>
          <cell r="J25">
            <v>771000</v>
          </cell>
          <cell r="K25">
            <v>20000000</v>
          </cell>
          <cell r="L25">
            <v>20000000</v>
          </cell>
          <cell r="M25">
            <v>55000000</v>
          </cell>
          <cell r="N25">
            <v>25000000</v>
          </cell>
          <cell r="O25">
            <v>21114300</v>
          </cell>
          <cell r="P25">
            <v>50000000</v>
          </cell>
          <cell r="Q25">
            <v>65270000</v>
          </cell>
          <cell r="R25">
            <v>47500000</v>
          </cell>
          <cell r="S25">
            <v>4615700</v>
          </cell>
          <cell r="T25">
            <v>23500000</v>
          </cell>
          <cell r="U25">
            <v>125770000</v>
          </cell>
          <cell r="V25">
            <v>125000000</v>
          </cell>
          <cell r="W25">
            <v>0</v>
          </cell>
          <cell r="X25">
            <v>0</v>
          </cell>
          <cell r="Y25">
            <v>13595000</v>
          </cell>
          <cell r="Z25">
            <v>13700000</v>
          </cell>
          <cell r="AA25">
            <v>0</v>
          </cell>
          <cell r="AB25">
            <v>0</v>
          </cell>
          <cell r="AC25">
            <v>313169000</v>
          </cell>
          <cell r="AD25">
            <v>324209200</v>
          </cell>
        </row>
        <row r="26">
          <cell r="A26" t="str">
            <v>1140317</v>
          </cell>
          <cell r="B26">
            <v>0</v>
          </cell>
          <cell r="C26" t="str">
            <v>PA-BENGKEL TYM YKT</v>
          </cell>
          <cell r="D26">
            <v>113302131</v>
          </cell>
          <cell r="E26">
            <v>41060463</v>
          </cell>
          <cell r="F26">
            <v>0</v>
          </cell>
          <cell r="G26">
            <v>724498</v>
          </cell>
          <cell r="H26">
            <v>41296463</v>
          </cell>
          <cell r="I26">
            <v>15698466</v>
          </cell>
          <cell r="J26">
            <v>2641506</v>
          </cell>
          <cell r="K26">
            <v>4495615</v>
          </cell>
          <cell r="L26">
            <v>4113985</v>
          </cell>
          <cell r="M26">
            <v>5482012</v>
          </cell>
          <cell r="N26">
            <v>2818400</v>
          </cell>
          <cell r="O26">
            <v>7616417</v>
          </cell>
          <cell r="P26">
            <v>3776825</v>
          </cell>
          <cell r="Q26">
            <v>2340676</v>
          </cell>
          <cell r="R26">
            <v>2346500</v>
          </cell>
          <cell r="S26">
            <v>3597354</v>
          </cell>
          <cell r="T26">
            <v>0</v>
          </cell>
          <cell r="U26">
            <v>7083520</v>
          </cell>
          <cell r="V26">
            <v>2697900</v>
          </cell>
          <cell r="W26">
            <v>8002208</v>
          </cell>
          <cell r="X26">
            <v>6011025</v>
          </cell>
          <cell r="Y26">
            <v>5218967</v>
          </cell>
          <cell r="Z26">
            <v>2043705</v>
          </cell>
          <cell r="AA26">
            <v>11262950</v>
          </cell>
          <cell r="AB26">
            <v>16550304</v>
          </cell>
          <cell r="AC26">
            <v>112583146</v>
          </cell>
          <cell r="AD26">
            <v>84296613</v>
          </cell>
        </row>
        <row r="27">
          <cell r="A27" t="str">
            <v>1140318</v>
          </cell>
          <cell r="B27">
            <v>0</v>
          </cell>
          <cell r="C27" t="str">
            <v>PA-HOTEL CS KARANGANYAR</v>
          </cell>
          <cell r="D27">
            <v>5881623</v>
          </cell>
          <cell r="E27">
            <v>1057343</v>
          </cell>
          <cell r="F27">
            <v>0</v>
          </cell>
          <cell r="G27">
            <v>95580</v>
          </cell>
          <cell r="H27">
            <v>948964</v>
          </cell>
          <cell r="I27">
            <v>10000000</v>
          </cell>
          <cell r="J27">
            <v>0</v>
          </cell>
          <cell r="K27">
            <v>2500000</v>
          </cell>
          <cell r="L27">
            <v>12774080</v>
          </cell>
          <cell r="M27">
            <v>260000</v>
          </cell>
          <cell r="N27">
            <v>260000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590000</v>
          </cell>
          <cell r="V27">
            <v>590000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14502923</v>
          </cell>
          <cell r="AD27">
            <v>14573044</v>
          </cell>
        </row>
        <row r="28">
          <cell r="A28" t="str">
            <v>1140319</v>
          </cell>
          <cell r="B28">
            <v>0</v>
          </cell>
          <cell r="C28" t="str">
            <v>PA-IBU DWI PDK INDAH</v>
          </cell>
          <cell r="D28">
            <v>4273200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</row>
        <row r="29">
          <cell r="A29" t="str">
            <v>1140320</v>
          </cell>
          <cell r="B29">
            <v>0</v>
          </cell>
          <cell r="C29" t="str">
            <v>PA-PUSAT OLEH2 AMBARKETAWANG</v>
          </cell>
          <cell r="D29">
            <v>238066</v>
          </cell>
          <cell r="E29">
            <v>7250000</v>
          </cell>
          <cell r="F29">
            <v>7250000</v>
          </cell>
          <cell r="G29">
            <v>239333</v>
          </cell>
          <cell r="H29">
            <v>239333</v>
          </cell>
          <cell r="I29">
            <v>0</v>
          </cell>
          <cell r="J29">
            <v>0</v>
          </cell>
          <cell r="K29">
            <v>5500000</v>
          </cell>
          <cell r="L29">
            <v>5500000</v>
          </cell>
          <cell r="M29">
            <v>17000000</v>
          </cell>
          <cell r="N29">
            <v>17000000</v>
          </cell>
          <cell r="O29">
            <v>7080000</v>
          </cell>
          <cell r="P29">
            <v>7000000</v>
          </cell>
          <cell r="Q29">
            <v>3000000</v>
          </cell>
          <cell r="R29">
            <v>3000000</v>
          </cell>
          <cell r="S29">
            <v>2000000</v>
          </cell>
          <cell r="T29">
            <v>2000000</v>
          </cell>
          <cell r="U29">
            <v>2500000</v>
          </cell>
          <cell r="V29">
            <v>2500000</v>
          </cell>
          <cell r="W29">
            <v>2500000</v>
          </cell>
          <cell r="X29">
            <v>0</v>
          </cell>
          <cell r="Y29">
            <v>53000000</v>
          </cell>
          <cell r="Z29">
            <v>55580000</v>
          </cell>
          <cell r="AA29">
            <v>4510000</v>
          </cell>
          <cell r="AB29">
            <v>4510000</v>
          </cell>
          <cell r="AC29">
            <v>104579333</v>
          </cell>
          <cell r="AD29">
            <v>104579333</v>
          </cell>
        </row>
        <row r="30">
          <cell r="A30" t="str">
            <v>1140321</v>
          </cell>
          <cell r="B30">
            <v>0</v>
          </cell>
          <cell r="C30" t="str">
            <v>PA-IBU DWI NDALEM MELATI WTN</v>
          </cell>
          <cell r="D30">
            <v>308846626</v>
          </cell>
          <cell r="E30">
            <v>40395129</v>
          </cell>
          <cell r="F30">
            <v>13541600</v>
          </cell>
          <cell r="G30">
            <v>13944704</v>
          </cell>
          <cell r="H30">
            <v>1458400</v>
          </cell>
          <cell r="I30">
            <v>17099290</v>
          </cell>
          <cell r="J30">
            <v>0</v>
          </cell>
          <cell r="K30">
            <v>13276050</v>
          </cell>
          <cell r="L30">
            <v>0</v>
          </cell>
          <cell r="M30">
            <v>13712524</v>
          </cell>
          <cell r="N30">
            <v>0</v>
          </cell>
          <cell r="O30">
            <v>12350000</v>
          </cell>
          <cell r="P30">
            <v>0</v>
          </cell>
          <cell r="Q30">
            <v>19035473</v>
          </cell>
          <cell r="R30">
            <v>0</v>
          </cell>
          <cell r="S30">
            <v>11350000</v>
          </cell>
          <cell r="T30">
            <v>0</v>
          </cell>
          <cell r="U30">
            <v>34274599</v>
          </cell>
          <cell r="V30">
            <v>0</v>
          </cell>
          <cell r="W30">
            <v>12350000</v>
          </cell>
          <cell r="X30">
            <v>0</v>
          </cell>
          <cell r="Y30">
            <v>13950200</v>
          </cell>
          <cell r="Z30">
            <v>0</v>
          </cell>
          <cell r="AA30">
            <v>23275000</v>
          </cell>
          <cell r="AB30">
            <v>0</v>
          </cell>
          <cell r="AC30">
            <v>225012969</v>
          </cell>
          <cell r="AD30">
            <v>15000000</v>
          </cell>
        </row>
        <row r="31">
          <cell r="A31" t="str">
            <v>1140322</v>
          </cell>
          <cell r="B31">
            <v>0</v>
          </cell>
          <cell r="C31" t="str">
            <v>PA-PT TIMOHO TRANSPORT YOGYA</v>
          </cell>
          <cell r="D31">
            <v>2450000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</row>
        <row r="32">
          <cell r="A32" t="str">
            <v>1140324</v>
          </cell>
          <cell r="B32">
            <v>0</v>
          </cell>
          <cell r="C32" t="str">
            <v>PA-TIMOHO AGUNG WISATA YOGYA</v>
          </cell>
          <cell r="D32">
            <v>7130700</v>
          </cell>
          <cell r="E32">
            <v>0</v>
          </cell>
          <cell r="F32">
            <v>0</v>
          </cell>
          <cell r="G32">
            <v>1200000</v>
          </cell>
          <cell r="H32">
            <v>1200000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900000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2100000</v>
          </cell>
          <cell r="AD32">
            <v>1200000</v>
          </cell>
        </row>
        <row r="33">
          <cell r="A33" t="str">
            <v>1140326</v>
          </cell>
          <cell r="B33">
            <v>0</v>
          </cell>
          <cell r="C33" t="str">
            <v>PA-PT BLP (KANZEN MOTOR)</v>
          </cell>
          <cell r="D33">
            <v>28312562</v>
          </cell>
          <cell r="E33">
            <v>434193</v>
          </cell>
          <cell r="F33">
            <v>0</v>
          </cell>
          <cell r="G33">
            <v>488498</v>
          </cell>
          <cell r="H33">
            <v>0</v>
          </cell>
          <cell r="I33">
            <v>50256</v>
          </cell>
          <cell r="J33">
            <v>0</v>
          </cell>
          <cell r="K33">
            <v>282010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1254957</v>
          </cell>
          <cell r="AD33">
            <v>0</v>
          </cell>
        </row>
        <row r="35">
          <cell r="A35" t="str">
            <v>1150100</v>
          </cell>
          <cell r="B35" t="str">
            <v>PERSEDIAAN</v>
          </cell>
        </row>
        <row r="36">
          <cell r="A36" t="str">
            <v>1150101</v>
          </cell>
          <cell r="B36">
            <v>0</v>
          </cell>
          <cell r="C36" t="str">
            <v>PERSEDIAAN SOLAR</v>
          </cell>
          <cell r="D36">
            <v>62355610</v>
          </cell>
          <cell r="E36">
            <v>815380250</v>
          </cell>
          <cell r="F36">
            <v>799157005</v>
          </cell>
          <cell r="G36">
            <v>795340000</v>
          </cell>
          <cell r="H36">
            <v>814764650</v>
          </cell>
          <cell r="I36">
            <v>1012981473</v>
          </cell>
          <cell r="J36">
            <v>980857223</v>
          </cell>
          <cell r="K36">
            <v>940500000</v>
          </cell>
          <cell r="L36">
            <v>933496125</v>
          </cell>
          <cell r="M36">
            <v>1174521670</v>
          </cell>
          <cell r="N36">
            <v>1214069221</v>
          </cell>
          <cell r="O36">
            <v>1149120000</v>
          </cell>
          <cell r="P36">
            <v>1153814425</v>
          </cell>
          <cell r="Q36">
            <v>1231200000</v>
          </cell>
          <cell r="R36">
            <v>1206644520</v>
          </cell>
          <cell r="S36">
            <v>1129756198</v>
          </cell>
          <cell r="T36">
            <v>1194444501</v>
          </cell>
          <cell r="U36">
            <v>1156998008</v>
          </cell>
          <cell r="V36">
            <v>1110468908</v>
          </cell>
          <cell r="W36">
            <v>1368886850</v>
          </cell>
          <cell r="X36">
            <v>1347921917</v>
          </cell>
          <cell r="Y36">
            <v>1248680000</v>
          </cell>
          <cell r="Z36">
            <v>1257703480</v>
          </cell>
          <cell r="AA36">
            <v>1307580000</v>
          </cell>
          <cell r="AB36">
            <v>1256604259</v>
          </cell>
          <cell r="AC36">
            <v>13330944449</v>
          </cell>
          <cell r="AD36">
            <v>13269946234</v>
          </cell>
        </row>
        <row r="37">
          <cell r="A37" t="str">
            <v>1150102</v>
          </cell>
          <cell r="B37">
            <v>0</v>
          </cell>
          <cell r="C37" t="str">
            <v>PERSEDIAAN PREMIUM</v>
          </cell>
          <cell r="D37">
            <v>75935338</v>
          </cell>
          <cell r="E37">
            <v>1212885600</v>
          </cell>
          <cell r="F37">
            <v>1195167456</v>
          </cell>
          <cell r="G37">
            <v>1190400000</v>
          </cell>
          <cell r="H37">
            <v>1223295960</v>
          </cell>
          <cell r="I37">
            <v>1384364237</v>
          </cell>
          <cell r="J37">
            <v>1346226989</v>
          </cell>
          <cell r="K37">
            <v>1265664000</v>
          </cell>
          <cell r="L37">
            <v>1258622208</v>
          </cell>
          <cell r="M37">
            <v>1467062400</v>
          </cell>
          <cell r="N37">
            <v>1467526083</v>
          </cell>
          <cell r="O37">
            <v>1370880000</v>
          </cell>
          <cell r="P37">
            <v>1379002800</v>
          </cell>
          <cell r="Q37">
            <v>1585920000</v>
          </cell>
          <cell r="R37">
            <v>1571489184</v>
          </cell>
          <cell r="S37">
            <v>1413235200</v>
          </cell>
          <cell r="T37">
            <v>1437120095</v>
          </cell>
          <cell r="U37">
            <v>1368642643</v>
          </cell>
          <cell r="V37">
            <v>1360834963</v>
          </cell>
          <cell r="W37">
            <v>1478400000</v>
          </cell>
          <cell r="X37">
            <v>1515418800</v>
          </cell>
          <cell r="Y37">
            <v>1451520000</v>
          </cell>
          <cell r="Z37">
            <v>1404664800</v>
          </cell>
          <cell r="AA37">
            <v>1921920000</v>
          </cell>
          <cell r="AB37">
            <v>1926968400</v>
          </cell>
          <cell r="AC37">
            <v>17110894080</v>
          </cell>
          <cell r="AD37">
            <v>17086337738</v>
          </cell>
        </row>
        <row r="38">
          <cell r="A38" t="str">
            <v>1150103</v>
          </cell>
          <cell r="B38">
            <v>0</v>
          </cell>
          <cell r="C38" t="str">
            <v>PERSEDIAAN PREMIX</v>
          </cell>
          <cell r="D38">
            <v>1848438</v>
          </cell>
          <cell r="E38">
            <v>89911502</v>
          </cell>
          <cell r="F38">
            <v>78219877</v>
          </cell>
          <cell r="G38">
            <v>62496000</v>
          </cell>
          <cell r="H38">
            <v>68544060</v>
          </cell>
          <cell r="I38">
            <v>94105222</v>
          </cell>
          <cell r="J38">
            <v>96557124</v>
          </cell>
          <cell r="K38">
            <v>98544000</v>
          </cell>
          <cell r="L38">
            <v>80667847</v>
          </cell>
          <cell r="M38">
            <v>87017000</v>
          </cell>
          <cell r="N38">
            <v>86198739</v>
          </cell>
          <cell r="O38">
            <v>86120000</v>
          </cell>
          <cell r="P38">
            <v>92310881</v>
          </cell>
          <cell r="Q38">
            <v>103344000</v>
          </cell>
          <cell r="R38">
            <v>112224617</v>
          </cell>
          <cell r="S38">
            <v>103344000</v>
          </cell>
          <cell r="T38">
            <v>96853869</v>
          </cell>
          <cell r="U38">
            <v>104485774</v>
          </cell>
          <cell r="V38">
            <v>93968182</v>
          </cell>
          <cell r="W38">
            <v>108144000</v>
          </cell>
          <cell r="X38">
            <v>110065417</v>
          </cell>
          <cell r="Y38">
            <v>90120000</v>
          </cell>
          <cell r="Z38">
            <v>95966643</v>
          </cell>
          <cell r="AA38">
            <v>198264000</v>
          </cell>
          <cell r="AB38">
            <v>201395244</v>
          </cell>
          <cell r="AC38">
            <v>1225895498</v>
          </cell>
          <cell r="AD38">
            <v>1212972500</v>
          </cell>
        </row>
        <row r="39">
          <cell r="A39" t="str">
            <v>1150104</v>
          </cell>
          <cell r="B39">
            <v>0</v>
          </cell>
          <cell r="C39" t="str">
            <v>PERSEDIAAN PELUMAS</v>
          </cell>
          <cell r="D39">
            <v>10518310</v>
          </cell>
          <cell r="E39">
            <v>28019750</v>
          </cell>
          <cell r="F39">
            <v>12707598</v>
          </cell>
          <cell r="G39">
            <v>14818540</v>
          </cell>
          <cell r="H39">
            <v>15544346</v>
          </cell>
          <cell r="I39">
            <v>23581745</v>
          </cell>
          <cell r="J39">
            <v>35599889</v>
          </cell>
          <cell r="K39">
            <v>22844745</v>
          </cell>
          <cell r="L39">
            <v>19950178</v>
          </cell>
          <cell r="M39">
            <v>17704005</v>
          </cell>
          <cell r="N39">
            <v>21513223</v>
          </cell>
          <cell r="O39">
            <v>26287801</v>
          </cell>
          <cell r="P39">
            <v>23591370</v>
          </cell>
          <cell r="Q39">
            <v>17404200</v>
          </cell>
          <cell r="R39">
            <v>16668383</v>
          </cell>
          <cell r="S39">
            <v>16737392</v>
          </cell>
          <cell r="T39">
            <v>18919285</v>
          </cell>
          <cell r="U39">
            <v>25302090</v>
          </cell>
          <cell r="V39">
            <v>21588710</v>
          </cell>
          <cell r="W39">
            <v>20645625</v>
          </cell>
          <cell r="X39">
            <v>21627540</v>
          </cell>
          <cell r="Y39">
            <v>26621419</v>
          </cell>
          <cell r="Z39">
            <v>20267170</v>
          </cell>
          <cell r="AA39">
            <v>21517540</v>
          </cell>
          <cell r="AB39">
            <v>23930503</v>
          </cell>
          <cell r="AC39">
            <v>261484852</v>
          </cell>
          <cell r="AD39">
            <v>251908195</v>
          </cell>
        </row>
        <row r="41">
          <cell r="A41" t="str">
            <v>1160100</v>
          </cell>
          <cell r="B41" t="str">
            <v>UANG MUKA</v>
          </cell>
        </row>
        <row r="42">
          <cell r="A42" t="str">
            <v>1160101</v>
          </cell>
          <cell r="B42">
            <v>0</v>
          </cell>
          <cell r="C42" t="str">
            <v>UM-PEMBELIAN BBM SOLAR</v>
          </cell>
          <cell r="D42">
            <v>68400000</v>
          </cell>
          <cell r="E42">
            <v>739860000</v>
          </cell>
          <cell r="F42">
            <v>773300000</v>
          </cell>
          <cell r="G42">
            <v>751640000</v>
          </cell>
          <cell r="H42">
            <v>751640000</v>
          </cell>
          <cell r="I42">
            <v>970140000</v>
          </cell>
          <cell r="J42">
            <v>996360000</v>
          </cell>
          <cell r="K42">
            <v>950760000</v>
          </cell>
          <cell r="L42">
            <v>921500000</v>
          </cell>
          <cell r="M42">
            <v>1231960000</v>
          </cell>
          <cell r="N42">
            <v>1163560000</v>
          </cell>
          <cell r="O42">
            <v>1085280000</v>
          </cell>
          <cell r="P42">
            <v>1149120000</v>
          </cell>
          <cell r="Q42">
            <v>1260460000</v>
          </cell>
          <cell r="R42">
            <v>1231200000</v>
          </cell>
          <cell r="S42">
            <v>1159380000</v>
          </cell>
          <cell r="T42">
            <v>1129170000</v>
          </cell>
          <cell r="U42">
            <v>1139620000</v>
          </cell>
          <cell r="V42">
            <v>1138290000</v>
          </cell>
          <cell r="W42">
            <v>1209920000</v>
          </cell>
          <cell r="X42">
            <v>1291392000</v>
          </cell>
          <cell r="Y42">
            <v>1297472000</v>
          </cell>
          <cell r="Z42">
            <v>1201560000</v>
          </cell>
          <cell r="AA42">
            <v>1260460000</v>
          </cell>
          <cell r="AB42">
            <v>1307580000</v>
          </cell>
          <cell r="AC42">
            <v>13056952000</v>
          </cell>
          <cell r="AD42">
            <v>13054672000</v>
          </cell>
        </row>
        <row r="43">
          <cell r="A43" t="str">
            <v>1160102</v>
          </cell>
          <cell r="B43">
            <v>0</v>
          </cell>
          <cell r="C43" t="str">
            <v>UM-PEMBELIAN BBM PREMIUM</v>
          </cell>
          <cell r="D43">
            <v>122496000</v>
          </cell>
          <cell r="E43">
            <v>1011456000</v>
          </cell>
          <cell r="F43">
            <v>1110144000</v>
          </cell>
          <cell r="G43">
            <v>1202304000</v>
          </cell>
          <cell r="H43">
            <v>1166592000</v>
          </cell>
          <cell r="I43">
            <v>1261824000</v>
          </cell>
          <cell r="J43">
            <v>1309440000</v>
          </cell>
          <cell r="K43">
            <v>1278336000</v>
          </cell>
          <cell r="L43">
            <v>1265664000</v>
          </cell>
          <cell r="M43">
            <v>1471488000</v>
          </cell>
          <cell r="N43">
            <v>1401984000</v>
          </cell>
          <cell r="O43">
            <v>1303680000</v>
          </cell>
          <cell r="P43">
            <v>1370880000</v>
          </cell>
          <cell r="Q43">
            <v>1653120000</v>
          </cell>
          <cell r="R43">
            <v>1585920000</v>
          </cell>
          <cell r="S43">
            <v>1413235200</v>
          </cell>
          <cell r="T43">
            <v>1413235200</v>
          </cell>
          <cell r="U43">
            <v>1339276800</v>
          </cell>
          <cell r="V43">
            <v>1340083200</v>
          </cell>
          <cell r="W43">
            <v>1414425600</v>
          </cell>
          <cell r="X43">
            <v>1453939200</v>
          </cell>
          <cell r="Y43">
            <v>1491840000</v>
          </cell>
          <cell r="Z43">
            <v>1397760000</v>
          </cell>
          <cell r="AA43">
            <v>1841280000</v>
          </cell>
          <cell r="AB43">
            <v>1921920000</v>
          </cell>
          <cell r="AC43">
            <v>16682265600</v>
          </cell>
          <cell r="AD43">
            <v>16737561600</v>
          </cell>
        </row>
        <row r="44">
          <cell r="A44" t="str">
            <v>1160103</v>
          </cell>
          <cell r="B44">
            <v>0</v>
          </cell>
          <cell r="C44" t="str">
            <v>UM-PEMBELIAN BBM PREMIX</v>
          </cell>
          <cell r="D44">
            <v>0</v>
          </cell>
          <cell r="E44">
            <v>88400000</v>
          </cell>
          <cell r="F44">
            <v>88400000</v>
          </cell>
          <cell r="G44">
            <v>62496000</v>
          </cell>
          <cell r="H44">
            <v>62496000</v>
          </cell>
          <cell r="I44">
            <v>93744000</v>
          </cell>
          <cell r="J44">
            <v>93744000</v>
          </cell>
          <cell r="K44">
            <v>98544000</v>
          </cell>
          <cell r="L44">
            <v>98544000</v>
          </cell>
          <cell r="M44">
            <v>86120000</v>
          </cell>
          <cell r="N44">
            <v>86120000</v>
          </cell>
          <cell r="O44">
            <v>86120000</v>
          </cell>
          <cell r="P44">
            <v>86120000</v>
          </cell>
          <cell r="Q44">
            <v>120568000</v>
          </cell>
          <cell r="R44">
            <v>103344000</v>
          </cell>
          <cell r="S44">
            <v>86120000</v>
          </cell>
          <cell r="T44">
            <v>103344000</v>
          </cell>
          <cell r="U44">
            <v>103344000</v>
          </cell>
          <cell r="V44">
            <v>103344000</v>
          </cell>
          <cell r="W44">
            <v>108144000</v>
          </cell>
          <cell r="X44">
            <v>108144000</v>
          </cell>
          <cell r="Y44">
            <v>90120000</v>
          </cell>
          <cell r="Z44">
            <v>90120000</v>
          </cell>
          <cell r="AA44">
            <v>198264000</v>
          </cell>
          <cell r="AB44">
            <v>198264000</v>
          </cell>
          <cell r="AC44">
            <v>1221984000</v>
          </cell>
          <cell r="AD44">
            <v>1221984000</v>
          </cell>
        </row>
        <row r="45">
          <cell r="A45" t="str">
            <v>1160109</v>
          </cell>
          <cell r="B45">
            <v>0</v>
          </cell>
          <cell r="C45" t="str">
            <v>UANG MUKA ARISAN SPBU-HISWANA</v>
          </cell>
          <cell r="D45">
            <v>625000</v>
          </cell>
          <cell r="E45">
            <v>0</v>
          </cell>
          <cell r="F45">
            <v>0</v>
          </cell>
          <cell r="G45">
            <v>125000</v>
          </cell>
          <cell r="H45">
            <v>0</v>
          </cell>
          <cell r="I45">
            <v>250000</v>
          </cell>
          <cell r="J45">
            <v>750000</v>
          </cell>
          <cell r="K45">
            <v>250000</v>
          </cell>
          <cell r="L45">
            <v>0</v>
          </cell>
          <cell r="M45">
            <v>125000</v>
          </cell>
          <cell r="N45">
            <v>0</v>
          </cell>
          <cell r="O45">
            <v>125000</v>
          </cell>
          <cell r="P45">
            <v>750000</v>
          </cell>
          <cell r="Q45">
            <v>125000</v>
          </cell>
          <cell r="R45">
            <v>0</v>
          </cell>
          <cell r="S45">
            <v>125000</v>
          </cell>
          <cell r="T45">
            <v>0</v>
          </cell>
          <cell r="U45">
            <v>0</v>
          </cell>
          <cell r="V45">
            <v>0</v>
          </cell>
          <cell r="W45">
            <v>250000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1375000</v>
          </cell>
          <cell r="AD45">
            <v>1500000</v>
          </cell>
        </row>
        <row r="46">
          <cell r="A46" t="str">
            <v>1160110</v>
          </cell>
          <cell r="B46">
            <v>0</v>
          </cell>
          <cell r="C46" t="str">
            <v>UM PEMBELIAN KRATING DAENG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</row>
        <row r="47">
          <cell r="A47" t="str">
            <v>1160111</v>
          </cell>
          <cell r="B47">
            <v>0</v>
          </cell>
          <cell r="C47" t="str">
            <v>UM-PEMBELIAN REDEX</v>
          </cell>
          <cell r="D47">
            <v>445500</v>
          </cell>
          <cell r="E47">
            <v>130000</v>
          </cell>
          <cell r="F47">
            <v>188500</v>
          </cell>
          <cell r="G47">
            <v>0</v>
          </cell>
          <cell r="H47">
            <v>97500</v>
          </cell>
          <cell r="I47">
            <v>0</v>
          </cell>
          <cell r="J47">
            <v>139500</v>
          </cell>
          <cell r="K47">
            <v>0</v>
          </cell>
          <cell r="L47">
            <v>142500</v>
          </cell>
          <cell r="M47">
            <v>0</v>
          </cell>
          <cell r="N47">
            <v>150000</v>
          </cell>
          <cell r="O47">
            <v>0</v>
          </cell>
          <cell r="P47">
            <v>105000</v>
          </cell>
          <cell r="Q47">
            <v>0</v>
          </cell>
          <cell r="R47">
            <v>82500</v>
          </cell>
          <cell r="S47">
            <v>0</v>
          </cell>
          <cell r="T47">
            <v>82500</v>
          </cell>
          <cell r="U47">
            <v>1261500</v>
          </cell>
          <cell r="V47">
            <v>849000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1391500</v>
          </cell>
          <cell r="AD47">
            <v>1837000</v>
          </cell>
        </row>
        <row r="48">
          <cell r="A48" t="str">
            <v>1160112</v>
          </cell>
          <cell r="B48">
            <v>0</v>
          </cell>
          <cell r="C48" t="str">
            <v>UM-PEMBELIAN POWER FUEL</v>
          </cell>
          <cell r="D48">
            <v>123000</v>
          </cell>
          <cell r="E48">
            <v>500</v>
          </cell>
          <cell r="F48">
            <v>11000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7500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500</v>
          </cell>
          <cell r="AD48">
            <v>18500</v>
          </cell>
        </row>
        <row r="49">
          <cell r="A49" t="str">
            <v>1160113</v>
          </cell>
          <cell r="B49">
            <v>0</v>
          </cell>
          <cell r="C49" t="str">
            <v>UM-PEMBELIAN X-CLEAN</v>
          </cell>
          <cell r="D49">
            <v>0</v>
          </cell>
          <cell r="E49">
            <v>0</v>
          </cell>
          <cell r="F49">
            <v>0</v>
          </cell>
          <cell r="G49">
            <v>17000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17000</v>
          </cell>
          <cell r="AD49">
            <v>0</v>
          </cell>
        </row>
        <row r="51">
          <cell r="A51" t="str">
            <v>1310100</v>
          </cell>
          <cell r="B51" t="str">
            <v>AKTIVA TETAP</v>
          </cell>
        </row>
        <row r="52">
          <cell r="A52" t="str">
            <v>1310101</v>
          </cell>
          <cell r="B52">
            <v>0</v>
          </cell>
          <cell r="C52" t="str">
            <v>AT-TANAH</v>
          </cell>
          <cell r="D52">
            <v>787706225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</row>
        <row r="53">
          <cell r="A53" t="str">
            <v>1310201</v>
          </cell>
          <cell r="B53">
            <v>0</v>
          </cell>
          <cell r="C53" t="str">
            <v>AT-BANGUNAN</v>
          </cell>
          <cell r="D53">
            <v>595050849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4000000</v>
          </cell>
          <cell r="R53">
            <v>0</v>
          </cell>
          <cell r="S53">
            <v>0</v>
          </cell>
          <cell r="T53">
            <v>0</v>
          </cell>
          <cell r="U53">
            <v>6250000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10250000</v>
          </cell>
          <cell r="AD53">
            <v>0</v>
          </cell>
        </row>
        <row r="54">
          <cell r="A54" t="str">
            <v>1310301</v>
          </cell>
          <cell r="B54">
            <v>0</v>
          </cell>
          <cell r="C54" t="str">
            <v>AT-KENDARAAN</v>
          </cell>
          <cell r="D54">
            <v>69000000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</row>
        <row r="55">
          <cell r="A55" t="str">
            <v>1310401</v>
          </cell>
          <cell r="B55">
            <v>0</v>
          </cell>
          <cell r="C55" t="str">
            <v>AT-PERALATAN OPERASI</v>
          </cell>
          <cell r="D55">
            <v>370476250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</row>
        <row r="56">
          <cell r="A56" t="str">
            <v>1310501</v>
          </cell>
          <cell r="B56">
            <v>0</v>
          </cell>
          <cell r="C56" t="str">
            <v>AT-PERALATAN KANTOR</v>
          </cell>
          <cell r="D56">
            <v>8879000</v>
          </cell>
          <cell r="E56">
            <v>0</v>
          </cell>
          <cell r="F56">
            <v>0</v>
          </cell>
          <cell r="G56">
            <v>725000</v>
          </cell>
          <cell r="H56">
            <v>0</v>
          </cell>
          <cell r="I56">
            <v>8650000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1095000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10470000</v>
          </cell>
          <cell r="AD56">
            <v>0</v>
          </cell>
        </row>
        <row r="57">
          <cell r="A57" t="str">
            <v>1310601</v>
          </cell>
          <cell r="B57">
            <v>0</v>
          </cell>
          <cell r="C57" t="str">
            <v>AT-PERALATAN BANGUNAN</v>
          </cell>
          <cell r="D57">
            <v>61056500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1700000</v>
          </cell>
          <cell r="AB57">
            <v>0</v>
          </cell>
          <cell r="AC57">
            <v>1700000</v>
          </cell>
          <cell r="AD57">
            <v>0</v>
          </cell>
        </row>
        <row r="59">
          <cell r="A59" t="str">
            <v>1320100</v>
          </cell>
          <cell r="B59" t="str">
            <v>AKUMULASI PENYUSUTAN AKTIVA TETAP</v>
          </cell>
        </row>
        <row r="60">
          <cell r="A60" t="str">
            <v>1320101</v>
          </cell>
          <cell r="B60">
            <v>0</v>
          </cell>
          <cell r="C60" t="str">
            <v>AP-BANGUNAN</v>
          </cell>
          <cell r="D60">
            <v>-178515253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</row>
        <row r="61">
          <cell r="A61" t="str">
            <v>1320102</v>
          </cell>
          <cell r="B61">
            <v>0</v>
          </cell>
          <cell r="C61" t="str">
            <v>AP-KENDARAAN</v>
          </cell>
          <cell r="D61">
            <v>-20700000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</row>
        <row r="62">
          <cell r="A62" t="str">
            <v>1320103</v>
          </cell>
          <cell r="B62">
            <v>0</v>
          </cell>
          <cell r="C62" t="str">
            <v>AP-PERALATAN OPERASI</v>
          </cell>
          <cell r="D62">
            <v>-222030750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</row>
        <row r="63">
          <cell r="A63" t="str">
            <v>1320104</v>
          </cell>
          <cell r="B63">
            <v>0</v>
          </cell>
          <cell r="C63" t="str">
            <v>AP-PERALATAN KANTOR</v>
          </cell>
          <cell r="D63">
            <v>-2790467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</row>
        <row r="64">
          <cell r="A64" t="str">
            <v>1320105</v>
          </cell>
          <cell r="B64">
            <v>0</v>
          </cell>
          <cell r="C64" t="str">
            <v>AP-PERALATAN BANGUNAN</v>
          </cell>
          <cell r="D64">
            <v>-46869783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</row>
        <row r="66">
          <cell r="A66" t="str">
            <v>1510100</v>
          </cell>
          <cell r="B66" t="str">
            <v>BIAYA TANGGUHAN</v>
          </cell>
        </row>
        <row r="67">
          <cell r="A67" t="str">
            <v>1510101</v>
          </cell>
          <cell r="B67">
            <v>0</v>
          </cell>
          <cell r="C67" t="str">
            <v>BIAYA PRA OPERASI</v>
          </cell>
          <cell r="D67">
            <v>189723750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</row>
        <row r="68">
          <cell r="A68" t="str">
            <v>1510201</v>
          </cell>
          <cell r="B68">
            <v>0</v>
          </cell>
          <cell r="C68" t="str">
            <v>AMORTISASI BY PRA OPERASI</v>
          </cell>
          <cell r="D68">
            <v>-127397641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</row>
        <row r="70">
          <cell r="A70" t="str">
            <v>1510103</v>
          </cell>
          <cell r="B70" t="str">
            <v>AT PDP (PEKERJAAN DLM PLKSN)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41987250</v>
          </cell>
          <cell r="N70">
            <v>0</v>
          </cell>
          <cell r="O70">
            <v>39213100</v>
          </cell>
          <cell r="P70">
            <v>0</v>
          </cell>
          <cell r="Q70">
            <v>83635600</v>
          </cell>
          <cell r="R70">
            <v>0</v>
          </cell>
          <cell r="S70">
            <v>22975650</v>
          </cell>
          <cell r="T70">
            <v>0</v>
          </cell>
          <cell r="U70">
            <v>15524100</v>
          </cell>
          <cell r="V70">
            <v>0</v>
          </cell>
          <cell r="W70">
            <v>11450000</v>
          </cell>
          <cell r="X70">
            <v>0</v>
          </cell>
          <cell r="Y70">
            <v>14138750</v>
          </cell>
          <cell r="Z70">
            <v>0</v>
          </cell>
          <cell r="AA70">
            <v>2147500</v>
          </cell>
          <cell r="AB70">
            <v>0</v>
          </cell>
          <cell r="AC70">
            <v>231071950</v>
          </cell>
          <cell r="AD70">
            <v>0</v>
          </cell>
        </row>
        <row r="72">
          <cell r="A72" t="str">
            <v>2110100</v>
          </cell>
          <cell r="B72" t="str">
            <v>HUTANG USAHA</v>
          </cell>
        </row>
        <row r="73">
          <cell r="A73" t="str">
            <v>2110103</v>
          </cell>
          <cell r="B73">
            <v>0</v>
          </cell>
          <cell r="C73" t="str">
            <v>HU-PT TERATAI MAS</v>
          </cell>
          <cell r="D73">
            <v>-4497744</v>
          </cell>
          <cell r="E73">
            <v>16054162</v>
          </cell>
          <cell r="F73">
            <v>11556431</v>
          </cell>
          <cell r="G73">
            <v>2134510</v>
          </cell>
          <cell r="H73">
            <v>2134510</v>
          </cell>
          <cell r="I73">
            <v>7786549</v>
          </cell>
          <cell r="J73">
            <v>7786549</v>
          </cell>
          <cell r="K73">
            <v>1644935</v>
          </cell>
          <cell r="L73">
            <v>1644935</v>
          </cell>
          <cell r="M73">
            <v>1663212</v>
          </cell>
          <cell r="N73">
            <v>1644935</v>
          </cell>
          <cell r="O73">
            <v>6421047</v>
          </cell>
          <cell r="P73">
            <v>6421047</v>
          </cell>
          <cell r="Q73">
            <v>0</v>
          </cell>
          <cell r="R73">
            <v>3682998</v>
          </cell>
          <cell r="S73">
            <v>6880274</v>
          </cell>
          <cell r="T73">
            <v>3197275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18265</v>
          </cell>
          <cell r="AA73">
            <v>0</v>
          </cell>
          <cell r="AB73">
            <v>0</v>
          </cell>
          <cell r="AC73">
            <v>42584689</v>
          </cell>
          <cell r="AD73">
            <v>38086945</v>
          </cell>
        </row>
        <row r="74">
          <cell r="A74" t="str">
            <v>2160103</v>
          </cell>
          <cell r="B74">
            <v>0</v>
          </cell>
          <cell r="C74" t="str">
            <v>HU-PT REDEX</v>
          </cell>
          <cell r="D74">
            <v>-117000</v>
          </cell>
          <cell r="E74">
            <v>260000</v>
          </cell>
          <cell r="F74">
            <v>130000</v>
          </cell>
          <cell r="G74">
            <v>234000</v>
          </cell>
          <cell r="H74">
            <v>0</v>
          </cell>
          <cell r="I74">
            <v>84500</v>
          </cell>
          <cell r="J74">
            <v>0</v>
          </cell>
          <cell r="K74">
            <v>142500</v>
          </cell>
          <cell r="L74">
            <v>0</v>
          </cell>
          <cell r="M74">
            <v>292500</v>
          </cell>
          <cell r="N74">
            <v>0</v>
          </cell>
          <cell r="O74">
            <v>112500</v>
          </cell>
          <cell r="P74">
            <v>0</v>
          </cell>
          <cell r="Q74">
            <v>120000</v>
          </cell>
          <cell r="R74">
            <v>0</v>
          </cell>
          <cell r="S74">
            <v>0</v>
          </cell>
          <cell r="T74">
            <v>0</v>
          </cell>
          <cell r="U74">
            <v>262500</v>
          </cell>
          <cell r="V74">
            <v>1261500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1508500</v>
          </cell>
          <cell r="AD74">
            <v>1391500</v>
          </cell>
        </row>
        <row r="75">
          <cell r="C75" t="str">
            <v>HU-XCLEAN</v>
          </cell>
          <cell r="D75">
            <v>-17000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</row>
        <row r="76">
          <cell r="A76" t="str">
            <v>2160104</v>
          </cell>
          <cell r="B76">
            <v>0</v>
          </cell>
          <cell r="C76" t="str">
            <v>HU-POWER FUEL</v>
          </cell>
          <cell r="D76">
            <v>-171000</v>
          </cell>
          <cell r="E76">
            <v>0</v>
          </cell>
          <cell r="F76">
            <v>1500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1500</v>
          </cell>
        </row>
        <row r="79">
          <cell r="A79" t="str">
            <v>2160101</v>
          </cell>
          <cell r="B79" t="str">
            <v>HUTANG LAIN - UANG JAMINAN KARYAWAN</v>
          </cell>
          <cell r="C79">
            <v>0</v>
          </cell>
          <cell r="D79">
            <v>-14000000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</row>
        <row r="81">
          <cell r="B81" t="str">
            <v>HL-BII FINANCE YK JATUH TEMPO DLM 1 TAHUN</v>
          </cell>
          <cell r="C81">
            <v>0</v>
          </cell>
          <cell r="D81">
            <v>-13800000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</row>
        <row r="83">
          <cell r="A83" t="str">
            <v>2160105</v>
          </cell>
          <cell r="B83" t="str">
            <v>HUTANG LEASING BII FINANCE YK</v>
          </cell>
          <cell r="C83">
            <v>0</v>
          </cell>
          <cell r="D83">
            <v>-6900000</v>
          </cell>
          <cell r="E83">
            <v>1150000</v>
          </cell>
          <cell r="F83">
            <v>0</v>
          </cell>
          <cell r="G83">
            <v>1150000</v>
          </cell>
          <cell r="H83">
            <v>0</v>
          </cell>
          <cell r="I83">
            <v>1150000</v>
          </cell>
          <cell r="J83">
            <v>0</v>
          </cell>
          <cell r="K83">
            <v>1150000</v>
          </cell>
          <cell r="L83">
            <v>0</v>
          </cell>
          <cell r="M83">
            <v>1150000</v>
          </cell>
          <cell r="N83">
            <v>0</v>
          </cell>
          <cell r="O83">
            <v>1150000</v>
          </cell>
          <cell r="P83">
            <v>0</v>
          </cell>
          <cell r="Q83">
            <v>1150000</v>
          </cell>
          <cell r="R83">
            <v>0</v>
          </cell>
          <cell r="S83">
            <v>1150000</v>
          </cell>
          <cell r="T83">
            <v>0</v>
          </cell>
          <cell r="U83">
            <v>1150000</v>
          </cell>
          <cell r="V83">
            <v>0</v>
          </cell>
          <cell r="W83">
            <v>1150000</v>
          </cell>
          <cell r="X83">
            <v>0</v>
          </cell>
          <cell r="Y83">
            <v>1150000</v>
          </cell>
          <cell r="Z83">
            <v>0</v>
          </cell>
          <cell r="AA83">
            <v>1150000</v>
          </cell>
          <cell r="AB83">
            <v>0</v>
          </cell>
          <cell r="AC83">
            <v>13800000</v>
          </cell>
          <cell r="AD83">
            <v>0</v>
          </cell>
        </row>
        <row r="85">
          <cell r="A85" t="str">
            <v>2180100</v>
          </cell>
          <cell r="B85" t="str">
            <v>PENDAPATAN DITERIMA DIMUKA</v>
          </cell>
        </row>
        <row r="86">
          <cell r="A86" t="str">
            <v>2180101</v>
          </cell>
          <cell r="B86">
            <v>0</v>
          </cell>
          <cell r="C86" t="str">
            <v>PDD-KECAMATAN GAMPING</v>
          </cell>
          <cell r="D86">
            <v>3150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</row>
        <row r="87">
          <cell r="A87" t="str">
            <v>2180102</v>
          </cell>
          <cell r="B87">
            <v>0</v>
          </cell>
          <cell r="C87" t="str">
            <v>PDD-B P N</v>
          </cell>
          <cell r="D87">
            <v>-93550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</row>
        <row r="88">
          <cell r="A88" t="str">
            <v>2180103</v>
          </cell>
          <cell r="B88">
            <v>0</v>
          </cell>
          <cell r="C88" t="str">
            <v>PDD-DPU MEJING</v>
          </cell>
          <cell r="D88">
            <v>-72750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</row>
        <row r="89">
          <cell r="A89" t="str">
            <v>2180104</v>
          </cell>
          <cell r="B89">
            <v>0</v>
          </cell>
          <cell r="C89" t="str">
            <v>PDD-BBM UNWAMA</v>
          </cell>
          <cell r="D89">
            <v>-2749600</v>
          </cell>
          <cell r="E89">
            <v>1672500</v>
          </cell>
          <cell r="F89">
            <v>1642500</v>
          </cell>
          <cell r="G89">
            <v>1732900</v>
          </cell>
          <cell r="H89">
            <v>1395000</v>
          </cell>
          <cell r="I89">
            <v>2083350</v>
          </cell>
          <cell r="J89">
            <v>1395000</v>
          </cell>
          <cell r="K89">
            <v>2538200</v>
          </cell>
          <cell r="L89">
            <v>4545000</v>
          </cell>
          <cell r="M89">
            <v>2950000</v>
          </cell>
          <cell r="N89">
            <v>2362500</v>
          </cell>
          <cell r="O89">
            <v>2631000</v>
          </cell>
          <cell r="P89">
            <v>1575000</v>
          </cell>
          <cell r="Q89">
            <v>2542000</v>
          </cell>
          <cell r="R89">
            <v>4005000</v>
          </cell>
          <cell r="S89">
            <v>2693100</v>
          </cell>
          <cell r="T89">
            <v>780750</v>
          </cell>
          <cell r="U89">
            <v>2462700</v>
          </cell>
          <cell r="V89">
            <v>3168000</v>
          </cell>
          <cell r="W89">
            <v>2780400</v>
          </cell>
          <cell r="X89">
            <v>4178000</v>
          </cell>
          <cell r="Y89">
            <v>2684500</v>
          </cell>
          <cell r="Z89">
            <v>1575000</v>
          </cell>
          <cell r="AA89">
            <v>1939800</v>
          </cell>
          <cell r="AB89">
            <v>2565000</v>
          </cell>
          <cell r="AC89">
            <v>28710450</v>
          </cell>
          <cell r="AD89">
            <v>29186750</v>
          </cell>
        </row>
        <row r="90">
          <cell r="A90" t="str">
            <v>2180105</v>
          </cell>
          <cell r="B90">
            <v>0</v>
          </cell>
          <cell r="C90" t="str">
            <v>PDD-BBM RMCS&amp;PUSAT JAJANAN GP</v>
          </cell>
          <cell r="D90">
            <v>-150450</v>
          </cell>
          <cell r="E90">
            <v>327500</v>
          </cell>
          <cell r="F90">
            <v>391750</v>
          </cell>
          <cell r="G90">
            <v>261950</v>
          </cell>
          <cell r="H90">
            <v>155000</v>
          </cell>
          <cell r="I90">
            <v>313550</v>
          </cell>
          <cell r="J90">
            <v>332000</v>
          </cell>
          <cell r="K90">
            <v>312950</v>
          </cell>
          <cell r="L90">
            <v>382250</v>
          </cell>
          <cell r="M90">
            <v>428800</v>
          </cell>
          <cell r="N90">
            <v>791750</v>
          </cell>
          <cell r="O90">
            <v>504500</v>
          </cell>
          <cell r="P90">
            <v>282650</v>
          </cell>
          <cell r="Q90">
            <v>557400</v>
          </cell>
          <cell r="R90">
            <v>614500</v>
          </cell>
          <cell r="S90">
            <v>398050</v>
          </cell>
          <cell r="T90">
            <v>82250</v>
          </cell>
          <cell r="U90">
            <v>416300</v>
          </cell>
          <cell r="V90">
            <v>527000</v>
          </cell>
          <cell r="W90">
            <v>633500</v>
          </cell>
          <cell r="X90">
            <v>577000</v>
          </cell>
          <cell r="Y90">
            <v>551800</v>
          </cell>
          <cell r="Z90">
            <v>502500</v>
          </cell>
          <cell r="AA90">
            <v>817150</v>
          </cell>
          <cell r="AB90">
            <v>859500</v>
          </cell>
          <cell r="AC90">
            <v>5523450</v>
          </cell>
          <cell r="AD90">
            <v>5498150</v>
          </cell>
        </row>
        <row r="92">
          <cell r="A92" t="str">
            <v>3110100</v>
          </cell>
          <cell r="B92" t="str">
            <v>MODAL</v>
          </cell>
        </row>
        <row r="93">
          <cell r="A93" t="str">
            <v>3110101</v>
          </cell>
          <cell r="B93">
            <v>0</v>
          </cell>
          <cell r="C93" t="str">
            <v>MODAL DISETOR</v>
          </cell>
          <cell r="D93">
            <v>-1500000000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</row>
        <row r="94">
          <cell r="A94" t="str">
            <v>3120101</v>
          </cell>
          <cell r="B94">
            <v>0</v>
          </cell>
          <cell r="C94" t="str">
            <v>PRIVE IBU SUTINI</v>
          </cell>
          <cell r="D94">
            <v>166553465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</row>
        <row r="95">
          <cell r="A95" t="str">
            <v>3130101</v>
          </cell>
          <cell r="B95">
            <v>0</v>
          </cell>
          <cell r="C95" t="str">
            <v>AKUMULASI L/R TAHUN 2000</v>
          </cell>
          <cell r="D95">
            <v>-748076733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</row>
        <row r="96">
          <cell r="A96" t="str">
            <v>3140101</v>
          </cell>
          <cell r="B96">
            <v>0</v>
          </cell>
          <cell r="C96" t="str">
            <v>LABA / (RUGI) TAHUN 2001</v>
          </cell>
          <cell r="D96">
            <v>-366179063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</row>
        <row r="100">
          <cell r="A100" t="str">
            <v>CANDISARI GROUP</v>
          </cell>
        </row>
        <row r="101">
          <cell r="A101" t="str">
            <v>Unit SPBU Gamping</v>
          </cell>
        </row>
        <row r="102">
          <cell r="A102" t="str">
            <v>LEAD SCHEDULE NERACA</v>
          </cell>
        </row>
        <row r="103">
          <cell r="A103" t="str">
            <v>Per 31 Desember 2002</v>
          </cell>
        </row>
        <row r="105">
          <cell r="A105" t="str">
            <v>Noperk</v>
          </cell>
          <cell r="B105">
            <v>0</v>
          </cell>
          <cell r="C105" t="str">
            <v>Narek</v>
          </cell>
          <cell r="D105">
            <v>0</v>
          </cell>
          <cell r="E105" t="str">
            <v>Januari</v>
          </cell>
          <cell r="F105">
            <v>0</v>
          </cell>
          <cell r="G105" t="str">
            <v>Pebuari</v>
          </cell>
          <cell r="H105">
            <v>0</v>
          </cell>
          <cell r="I105" t="str">
            <v>Maret</v>
          </cell>
          <cell r="J105">
            <v>0</v>
          </cell>
          <cell r="K105" t="str">
            <v>April</v>
          </cell>
          <cell r="L105">
            <v>0</v>
          </cell>
          <cell r="M105" t="str">
            <v>Mei</v>
          </cell>
          <cell r="N105">
            <v>0</v>
          </cell>
          <cell r="O105" t="str">
            <v>Juni</v>
          </cell>
          <cell r="P105">
            <v>0</v>
          </cell>
          <cell r="Q105" t="str">
            <v>Juli</v>
          </cell>
          <cell r="R105">
            <v>0</v>
          </cell>
          <cell r="S105" t="str">
            <v>Agustus</v>
          </cell>
          <cell r="T105">
            <v>0</v>
          </cell>
          <cell r="U105" t="str">
            <v>September</v>
          </cell>
          <cell r="V105">
            <v>0</v>
          </cell>
          <cell r="W105" t="str">
            <v>Oktober</v>
          </cell>
          <cell r="X105">
            <v>0</v>
          </cell>
          <cell r="Y105" t="str">
            <v>Nopember</v>
          </cell>
          <cell r="Z105">
            <v>0</v>
          </cell>
          <cell r="AA105" t="str">
            <v>Desember</v>
          </cell>
          <cell r="AB105">
            <v>0</v>
          </cell>
          <cell r="AC105" t="str">
            <v>Total Mutasi</v>
          </cell>
        </row>
        <row r="106">
          <cell r="E106" t="str">
            <v>D</v>
          </cell>
          <cell r="F106" t="str">
            <v>K</v>
          </cell>
          <cell r="G106" t="str">
            <v>D</v>
          </cell>
          <cell r="H106" t="str">
            <v>K</v>
          </cell>
          <cell r="I106" t="str">
            <v>D</v>
          </cell>
          <cell r="J106" t="str">
            <v>K</v>
          </cell>
          <cell r="K106" t="str">
            <v>D</v>
          </cell>
          <cell r="L106" t="str">
            <v>K</v>
          </cell>
          <cell r="M106" t="str">
            <v>D</v>
          </cell>
          <cell r="N106" t="str">
            <v>K</v>
          </cell>
          <cell r="O106" t="str">
            <v>D</v>
          </cell>
          <cell r="P106" t="str">
            <v>K</v>
          </cell>
          <cell r="Q106" t="str">
            <v>D</v>
          </cell>
          <cell r="R106" t="str">
            <v>K</v>
          </cell>
          <cell r="S106" t="str">
            <v>D</v>
          </cell>
          <cell r="T106" t="str">
            <v>K</v>
          </cell>
          <cell r="U106" t="str">
            <v>D</v>
          </cell>
          <cell r="V106" t="str">
            <v>K</v>
          </cell>
          <cell r="W106" t="str">
            <v>D</v>
          </cell>
          <cell r="X106" t="str">
            <v>K</v>
          </cell>
          <cell r="Y106" t="str">
            <v>D</v>
          </cell>
          <cell r="Z106" t="str">
            <v>K</v>
          </cell>
          <cell r="AA106" t="str">
            <v>D</v>
          </cell>
          <cell r="AB106" t="str">
            <v>K</v>
          </cell>
          <cell r="AC106" t="str">
            <v>D</v>
          </cell>
          <cell r="AD106" t="str">
            <v>K</v>
          </cell>
        </row>
        <row r="107">
          <cell r="A107" t="str">
            <v>4110100</v>
          </cell>
          <cell r="B107" t="str">
            <v>PENDAPATAN USAHA</v>
          </cell>
        </row>
        <row r="108">
          <cell r="A108" t="str">
            <v>4110101</v>
          </cell>
          <cell r="B108">
            <v>0</v>
          </cell>
          <cell r="C108" t="str">
            <v>PENJUALAN BBM SOLAR</v>
          </cell>
          <cell r="D108">
            <v>0</v>
          </cell>
          <cell r="E108">
            <v>0</v>
          </cell>
          <cell r="F108">
            <v>835426050</v>
          </cell>
          <cell r="G108">
            <v>0</v>
          </cell>
          <cell r="H108">
            <v>849901525</v>
          </cell>
          <cell r="I108">
            <v>0</v>
          </cell>
          <cell r="J108">
            <v>1023765825</v>
          </cell>
          <cell r="K108">
            <v>0</v>
          </cell>
          <cell r="L108">
            <v>973467900</v>
          </cell>
          <cell r="M108">
            <v>0</v>
          </cell>
          <cell r="N108">
            <v>1267225950</v>
          </cell>
          <cell r="O108">
            <v>0</v>
          </cell>
          <cell r="P108">
            <v>1204417250</v>
          </cell>
          <cell r="Q108">
            <v>0</v>
          </cell>
          <cell r="R108">
            <v>1261220725</v>
          </cell>
          <cell r="S108">
            <v>0</v>
          </cell>
          <cell r="T108">
            <v>1247928525</v>
          </cell>
          <cell r="U108">
            <v>0</v>
          </cell>
          <cell r="V108">
            <v>1168911550</v>
          </cell>
          <cell r="W108">
            <v>0</v>
          </cell>
          <cell r="X108">
            <v>1404413200</v>
          </cell>
          <cell r="Y108">
            <v>0</v>
          </cell>
          <cell r="Z108">
            <v>1322588525</v>
          </cell>
          <cell r="AA108">
            <v>0</v>
          </cell>
          <cell r="AB108">
            <v>1317607550</v>
          </cell>
          <cell r="AC108">
            <v>0</v>
          </cell>
          <cell r="AD108">
            <v>13876874575</v>
          </cell>
        </row>
        <row r="109">
          <cell r="A109" t="str">
            <v>4110201</v>
          </cell>
          <cell r="B109">
            <v>0</v>
          </cell>
          <cell r="C109" t="str">
            <v>PENJUALAN BBM PREMIUM</v>
          </cell>
          <cell r="D109">
            <v>0</v>
          </cell>
          <cell r="E109">
            <v>0</v>
          </cell>
          <cell r="F109">
            <v>1229736775</v>
          </cell>
          <cell r="G109">
            <v>0</v>
          </cell>
          <cell r="H109">
            <v>1263720445</v>
          </cell>
          <cell r="I109">
            <v>0</v>
          </cell>
          <cell r="J109">
            <v>1391113025</v>
          </cell>
          <cell r="K109">
            <v>0</v>
          </cell>
          <cell r="L109">
            <v>1300313350</v>
          </cell>
          <cell r="M109">
            <v>0</v>
          </cell>
          <cell r="N109">
            <v>1513741500</v>
          </cell>
          <cell r="O109">
            <v>0</v>
          </cell>
          <cell r="P109">
            <v>1424880000</v>
          </cell>
          <cell r="Q109">
            <v>0</v>
          </cell>
          <cell r="R109">
            <v>1621799375</v>
          </cell>
          <cell r="S109">
            <v>0</v>
          </cell>
          <cell r="T109">
            <v>1482593225</v>
          </cell>
          <cell r="U109">
            <v>0</v>
          </cell>
          <cell r="V109">
            <v>1403026425</v>
          </cell>
          <cell r="W109">
            <v>0</v>
          </cell>
          <cell r="X109">
            <v>1564755200</v>
          </cell>
          <cell r="Y109">
            <v>0</v>
          </cell>
          <cell r="Z109">
            <v>1448335050</v>
          </cell>
          <cell r="AA109">
            <v>0</v>
          </cell>
          <cell r="AB109">
            <v>1983369075</v>
          </cell>
          <cell r="AC109">
            <v>0</v>
          </cell>
          <cell r="AD109">
            <v>17627383445</v>
          </cell>
        </row>
        <row r="110">
          <cell r="A110" t="str">
            <v>4110301</v>
          </cell>
          <cell r="B110">
            <v>0</v>
          </cell>
          <cell r="C110" t="str">
            <v>PENJUALAN BBM PREMIX</v>
          </cell>
          <cell r="D110">
            <v>0</v>
          </cell>
          <cell r="E110">
            <v>0</v>
          </cell>
          <cell r="F110">
            <v>82154600</v>
          </cell>
          <cell r="G110">
            <v>0</v>
          </cell>
          <cell r="H110">
            <v>72918850</v>
          </cell>
          <cell r="I110">
            <v>0</v>
          </cell>
          <cell r="J110">
            <v>103192300</v>
          </cell>
          <cell r="K110">
            <v>0</v>
          </cell>
          <cell r="L110">
            <v>85137700</v>
          </cell>
          <cell r="M110">
            <v>0</v>
          </cell>
          <cell r="N110">
            <v>90572890</v>
          </cell>
          <cell r="O110">
            <v>0</v>
          </cell>
          <cell r="P110">
            <v>97798050</v>
          </cell>
          <cell r="Q110">
            <v>0</v>
          </cell>
          <cell r="R110">
            <v>118587800</v>
          </cell>
          <cell r="S110">
            <v>0</v>
          </cell>
          <cell r="T110">
            <v>102085750</v>
          </cell>
          <cell r="U110">
            <v>0</v>
          </cell>
          <cell r="V110">
            <v>98678225</v>
          </cell>
          <cell r="W110">
            <v>0</v>
          </cell>
          <cell r="X110">
            <v>130474125</v>
          </cell>
          <cell r="Y110">
            <v>0</v>
          </cell>
          <cell r="Z110">
            <v>98583375</v>
          </cell>
          <cell r="AA110">
            <v>0</v>
          </cell>
          <cell r="AB110">
            <v>212028000</v>
          </cell>
          <cell r="AC110">
            <v>0</v>
          </cell>
          <cell r="AD110">
            <v>1292211665</v>
          </cell>
        </row>
        <row r="111">
          <cell r="A111" t="str">
            <v>4110501</v>
          </cell>
          <cell r="B111">
            <v>0</v>
          </cell>
          <cell r="C111" t="str">
            <v>PENJUALAN PELUMAS</v>
          </cell>
          <cell r="D111">
            <v>0</v>
          </cell>
          <cell r="E111">
            <v>0</v>
          </cell>
          <cell r="F111">
            <v>20607953</v>
          </cell>
          <cell r="G111">
            <v>0</v>
          </cell>
          <cell r="H111">
            <v>16914976</v>
          </cell>
          <cell r="I111">
            <v>0</v>
          </cell>
          <cell r="J111">
            <v>36601713</v>
          </cell>
          <cell r="K111">
            <v>0</v>
          </cell>
          <cell r="L111">
            <v>21335805</v>
          </cell>
          <cell r="M111">
            <v>0</v>
          </cell>
          <cell r="N111">
            <v>23023675</v>
          </cell>
          <cell r="O111">
            <v>0</v>
          </cell>
          <cell r="P111">
            <v>25033380</v>
          </cell>
          <cell r="Q111">
            <v>0</v>
          </cell>
          <cell r="R111">
            <v>18042155</v>
          </cell>
          <cell r="S111">
            <v>0</v>
          </cell>
          <cell r="T111">
            <v>20313205</v>
          </cell>
          <cell r="U111">
            <v>0</v>
          </cell>
          <cell r="V111">
            <v>23014950</v>
          </cell>
          <cell r="W111">
            <v>0</v>
          </cell>
          <cell r="X111">
            <v>22884350</v>
          </cell>
          <cell r="Y111">
            <v>0</v>
          </cell>
          <cell r="Z111">
            <v>21565225</v>
          </cell>
          <cell r="AA111">
            <v>0</v>
          </cell>
          <cell r="AB111">
            <v>25497010</v>
          </cell>
          <cell r="AC111">
            <v>0</v>
          </cell>
          <cell r="AD111">
            <v>274834397</v>
          </cell>
        </row>
        <row r="114">
          <cell r="A114" t="str">
            <v>5110100</v>
          </cell>
          <cell r="B114" t="str">
            <v>HARGA POKOK PENJUALAN</v>
          </cell>
        </row>
        <row r="115">
          <cell r="A115" t="str">
            <v>5110101</v>
          </cell>
          <cell r="B115">
            <v>0</v>
          </cell>
          <cell r="C115" t="str">
            <v>HARGA POKOK BBM SOLAR</v>
          </cell>
          <cell r="D115">
            <v>0</v>
          </cell>
          <cell r="E115">
            <v>793655477</v>
          </cell>
          <cell r="F115">
            <v>0</v>
          </cell>
          <cell r="G115">
            <v>807426907</v>
          </cell>
          <cell r="H115">
            <v>0</v>
          </cell>
          <cell r="I115">
            <v>972577624</v>
          </cell>
          <cell r="J115">
            <v>0</v>
          </cell>
          <cell r="K115">
            <v>924792593</v>
          </cell>
          <cell r="L115">
            <v>0</v>
          </cell>
          <cell r="M115">
            <v>1203864044</v>
          </cell>
          <cell r="N115">
            <v>0</v>
          </cell>
          <cell r="O115">
            <v>1144200405</v>
          </cell>
          <cell r="P115">
            <v>0</v>
          </cell>
          <cell r="Q115">
            <v>1198155559</v>
          </cell>
          <cell r="R115">
            <v>0</v>
          </cell>
          <cell r="S115">
            <v>1185530707</v>
          </cell>
          <cell r="T115">
            <v>0</v>
          </cell>
          <cell r="U115">
            <v>1110468908</v>
          </cell>
          <cell r="V115">
            <v>0</v>
          </cell>
          <cell r="W115">
            <v>1347921917</v>
          </cell>
          <cell r="X115">
            <v>0</v>
          </cell>
          <cell r="Y115">
            <v>1253973785</v>
          </cell>
          <cell r="Z115">
            <v>0</v>
          </cell>
          <cell r="AA115">
            <v>1251729415</v>
          </cell>
          <cell r="AB115">
            <v>0</v>
          </cell>
          <cell r="AC115">
            <v>13194297341</v>
          </cell>
          <cell r="AD115">
            <v>0</v>
          </cell>
        </row>
        <row r="116">
          <cell r="A116" t="str">
            <v>5110201</v>
          </cell>
          <cell r="B116">
            <v>0</v>
          </cell>
          <cell r="C116" t="str">
            <v>HARGA POKOK BBM PREMIUM</v>
          </cell>
          <cell r="D116">
            <v>0</v>
          </cell>
          <cell r="E116">
            <v>1180546219</v>
          </cell>
          <cell r="F116">
            <v>0</v>
          </cell>
          <cell r="G116">
            <v>1213302954</v>
          </cell>
          <cell r="H116">
            <v>0</v>
          </cell>
          <cell r="I116">
            <v>1335485236</v>
          </cell>
          <cell r="J116">
            <v>0</v>
          </cell>
          <cell r="K116">
            <v>1248392556</v>
          </cell>
          <cell r="L116">
            <v>0</v>
          </cell>
          <cell r="M116">
            <v>1453192940</v>
          </cell>
          <cell r="N116">
            <v>0</v>
          </cell>
          <cell r="O116">
            <v>1367888021</v>
          </cell>
          <cell r="P116">
            <v>0</v>
          </cell>
          <cell r="Q116">
            <v>1556929195</v>
          </cell>
          <cell r="R116">
            <v>0</v>
          </cell>
          <cell r="S116">
            <v>1423292642</v>
          </cell>
          <cell r="T116">
            <v>0</v>
          </cell>
          <cell r="U116">
            <v>1346902585</v>
          </cell>
          <cell r="V116">
            <v>0</v>
          </cell>
          <cell r="W116">
            <v>1502160274</v>
          </cell>
          <cell r="X116">
            <v>0</v>
          </cell>
          <cell r="Y116">
            <v>1390401499</v>
          </cell>
          <cell r="Z116">
            <v>0</v>
          </cell>
          <cell r="AA116">
            <v>1904027714</v>
          </cell>
          <cell r="AB116">
            <v>0</v>
          </cell>
          <cell r="AC116">
            <v>16922521835</v>
          </cell>
          <cell r="AD116">
            <v>0</v>
          </cell>
        </row>
        <row r="117">
          <cell r="A117" t="str">
            <v>5110301</v>
          </cell>
          <cell r="B117">
            <v>0</v>
          </cell>
          <cell r="C117" t="str">
            <v>HARGA POKOK BBM PREMIX</v>
          </cell>
          <cell r="D117">
            <v>0</v>
          </cell>
          <cell r="E117">
            <v>76845548</v>
          </cell>
          <cell r="F117">
            <v>0</v>
          </cell>
          <cell r="G117">
            <v>67805914</v>
          </cell>
          <cell r="H117">
            <v>0</v>
          </cell>
          <cell r="I117">
            <v>95970103</v>
          </cell>
          <cell r="J117">
            <v>0</v>
          </cell>
          <cell r="K117">
            <v>79449581</v>
          </cell>
          <cell r="L117">
            <v>0</v>
          </cell>
          <cell r="M117">
            <v>84769829</v>
          </cell>
          <cell r="N117">
            <v>0</v>
          </cell>
          <cell r="O117">
            <v>91547175</v>
          </cell>
          <cell r="P117">
            <v>0</v>
          </cell>
          <cell r="Q117">
            <v>111006829</v>
          </cell>
          <cell r="R117">
            <v>0</v>
          </cell>
          <cell r="S117">
            <v>95562112</v>
          </cell>
          <cell r="T117">
            <v>0</v>
          </cell>
          <cell r="U117">
            <v>92369432</v>
          </cell>
          <cell r="V117">
            <v>0</v>
          </cell>
          <cell r="W117">
            <v>108921015</v>
          </cell>
          <cell r="X117">
            <v>0</v>
          </cell>
          <cell r="Y117">
            <v>95001575</v>
          </cell>
          <cell r="Z117">
            <v>0</v>
          </cell>
          <cell r="AA117">
            <v>199041217</v>
          </cell>
          <cell r="AB117">
            <v>0</v>
          </cell>
          <cell r="AC117">
            <v>1198290330</v>
          </cell>
          <cell r="AD117">
            <v>0</v>
          </cell>
        </row>
        <row r="118">
          <cell r="A118" t="str">
            <v>5110901</v>
          </cell>
          <cell r="B118">
            <v>0</v>
          </cell>
          <cell r="C118" t="str">
            <v>HARGA POKOK PELUMAS</v>
          </cell>
          <cell r="D118">
            <v>0</v>
          </cell>
          <cell r="E118">
            <v>19547598</v>
          </cell>
          <cell r="F118">
            <v>0</v>
          </cell>
          <cell r="G118">
            <v>15544346</v>
          </cell>
          <cell r="H118">
            <v>0</v>
          </cell>
          <cell r="I118">
            <v>35599889</v>
          </cell>
          <cell r="J118">
            <v>0</v>
          </cell>
          <cell r="K118">
            <v>19950178</v>
          </cell>
          <cell r="L118">
            <v>0</v>
          </cell>
          <cell r="M118">
            <v>21513223</v>
          </cell>
          <cell r="N118">
            <v>0</v>
          </cell>
          <cell r="O118">
            <v>23591370</v>
          </cell>
          <cell r="P118">
            <v>0</v>
          </cell>
          <cell r="Q118">
            <v>16668383</v>
          </cell>
          <cell r="R118">
            <v>0</v>
          </cell>
          <cell r="S118">
            <v>18919285</v>
          </cell>
          <cell r="T118">
            <v>0</v>
          </cell>
          <cell r="U118">
            <v>21588710</v>
          </cell>
          <cell r="V118">
            <v>0</v>
          </cell>
          <cell r="W118">
            <v>21627540</v>
          </cell>
          <cell r="X118">
            <v>0</v>
          </cell>
          <cell r="Y118">
            <v>20267170</v>
          </cell>
          <cell r="Z118">
            <v>0</v>
          </cell>
          <cell r="AA118">
            <v>23930503</v>
          </cell>
          <cell r="AB118">
            <v>0</v>
          </cell>
          <cell r="AC118">
            <v>258748195</v>
          </cell>
          <cell r="AD118">
            <v>0</v>
          </cell>
        </row>
        <row r="120">
          <cell r="B120" t="str">
            <v>BIAYA PENGUAPAN</v>
          </cell>
        </row>
        <row r="121">
          <cell r="A121" t="str">
            <v>5110501</v>
          </cell>
          <cell r="B121">
            <v>0</v>
          </cell>
          <cell r="C121" t="str">
            <v>BIAYA PENGUAPAN BBM SOLAR</v>
          </cell>
          <cell r="D121">
            <v>0</v>
          </cell>
          <cell r="E121">
            <v>5501528</v>
          </cell>
          <cell r="F121">
            <v>0</v>
          </cell>
          <cell r="G121">
            <v>7337743</v>
          </cell>
          <cell r="H121">
            <v>368400</v>
          </cell>
          <cell r="I121">
            <v>8279599</v>
          </cell>
          <cell r="J121">
            <v>731573</v>
          </cell>
          <cell r="K121">
            <v>8703532</v>
          </cell>
          <cell r="L121">
            <v>1420348</v>
          </cell>
          <cell r="M121">
            <v>10205177</v>
          </cell>
          <cell r="N121">
            <v>0</v>
          </cell>
          <cell r="O121">
            <v>8737268</v>
          </cell>
          <cell r="P121">
            <v>0</v>
          </cell>
          <cell r="Q121">
            <v>6857216</v>
          </cell>
          <cell r="R121">
            <v>0</v>
          </cell>
          <cell r="S121">
            <v>7583794</v>
          </cell>
          <cell r="T121">
            <v>0</v>
          </cell>
          <cell r="U121">
            <v>0</v>
          </cell>
          <cell r="V121">
            <v>16269168</v>
          </cell>
          <cell r="W121">
            <v>0</v>
          </cell>
          <cell r="X121">
            <v>27341476</v>
          </cell>
          <cell r="Y121">
            <v>3729695</v>
          </cell>
          <cell r="Z121">
            <v>0</v>
          </cell>
          <cell r="AA121">
            <v>4874844</v>
          </cell>
          <cell r="AB121">
            <v>0</v>
          </cell>
          <cell r="AC121">
            <v>71810396</v>
          </cell>
          <cell r="AD121">
            <v>46130965</v>
          </cell>
        </row>
        <row r="122">
          <cell r="A122" t="str">
            <v>5110601</v>
          </cell>
          <cell r="B122">
            <v>0</v>
          </cell>
          <cell r="C122" t="str">
            <v>BIAYA PENGUAPAN BBM PREMIUM</v>
          </cell>
          <cell r="D122">
            <v>0</v>
          </cell>
          <cell r="E122">
            <v>14621237</v>
          </cell>
          <cell r="F122">
            <v>0</v>
          </cell>
          <cell r="G122">
            <v>9993006</v>
          </cell>
          <cell r="H122">
            <v>0</v>
          </cell>
          <cell r="I122">
            <v>10741753</v>
          </cell>
          <cell r="J122">
            <v>228557</v>
          </cell>
          <cell r="K122">
            <v>10229652</v>
          </cell>
          <cell r="L122">
            <v>0</v>
          </cell>
          <cell r="M122">
            <v>14333143</v>
          </cell>
          <cell r="N122">
            <v>0</v>
          </cell>
          <cell r="O122">
            <v>11114779</v>
          </cell>
          <cell r="P122">
            <v>0</v>
          </cell>
          <cell r="Q122">
            <v>13540109</v>
          </cell>
          <cell r="R122">
            <v>0</v>
          </cell>
          <cell r="S122">
            <v>10549365</v>
          </cell>
          <cell r="T122">
            <v>0</v>
          </cell>
          <cell r="U122">
            <v>11513178</v>
          </cell>
          <cell r="V122">
            <v>0</v>
          </cell>
          <cell r="W122">
            <v>13258526</v>
          </cell>
          <cell r="X122">
            <v>0</v>
          </cell>
          <cell r="Y122">
            <v>14263301</v>
          </cell>
          <cell r="Z122">
            <v>0</v>
          </cell>
          <cell r="AA122">
            <v>22940686</v>
          </cell>
          <cell r="AB122">
            <v>0</v>
          </cell>
          <cell r="AC122">
            <v>157098735</v>
          </cell>
          <cell r="AD122">
            <v>228557</v>
          </cell>
        </row>
        <row r="123">
          <cell r="A123" t="str">
            <v>5110701</v>
          </cell>
          <cell r="B123">
            <v>0</v>
          </cell>
          <cell r="C123" t="str">
            <v>BIAYA PENGUAPAN BBM PREMIX</v>
          </cell>
          <cell r="D123">
            <v>0</v>
          </cell>
          <cell r="E123">
            <v>1374329</v>
          </cell>
          <cell r="F123">
            <v>0</v>
          </cell>
          <cell r="G123">
            <v>738146</v>
          </cell>
          <cell r="H123">
            <v>0</v>
          </cell>
          <cell r="I123">
            <v>587021</v>
          </cell>
          <cell r="J123">
            <v>115726</v>
          </cell>
          <cell r="K123">
            <v>1218266</v>
          </cell>
          <cell r="L123">
            <v>0</v>
          </cell>
          <cell r="M123">
            <v>1428910</v>
          </cell>
          <cell r="N123">
            <v>0</v>
          </cell>
          <cell r="O123">
            <v>763706</v>
          </cell>
          <cell r="P123">
            <v>0</v>
          </cell>
          <cell r="Q123">
            <v>1217788</v>
          </cell>
          <cell r="R123">
            <v>0</v>
          </cell>
          <cell r="S123">
            <v>1291757</v>
          </cell>
          <cell r="T123">
            <v>0</v>
          </cell>
          <cell r="U123">
            <v>1598750</v>
          </cell>
          <cell r="V123">
            <v>0</v>
          </cell>
          <cell r="W123">
            <v>1144402</v>
          </cell>
          <cell r="X123">
            <v>0</v>
          </cell>
          <cell r="Y123">
            <v>965068</v>
          </cell>
          <cell r="Z123">
            <v>0</v>
          </cell>
          <cell r="AA123">
            <v>2354027</v>
          </cell>
          <cell r="AB123">
            <v>0</v>
          </cell>
          <cell r="AC123">
            <v>14682170</v>
          </cell>
          <cell r="AD123">
            <v>115726</v>
          </cell>
        </row>
        <row r="124">
          <cell r="A124" t="str">
            <v>9110101</v>
          </cell>
          <cell r="B124">
            <v>0</v>
          </cell>
          <cell r="C124" t="str">
            <v>TAKSIRAN PAJAK PENGHASILAN</v>
          </cell>
          <cell r="D124">
            <v>0</v>
          </cell>
          <cell r="E124">
            <v>6224400</v>
          </cell>
          <cell r="F124">
            <v>0</v>
          </cell>
          <cell r="G124">
            <v>6544800</v>
          </cell>
          <cell r="H124">
            <v>0</v>
          </cell>
          <cell r="I124">
            <v>7560000</v>
          </cell>
          <cell r="J124">
            <v>0</v>
          </cell>
          <cell r="K124">
            <v>7338000</v>
          </cell>
          <cell r="L124">
            <v>0</v>
          </cell>
          <cell r="M124">
            <v>8764800</v>
          </cell>
          <cell r="N124">
            <v>0</v>
          </cell>
          <cell r="O124">
            <v>7777200</v>
          </cell>
          <cell r="P124">
            <v>0</v>
          </cell>
          <cell r="Q124">
            <v>9537600</v>
          </cell>
          <cell r="R124">
            <v>0</v>
          </cell>
          <cell r="S124">
            <v>8335320</v>
          </cell>
          <cell r="T124">
            <v>0</v>
          </cell>
          <cell r="U124">
            <v>8107680</v>
          </cell>
          <cell r="V124">
            <v>0</v>
          </cell>
          <cell r="W124">
            <v>8586480</v>
          </cell>
          <cell r="X124">
            <v>0</v>
          </cell>
          <cell r="Y124">
            <v>9047280</v>
          </cell>
          <cell r="Z124">
            <v>0</v>
          </cell>
          <cell r="AA124">
            <v>10368000</v>
          </cell>
          <cell r="AB124">
            <v>0</v>
          </cell>
          <cell r="AC124">
            <v>98191560</v>
          </cell>
          <cell r="AD124">
            <v>0</v>
          </cell>
        </row>
        <row r="127">
          <cell r="A127" t="str">
            <v>6210100</v>
          </cell>
          <cell r="B127" t="str">
            <v>BIAYA PERSONALIA</v>
          </cell>
        </row>
        <row r="128">
          <cell r="A128" t="str">
            <v>6210101</v>
          </cell>
          <cell r="B128">
            <v>0</v>
          </cell>
          <cell r="C128" t="str">
            <v>GAJI</v>
          </cell>
          <cell r="D128">
            <v>0</v>
          </cell>
          <cell r="E128">
            <v>11389125</v>
          </cell>
          <cell r="F128">
            <v>0</v>
          </cell>
          <cell r="G128">
            <v>14710004</v>
          </cell>
          <cell r="H128">
            <v>0</v>
          </cell>
          <cell r="I128">
            <v>14624181</v>
          </cell>
          <cell r="J128">
            <v>0</v>
          </cell>
          <cell r="K128">
            <v>14524181</v>
          </cell>
          <cell r="L128">
            <v>0</v>
          </cell>
          <cell r="M128">
            <v>14490848</v>
          </cell>
          <cell r="N128">
            <v>0</v>
          </cell>
          <cell r="O128">
            <v>14526431</v>
          </cell>
          <cell r="P128">
            <v>0</v>
          </cell>
          <cell r="Q128">
            <v>14202431</v>
          </cell>
          <cell r="R128">
            <v>0</v>
          </cell>
          <cell r="S128">
            <v>14207258</v>
          </cell>
          <cell r="T128">
            <v>0</v>
          </cell>
          <cell r="U128">
            <v>14624181</v>
          </cell>
          <cell r="V128">
            <v>0</v>
          </cell>
          <cell r="W128">
            <v>14524181</v>
          </cell>
          <cell r="X128">
            <v>0</v>
          </cell>
          <cell r="Y128">
            <v>14524181</v>
          </cell>
          <cell r="Z128">
            <v>0</v>
          </cell>
          <cell r="AA128">
            <v>16003351</v>
          </cell>
          <cell r="AB128">
            <v>0</v>
          </cell>
          <cell r="AC128">
            <v>172350353</v>
          </cell>
          <cell r="AD128">
            <v>0</v>
          </cell>
        </row>
        <row r="129">
          <cell r="A129" t="str">
            <v>6210104</v>
          </cell>
          <cell r="B129">
            <v>0</v>
          </cell>
          <cell r="C129" t="str">
            <v>TUNJANGAN ASTEK</v>
          </cell>
          <cell r="D129">
            <v>0</v>
          </cell>
          <cell r="E129">
            <v>496576</v>
          </cell>
          <cell r="F129">
            <v>0</v>
          </cell>
          <cell r="G129">
            <v>496576</v>
          </cell>
          <cell r="H129">
            <v>0</v>
          </cell>
          <cell r="I129">
            <v>496576</v>
          </cell>
          <cell r="J129">
            <v>0</v>
          </cell>
          <cell r="K129">
            <v>496576</v>
          </cell>
          <cell r="L129">
            <v>0</v>
          </cell>
          <cell r="M129">
            <v>496576</v>
          </cell>
          <cell r="N129">
            <v>0</v>
          </cell>
          <cell r="O129">
            <v>496576</v>
          </cell>
          <cell r="P129">
            <v>0</v>
          </cell>
          <cell r="Q129">
            <v>496576</v>
          </cell>
          <cell r="R129">
            <v>0</v>
          </cell>
          <cell r="S129">
            <v>496576</v>
          </cell>
          <cell r="T129">
            <v>0</v>
          </cell>
          <cell r="U129">
            <v>496576</v>
          </cell>
          <cell r="V129">
            <v>0</v>
          </cell>
          <cell r="W129">
            <v>496576</v>
          </cell>
          <cell r="X129">
            <v>0</v>
          </cell>
          <cell r="Y129">
            <v>496576</v>
          </cell>
          <cell r="Z129">
            <v>0</v>
          </cell>
          <cell r="AA129">
            <v>496576</v>
          </cell>
          <cell r="AB129">
            <v>0</v>
          </cell>
          <cell r="AC129">
            <v>5958912</v>
          </cell>
          <cell r="AD129">
            <v>0</v>
          </cell>
        </row>
        <row r="130">
          <cell r="A130" t="str">
            <v>6210107</v>
          </cell>
          <cell r="B130">
            <v>0</v>
          </cell>
          <cell r="C130" t="str">
            <v>THR/BONUS</v>
          </cell>
          <cell r="D130">
            <v>0</v>
          </cell>
          <cell r="E130">
            <v>1000000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14745067</v>
          </cell>
          <cell r="Z130">
            <v>0</v>
          </cell>
          <cell r="AA130">
            <v>0</v>
          </cell>
          <cell r="AB130">
            <v>0</v>
          </cell>
          <cell r="AC130">
            <v>15745067</v>
          </cell>
          <cell r="AD130">
            <v>0</v>
          </cell>
        </row>
        <row r="133">
          <cell r="A133" t="str">
            <v>6210200</v>
          </cell>
          <cell r="B133" t="str">
            <v>BIAYA PEMELIHARAAN</v>
          </cell>
        </row>
        <row r="134">
          <cell r="A134" t="str">
            <v>6210201</v>
          </cell>
          <cell r="B134">
            <v>0</v>
          </cell>
          <cell r="C134" t="str">
            <v>PEMELIHARAAN BANGUNAN DAN TAMAN</v>
          </cell>
          <cell r="D134">
            <v>0</v>
          </cell>
          <cell r="E134">
            <v>149250</v>
          </cell>
          <cell r="F134">
            <v>0</v>
          </cell>
          <cell r="G134">
            <v>41000</v>
          </cell>
          <cell r="H134">
            <v>0</v>
          </cell>
          <cell r="I134">
            <v>2248000</v>
          </cell>
          <cell r="J134">
            <v>0</v>
          </cell>
          <cell r="K134">
            <v>136000</v>
          </cell>
          <cell r="L134">
            <v>0</v>
          </cell>
          <cell r="M134">
            <v>237425</v>
          </cell>
          <cell r="N134">
            <v>0</v>
          </cell>
          <cell r="O134">
            <v>285300</v>
          </cell>
          <cell r="P134">
            <v>0</v>
          </cell>
          <cell r="Q134">
            <v>650800</v>
          </cell>
          <cell r="R134">
            <v>0</v>
          </cell>
          <cell r="S134">
            <v>499900</v>
          </cell>
          <cell r="T134">
            <v>0</v>
          </cell>
          <cell r="U134">
            <v>646300</v>
          </cell>
          <cell r="V134">
            <v>0</v>
          </cell>
          <cell r="W134">
            <v>6976800</v>
          </cell>
          <cell r="X134">
            <v>0</v>
          </cell>
          <cell r="Y134">
            <v>366550</v>
          </cell>
          <cell r="Z134">
            <v>0</v>
          </cell>
          <cell r="AA134">
            <v>2259500</v>
          </cell>
          <cell r="AB134">
            <v>0</v>
          </cell>
          <cell r="AC134">
            <v>14496825</v>
          </cell>
          <cell r="AD134">
            <v>0</v>
          </cell>
        </row>
        <row r="135">
          <cell r="A135" t="str">
            <v>6210202</v>
          </cell>
          <cell r="B135">
            <v>0</v>
          </cell>
          <cell r="C135" t="str">
            <v>PEMELIHARAAN KENDARAAN</v>
          </cell>
          <cell r="D135">
            <v>0</v>
          </cell>
          <cell r="E135">
            <v>0</v>
          </cell>
          <cell r="F135">
            <v>0</v>
          </cell>
          <cell r="G135">
            <v>776750</v>
          </cell>
          <cell r="H135">
            <v>0</v>
          </cell>
          <cell r="I135">
            <v>467500</v>
          </cell>
          <cell r="J135">
            <v>0</v>
          </cell>
          <cell r="K135">
            <v>125000</v>
          </cell>
          <cell r="L135">
            <v>0</v>
          </cell>
          <cell r="M135">
            <v>1859000</v>
          </cell>
          <cell r="N135">
            <v>0</v>
          </cell>
          <cell r="O135">
            <v>1865000</v>
          </cell>
          <cell r="P135">
            <v>0</v>
          </cell>
          <cell r="Q135">
            <v>2346500</v>
          </cell>
          <cell r="R135">
            <v>0</v>
          </cell>
          <cell r="S135">
            <v>69000</v>
          </cell>
          <cell r="T135">
            <v>0</v>
          </cell>
          <cell r="U135">
            <v>732000</v>
          </cell>
          <cell r="V135">
            <v>0</v>
          </cell>
          <cell r="W135">
            <v>1080000</v>
          </cell>
          <cell r="X135">
            <v>0</v>
          </cell>
          <cell r="Y135">
            <v>216000</v>
          </cell>
          <cell r="Z135">
            <v>0</v>
          </cell>
          <cell r="AA135">
            <v>0</v>
          </cell>
          <cell r="AB135">
            <v>0</v>
          </cell>
          <cell r="AC135">
            <v>9536750</v>
          </cell>
          <cell r="AD135">
            <v>0</v>
          </cell>
        </row>
        <row r="136">
          <cell r="A136" t="str">
            <v>6210203</v>
          </cell>
          <cell r="B136">
            <v>0</v>
          </cell>
          <cell r="C136" t="str">
            <v>PEMELIHARAAN MESIN DAN PERALATAN</v>
          </cell>
          <cell r="D136">
            <v>0</v>
          </cell>
          <cell r="E136">
            <v>2190000</v>
          </cell>
          <cell r="F136">
            <v>0</v>
          </cell>
          <cell r="G136">
            <v>3088700</v>
          </cell>
          <cell r="H136">
            <v>0</v>
          </cell>
          <cell r="I136">
            <v>32500</v>
          </cell>
          <cell r="J136">
            <v>0</v>
          </cell>
          <cell r="K136">
            <v>6890300</v>
          </cell>
          <cell r="L136">
            <v>0</v>
          </cell>
          <cell r="M136">
            <v>3500</v>
          </cell>
          <cell r="N136">
            <v>0</v>
          </cell>
          <cell r="O136">
            <v>387000</v>
          </cell>
          <cell r="P136">
            <v>0</v>
          </cell>
          <cell r="Q136">
            <v>65000</v>
          </cell>
          <cell r="R136">
            <v>0</v>
          </cell>
          <cell r="S136">
            <v>612550</v>
          </cell>
          <cell r="T136">
            <v>0</v>
          </cell>
          <cell r="U136">
            <v>7901500</v>
          </cell>
          <cell r="V136">
            <v>0</v>
          </cell>
          <cell r="W136">
            <v>2375000</v>
          </cell>
          <cell r="X136">
            <v>0</v>
          </cell>
          <cell r="Y136">
            <v>450000</v>
          </cell>
          <cell r="Z136">
            <v>0</v>
          </cell>
          <cell r="AA136">
            <v>0</v>
          </cell>
          <cell r="AB136">
            <v>0</v>
          </cell>
          <cell r="AC136">
            <v>23996050</v>
          </cell>
          <cell r="AD136">
            <v>0</v>
          </cell>
        </row>
        <row r="137">
          <cell r="A137" t="str">
            <v>6210204</v>
          </cell>
          <cell r="B137">
            <v>0</v>
          </cell>
          <cell r="C137" t="str">
            <v>PEMELIHARAAN INVENTARIS KANTOR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20000</v>
          </cell>
          <cell r="J137">
            <v>0</v>
          </cell>
          <cell r="K137">
            <v>25000</v>
          </cell>
          <cell r="L137">
            <v>0</v>
          </cell>
          <cell r="M137">
            <v>69000</v>
          </cell>
          <cell r="N137">
            <v>0</v>
          </cell>
          <cell r="O137">
            <v>41000</v>
          </cell>
          <cell r="P137">
            <v>0</v>
          </cell>
          <cell r="Q137">
            <v>271500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46800</v>
          </cell>
          <cell r="AB137">
            <v>0</v>
          </cell>
          <cell r="AC137">
            <v>473300</v>
          </cell>
          <cell r="AD137">
            <v>0</v>
          </cell>
        </row>
        <row r="140">
          <cell r="A140" t="str">
            <v>6210000</v>
          </cell>
          <cell r="B140" t="str">
            <v>BIAYA ADMINISTRASI &amp; UMUM</v>
          </cell>
        </row>
        <row r="141">
          <cell r="A141" t="str">
            <v>6210301</v>
          </cell>
          <cell r="B141">
            <v>0</v>
          </cell>
          <cell r="C141" t="str">
            <v>BIAYA SUPPLIES, ATK, DAN CETAKAN</v>
          </cell>
          <cell r="D141">
            <v>0</v>
          </cell>
          <cell r="E141">
            <v>615635</v>
          </cell>
          <cell r="F141">
            <v>0</v>
          </cell>
          <cell r="G141">
            <v>488625</v>
          </cell>
          <cell r="H141">
            <v>0</v>
          </cell>
          <cell r="I141">
            <v>155795</v>
          </cell>
          <cell r="J141">
            <v>0</v>
          </cell>
          <cell r="K141">
            <v>145550</v>
          </cell>
          <cell r="L141">
            <v>0</v>
          </cell>
          <cell r="M141">
            <v>157900</v>
          </cell>
          <cell r="N141">
            <v>0</v>
          </cell>
          <cell r="O141">
            <v>107650</v>
          </cell>
          <cell r="P141">
            <v>0</v>
          </cell>
          <cell r="Q141">
            <v>224975</v>
          </cell>
          <cell r="R141">
            <v>0</v>
          </cell>
          <cell r="S141">
            <v>87175</v>
          </cell>
          <cell r="T141">
            <v>0</v>
          </cell>
          <cell r="U141">
            <v>199250</v>
          </cell>
          <cell r="V141">
            <v>0</v>
          </cell>
          <cell r="W141">
            <v>85650</v>
          </cell>
          <cell r="X141">
            <v>0</v>
          </cell>
          <cell r="Y141">
            <v>166695</v>
          </cell>
          <cell r="Z141">
            <v>0</v>
          </cell>
          <cell r="AA141">
            <v>657100</v>
          </cell>
          <cell r="AB141">
            <v>0</v>
          </cell>
          <cell r="AC141">
            <v>3092000</v>
          </cell>
          <cell r="AD141">
            <v>0</v>
          </cell>
        </row>
        <row r="142">
          <cell r="A142" t="str">
            <v>6210401</v>
          </cell>
          <cell r="B142">
            <v>0</v>
          </cell>
          <cell r="C142" t="str">
            <v>BIAYA TELPON, FAX DAN HP</v>
          </cell>
          <cell r="D142">
            <v>0</v>
          </cell>
          <cell r="E142">
            <v>534193</v>
          </cell>
          <cell r="F142">
            <v>0</v>
          </cell>
          <cell r="G142">
            <v>1268323</v>
          </cell>
          <cell r="H142">
            <v>0</v>
          </cell>
          <cell r="I142">
            <v>526598</v>
          </cell>
          <cell r="J142">
            <v>0</v>
          </cell>
          <cell r="K142">
            <v>1203820</v>
          </cell>
          <cell r="L142">
            <v>0</v>
          </cell>
          <cell r="M142">
            <v>1740140</v>
          </cell>
          <cell r="N142">
            <v>0</v>
          </cell>
          <cell r="O142">
            <v>1848691</v>
          </cell>
          <cell r="P142">
            <v>0</v>
          </cell>
          <cell r="Q142">
            <v>1590440</v>
          </cell>
          <cell r="R142">
            <v>0</v>
          </cell>
          <cell r="S142">
            <v>1662069</v>
          </cell>
          <cell r="T142">
            <v>0</v>
          </cell>
          <cell r="U142">
            <v>1537152</v>
          </cell>
          <cell r="V142">
            <v>0</v>
          </cell>
          <cell r="W142">
            <v>1753418</v>
          </cell>
          <cell r="X142">
            <v>0</v>
          </cell>
          <cell r="Y142">
            <v>5742831</v>
          </cell>
          <cell r="Z142">
            <v>0</v>
          </cell>
          <cell r="AA142">
            <v>3006811</v>
          </cell>
          <cell r="AB142">
            <v>0</v>
          </cell>
          <cell r="AC142">
            <v>22414486</v>
          </cell>
          <cell r="AD142">
            <v>0</v>
          </cell>
        </row>
        <row r="143">
          <cell r="A143" t="str">
            <v>6210501</v>
          </cell>
          <cell r="B143">
            <v>0</v>
          </cell>
          <cell r="C143" t="str">
            <v>BIAYA TRANSFER, POS, DAN MATERAI</v>
          </cell>
          <cell r="D143">
            <v>0</v>
          </cell>
          <cell r="E143">
            <v>250000</v>
          </cell>
          <cell r="F143">
            <v>0</v>
          </cell>
          <cell r="G143">
            <v>330000</v>
          </cell>
          <cell r="H143">
            <v>0</v>
          </cell>
          <cell r="I143">
            <v>496000</v>
          </cell>
          <cell r="J143">
            <v>0</v>
          </cell>
          <cell r="K143">
            <v>243000</v>
          </cell>
          <cell r="L143">
            <v>0</v>
          </cell>
          <cell r="M143">
            <v>278800</v>
          </cell>
          <cell r="N143">
            <v>0</v>
          </cell>
          <cell r="O143">
            <v>232000</v>
          </cell>
          <cell r="P143">
            <v>0</v>
          </cell>
          <cell r="Q143">
            <v>262000</v>
          </cell>
          <cell r="R143">
            <v>0</v>
          </cell>
          <cell r="S143">
            <v>256000</v>
          </cell>
          <cell r="T143">
            <v>0</v>
          </cell>
          <cell r="U143">
            <v>274000</v>
          </cell>
          <cell r="V143">
            <v>0</v>
          </cell>
          <cell r="W143">
            <v>343000</v>
          </cell>
          <cell r="X143">
            <v>0</v>
          </cell>
          <cell r="Y143">
            <v>259000</v>
          </cell>
          <cell r="Z143">
            <v>0</v>
          </cell>
          <cell r="AA143">
            <v>509000</v>
          </cell>
          <cell r="AB143">
            <v>0</v>
          </cell>
          <cell r="AC143">
            <v>3732800</v>
          </cell>
          <cell r="AD143">
            <v>0</v>
          </cell>
        </row>
        <row r="144">
          <cell r="A144" t="str">
            <v>6210601</v>
          </cell>
          <cell r="B144">
            <v>0</v>
          </cell>
          <cell r="C144" t="str">
            <v>BIAYA LISTRIK PLN DAN GENSET</v>
          </cell>
          <cell r="D144">
            <v>0</v>
          </cell>
          <cell r="E144">
            <v>1917981</v>
          </cell>
          <cell r="F144">
            <v>0</v>
          </cell>
          <cell r="G144">
            <v>2324010</v>
          </cell>
          <cell r="H144">
            <v>0</v>
          </cell>
          <cell r="I144">
            <v>1996315</v>
          </cell>
          <cell r="J144">
            <v>0</v>
          </cell>
          <cell r="K144">
            <v>1522975</v>
          </cell>
          <cell r="L144">
            <v>0</v>
          </cell>
          <cell r="M144">
            <v>2296270</v>
          </cell>
          <cell r="N144">
            <v>0</v>
          </cell>
          <cell r="O144">
            <v>2770665</v>
          </cell>
          <cell r="P144">
            <v>0</v>
          </cell>
          <cell r="Q144">
            <v>1937200</v>
          </cell>
          <cell r="R144">
            <v>0</v>
          </cell>
          <cell r="S144">
            <v>2029825</v>
          </cell>
          <cell r="T144">
            <v>0</v>
          </cell>
          <cell r="U144">
            <v>2152500</v>
          </cell>
          <cell r="V144">
            <v>0</v>
          </cell>
          <cell r="W144">
            <v>2216700</v>
          </cell>
          <cell r="X144">
            <v>0</v>
          </cell>
          <cell r="Y144">
            <v>2448025</v>
          </cell>
          <cell r="Z144">
            <v>0</v>
          </cell>
          <cell r="AA144">
            <v>2272200</v>
          </cell>
          <cell r="AB144">
            <v>0</v>
          </cell>
          <cell r="AC144">
            <v>25884666</v>
          </cell>
          <cell r="AD144">
            <v>0</v>
          </cell>
        </row>
        <row r="145">
          <cell r="A145" t="str">
            <v>6210701</v>
          </cell>
          <cell r="B145">
            <v>0</v>
          </cell>
          <cell r="C145" t="str">
            <v>BIAYA TRANSPORT LOKAL (BBM,TOL,PARKIR)</v>
          </cell>
          <cell r="D145">
            <v>0</v>
          </cell>
          <cell r="E145">
            <v>204900</v>
          </cell>
          <cell r="F145">
            <v>0</v>
          </cell>
          <cell r="G145">
            <v>273050</v>
          </cell>
          <cell r="H145">
            <v>0</v>
          </cell>
          <cell r="I145">
            <v>291100</v>
          </cell>
          <cell r="J145">
            <v>0</v>
          </cell>
          <cell r="K145">
            <v>270500</v>
          </cell>
          <cell r="L145">
            <v>0</v>
          </cell>
          <cell r="M145">
            <v>260900</v>
          </cell>
          <cell r="N145">
            <v>0</v>
          </cell>
          <cell r="O145">
            <v>159500</v>
          </cell>
          <cell r="P145">
            <v>0</v>
          </cell>
          <cell r="Q145">
            <v>218995</v>
          </cell>
          <cell r="R145">
            <v>0</v>
          </cell>
          <cell r="S145">
            <v>217650</v>
          </cell>
          <cell r="T145">
            <v>0</v>
          </cell>
          <cell r="U145">
            <v>183840</v>
          </cell>
          <cell r="V145">
            <v>0</v>
          </cell>
          <cell r="W145">
            <v>242500</v>
          </cell>
          <cell r="X145">
            <v>0</v>
          </cell>
          <cell r="Y145">
            <v>225400</v>
          </cell>
          <cell r="Z145">
            <v>0</v>
          </cell>
          <cell r="AA145">
            <v>123500</v>
          </cell>
          <cell r="AB145">
            <v>0</v>
          </cell>
          <cell r="AC145">
            <v>2671835</v>
          </cell>
          <cell r="AD145">
            <v>0</v>
          </cell>
        </row>
        <row r="146">
          <cell r="A146" t="str">
            <v>6210801</v>
          </cell>
          <cell r="B146">
            <v>0</v>
          </cell>
          <cell r="C146" t="str">
            <v>PERJALANAN DINAS</v>
          </cell>
          <cell r="D146">
            <v>0</v>
          </cell>
          <cell r="E146">
            <v>666629</v>
          </cell>
          <cell r="F146">
            <v>0</v>
          </cell>
          <cell r="G146">
            <v>651494</v>
          </cell>
          <cell r="H146">
            <v>0</v>
          </cell>
          <cell r="I146">
            <v>1738119</v>
          </cell>
          <cell r="J146">
            <v>0</v>
          </cell>
          <cell r="K146">
            <v>367826</v>
          </cell>
          <cell r="L146">
            <v>0</v>
          </cell>
          <cell r="M146">
            <v>3054052</v>
          </cell>
          <cell r="N146">
            <v>0</v>
          </cell>
          <cell r="O146">
            <v>746620</v>
          </cell>
          <cell r="P146">
            <v>0</v>
          </cell>
          <cell r="Q146">
            <v>837807</v>
          </cell>
          <cell r="R146">
            <v>0</v>
          </cell>
          <cell r="S146">
            <v>924464</v>
          </cell>
          <cell r="T146">
            <v>0</v>
          </cell>
          <cell r="U146">
            <v>1839450</v>
          </cell>
          <cell r="V146">
            <v>0</v>
          </cell>
          <cell r="W146">
            <v>1393140</v>
          </cell>
          <cell r="X146">
            <v>0</v>
          </cell>
          <cell r="Y146">
            <v>866675</v>
          </cell>
          <cell r="Z146">
            <v>0</v>
          </cell>
          <cell r="AA146">
            <v>3216246</v>
          </cell>
          <cell r="AB146">
            <v>0</v>
          </cell>
          <cell r="AC146">
            <v>16302522</v>
          </cell>
          <cell r="AD146">
            <v>0</v>
          </cell>
        </row>
        <row r="147">
          <cell r="A147" t="str">
            <v>6210901</v>
          </cell>
          <cell r="B147">
            <v>0</v>
          </cell>
          <cell r="C147" t="str">
            <v>ENTERTAINT DAN REPRESENTASI</v>
          </cell>
          <cell r="D147">
            <v>0</v>
          </cell>
          <cell r="E147">
            <v>478569</v>
          </cell>
          <cell r="F147">
            <v>0</v>
          </cell>
          <cell r="G147">
            <v>1054650</v>
          </cell>
          <cell r="H147">
            <v>0</v>
          </cell>
          <cell r="I147">
            <v>876600</v>
          </cell>
          <cell r="J147">
            <v>0</v>
          </cell>
          <cell r="K147">
            <v>1200000</v>
          </cell>
          <cell r="L147">
            <v>0</v>
          </cell>
          <cell r="M147">
            <v>1331155</v>
          </cell>
          <cell r="N147">
            <v>0</v>
          </cell>
          <cell r="O147">
            <v>511500</v>
          </cell>
          <cell r="P147">
            <v>0</v>
          </cell>
          <cell r="Q147">
            <v>705000</v>
          </cell>
          <cell r="R147">
            <v>0</v>
          </cell>
          <cell r="S147">
            <v>917500</v>
          </cell>
          <cell r="T147">
            <v>0</v>
          </cell>
          <cell r="U147">
            <v>797994</v>
          </cell>
          <cell r="V147">
            <v>0</v>
          </cell>
          <cell r="W147">
            <v>4787000</v>
          </cell>
          <cell r="X147">
            <v>0</v>
          </cell>
          <cell r="Y147">
            <v>1270515</v>
          </cell>
          <cell r="Z147">
            <v>0</v>
          </cell>
          <cell r="AA147">
            <v>6823100</v>
          </cell>
          <cell r="AB147">
            <v>0</v>
          </cell>
          <cell r="AC147">
            <v>20753583</v>
          </cell>
          <cell r="AD147">
            <v>0</v>
          </cell>
        </row>
        <row r="148">
          <cell r="A148" t="str">
            <v>6211301</v>
          </cell>
          <cell r="B148">
            <v>0</v>
          </cell>
          <cell r="C148" t="str">
            <v>BIAYA DOKUMENTASI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26500</v>
          </cell>
          <cell r="AB148">
            <v>0</v>
          </cell>
          <cell r="AC148">
            <v>26500</v>
          </cell>
          <cell r="AD148">
            <v>0</v>
          </cell>
        </row>
        <row r="149">
          <cell r="A149" t="str">
            <v>6211401</v>
          </cell>
          <cell r="B149">
            <v>0</v>
          </cell>
          <cell r="C149" t="str">
            <v>BIAYA KEPERLUAN KANTOR (ART)</v>
          </cell>
          <cell r="D149">
            <v>0</v>
          </cell>
          <cell r="E149">
            <v>19690</v>
          </cell>
          <cell r="F149">
            <v>0</v>
          </cell>
          <cell r="G149">
            <v>62330</v>
          </cell>
          <cell r="H149">
            <v>0</v>
          </cell>
          <cell r="I149">
            <v>22455</v>
          </cell>
          <cell r="J149">
            <v>0</v>
          </cell>
          <cell r="K149">
            <v>35020</v>
          </cell>
          <cell r="L149">
            <v>0</v>
          </cell>
          <cell r="M149">
            <v>28135</v>
          </cell>
          <cell r="N149">
            <v>0</v>
          </cell>
          <cell r="O149">
            <v>15650</v>
          </cell>
          <cell r="P149">
            <v>0</v>
          </cell>
          <cell r="Q149">
            <v>70070</v>
          </cell>
          <cell r="R149">
            <v>0</v>
          </cell>
          <cell r="S149">
            <v>23830</v>
          </cell>
          <cell r="T149">
            <v>0</v>
          </cell>
          <cell r="U149">
            <v>44815</v>
          </cell>
          <cell r="V149">
            <v>0</v>
          </cell>
          <cell r="W149">
            <v>73670</v>
          </cell>
          <cell r="X149">
            <v>0</v>
          </cell>
          <cell r="Y149">
            <v>24010</v>
          </cell>
          <cell r="Z149">
            <v>0</v>
          </cell>
          <cell r="AA149">
            <v>30560</v>
          </cell>
          <cell r="AB149">
            <v>0</v>
          </cell>
          <cell r="AC149">
            <v>450235</v>
          </cell>
          <cell r="AD149">
            <v>0</v>
          </cell>
        </row>
        <row r="150">
          <cell r="A150" t="str">
            <v>6211501</v>
          </cell>
          <cell r="B150">
            <v>0</v>
          </cell>
          <cell r="C150" t="str">
            <v>BIAYA PERALATAN KERJA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18200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18200</v>
          </cell>
          <cell r="AD150">
            <v>0</v>
          </cell>
        </row>
        <row r="151">
          <cell r="A151" t="str">
            <v>6211601</v>
          </cell>
          <cell r="B151">
            <v>0</v>
          </cell>
          <cell r="C151" t="str">
            <v>BIAYA MAKAN MINUM</v>
          </cell>
          <cell r="D151">
            <v>0</v>
          </cell>
          <cell r="E151">
            <v>434900</v>
          </cell>
          <cell r="F151">
            <v>0</v>
          </cell>
          <cell r="G151">
            <v>486800</v>
          </cell>
          <cell r="H151">
            <v>0</v>
          </cell>
          <cell r="I151">
            <v>499200</v>
          </cell>
          <cell r="J151">
            <v>0</v>
          </cell>
          <cell r="K151">
            <v>544000</v>
          </cell>
          <cell r="L151">
            <v>0</v>
          </cell>
          <cell r="M151">
            <v>580000</v>
          </cell>
          <cell r="N151">
            <v>0</v>
          </cell>
          <cell r="O151">
            <v>482100</v>
          </cell>
          <cell r="P151">
            <v>0</v>
          </cell>
          <cell r="Q151">
            <v>573700</v>
          </cell>
          <cell r="R151">
            <v>0</v>
          </cell>
          <cell r="S151">
            <v>624000</v>
          </cell>
          <cell r="T151">
            <v>0</v>
          </cell>
          <cell r="U151">
            <v>656600</v>
          </cell>
          <cell r="V151">
            <v>0</v>
          </cell>
          <cell r="W151">
            <v>677200</v>
          </cell>
          <cell r="X151">
            <v>0</v>
          </cell>
          <cell r="Y151">
            <v>825750</v>
          </cell>
          <cell r="Z151">
            <v>0</v>
          </cell>
          <cell r="AA151">
            <v>709200</v>
          </cell>
          <cell r="AB151">
            <v>0</v>
          </cell>
          <cell r="AC151">
            <v>7093450</v>
          </cell>
          <cell r="AD151">
            <v>0</v>
          </cell>
        </row>
        <row r="152">
          <cell r="A152" t="str">
            <v>6211701</v>
          </cell>
          <cell r="B152">
            <v>0</v>
          </cell>
          <cell r="C152" t="str">
            <v>BIAYA KEAMANAN &amp; KEBERSIHAN</v>
          </cell>
          <cell r="D152">
            <v>0</v>
          </cell>
          <cell r="E152">
            <v>375000</v>
          </cell>
          <cell r="F152">
            <v>0</v>
          </cell>
          <cell r="G152">
            <v>100000</v>
          </cell>
          <cell r="H152">
            <v>0</v>
          </cell>
          <cell r="I152">
            <v>0</v>
          </cell>
          <cell r="J152">
            <v>0</v>
          </cell>
          <cell r="K152">
            <v>100000</v>
          </cell>
          <cell r="L152">
            <v>0</v>
          </cell>
          <cell r="M152">
            <v>300000</v>
          </cell>
          <cell r="N152">
            <v>0</v>
          </cell>
          <cell r="O152">
            <v>0</v>
          </cell>
          <cell r="P152">
            <v>0</v>
          </cell>
          <cell r="Q152">
            <v>200000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300000</v>
          </cell>
          <cell r="X152">
            <v>0</v>
          </cell>
          <cell r="Y152">
            <v>0</v>
          </cell>
          <cell r="Z152">
            <v>0</v>
          </cell>
          <cell r="AA152">
            <v>228403</v>
          </cell>
          <cell r="AB152">
            <v>0</v>
          </cell>
          <cell r="AC152">
            <v>1603403</v>
          </cell>
          <cell r="AD152">
            <v>0</v>
          </cell>
        </row>
        <row r="153">
          <cell r="A153" t="str">
            <v>6211801</v>
          </cell>
          <cell r="B153">
            <v>0</v>
          </cell>
          <cell r="C153" t="str">
            <v>BIAYA DIKLAT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100000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100000</v>
          </cell>
          <cell r="AD153">
            <v>0</v>
          </cell>
        </row>
        <row r="154">
          <cell r="A154" t="str">
            <v>6211901</v>
          </cell>
          <cell r="B154">
            <v>0</v>
          </cell>
          <cell r="C154" t="str">
            <v>BIAYA SURAT KABAR DAN MAJALAH</v>
          </cell>
          <cell r="D154">
            <v>0</v>
          </cell>
          <cell r="E154">
            <v>32000</v>
          </cell>
          <cell r="F154">
            <v>0</v>
          </cell>
          <cell r="G154">
            <v>32000</v>
          </cell>
          <cell r="H154">
            <v>0</v>
          </cell>
          <cell r="I154">
            <v>32000</v>
          </cell>
          <cell r="J154">
            <v>0</v>
          </cell>
          <cell r="K154">
            <v>32000</v>
          </cell>
          <cell r="L154">
            <v>0</v>
          </cell>
          <cell r="M154">
            <v>32000</v>
          </cell>
          <cell r="N154">
            <v>0</v>
          </cell>
          <cell r="O154">
            <v>32000</v>
          </cell>
          <cell r="P154">
            <v>0</v>
          </cell>
          <cell r="Q154">
            <v>32000</v>
          </cell>
          <cell r="R154">
            <v>0</v>
          </cell>
          <cell r="S154">
            <v>32000</v>
          </cell>
          <cell r="T154">
            <v>0</v>
          </cell>
          <cell r="U154">
            <v>0</v>
          </cell>
          <cell r="V154">
            <v>0</v>
          </cell>
          <cell r="W154">
            <v>32000</v>
          </cell>
          <cell r="X154">
            <v>0</v>
          </cell>
          <cell r="Y154">
            <v>32000</v>
          </cell>
          <cell r="Z154">
            <v>0</v>
          </cell>
          <cell r="AA154">
            <v>32000</v>
          </cell>
          <cell r="AB154">
            <v>0</v>
          </cell>
          <cell r="AC154">
            <v>352000</v>
          </cell>
          <cell r="AD154">
            <v>0</v>
          </cell>
        </row>
        <row r="155">
          <cell r="A155" t="str">
            <v>6212001</v>
          </cell>
          <cell r="B155">
            <v>0</v>
          </cell>
          <cell r="C155" t="str">
            <v>IUARAN ORGANISASI</v>
          </cell>
          <cell r="D155">
            <v>0</v>
          </cell>
          <cell r="E155">
            <v>413000</v>
          </cell>
          <cell r="F155">
            <v>0</v>
          </cell>
          <cell r="G155">
            <v>788000</v>
          </cell>
          <cell r="H155">
            <v>0</v>
          </cell>
          <cell r="I155">
            <v>373000</v>
          </cell>
          <cell r="J155">
            <v>0</v>
          </cell>
          <cell r="K155">
            <v>345000</v>
          </cell>
          <cell r="L155">
            <v>0</v>
          </cell>
          <cell r="M155">
            <v>423000</v>
          </cell>
          <cell r="N155">
            <v>0</v>
          </cell>
          <cell r="O155">
            <v>355000</v>
          </cell>
          <cell r="P155">
            <v>0</v>
          </cell>
          <cell r="Q155">
            <v>0</v>
          </cell>
          <cell r="R155">
            <v>0</v>
          </cell>
          <cell r="S155">
            <v>386000</v>
          </cell>
          <cell r="T155">
            <v>0</v>
          </cell>
          <cell r="U155">
            <v>0</v>
          </cell>
          <cell r="V155">
            <v>0</v>
          </cell>
          <cell r="W155">
            <v>856000</v>
          </cell>
          <cell r="X155">
            <v>0</v>
          </cell>
          <cell r="Y155">
            <v>0</v>
          </cell>
          <cell r="Z155">
            <v>0</v>
          </cell>
          <cell r="AA155">
            <v>404000</v>
          </cell>
          <cell r="AB155">
            <v>0</v>
          </cell>
          <cell r="AC155">
            <v>4343000</v>
          </cell>
          <cell r="AD155">
            <v>0</v>
          </cell>
        </row>
        <row r="156">
          <cell r="A156" t="str">
            <v>6212101</v>
          </cell>
          <cell r="B156">
            <v>0</v>
          </cell>
          <cell r="C156" t="str">
            <v>SUMBANGAN DAN FREE PASS</v>
          </cell>
          <cell r="D156">
            <v>0</v>
          </cell>
          <cell r="E156">
            <v>152500</v>
          </cell>
          <cell r="F156">
            <v>0</v>
          </cell>
          <cell r="G156">
            <v>2878400</v>
          </cell>
          <cell r="H156">
            <v>0</v>
          </cell>
          <cell r="I156">
            <v>240000</v>
          </cell>
          <cell r="J156">
            <v>0</v>
          </cell>
          <cell r="K156">
            <v>235000</v>
          </cell>
          <cell r="L156">
            <v>0</v>
          </cell>
          <cell r="M156">
            <v>55000</v>
          </cell>
          <cell r="N156">
            <v>0</v>
          </cell>
          <cell r="O156">
            <v>170000</v>
          </cell>
          <cell r="P156">
            <v>0</v>
          </cell>
          <cell r="Q156">
            <v>112500</v>
          </cell>
          <cell r="R156">
            <v>0</v>
          </cell>
          <cell r="S156">
            <v>665000</v>
          </cell>
          <cell r="T156">
            <v>0</v>
          </cell>
          <cell r="U156">
            <v>55000</v>
          </cell>
          <cell r="V156">
            <v>0</v>
          </cell>
          <cell r="W156">
            <v>125000</v>
          </cell>
          <cell r="X156">
            <v>0</v>
          </cell>
          <cell r="Y156">
            <v>100000</v>
          </cell>
          <cell r="Z156">
            <v>0</v>
          </cell>
          <cell r="AA156">
            <v>345000</v>
          </cell>
          <cell r="AB156">
            <v>0</v>
          </cell>
          <cell r="AC156">
            <v>5133400</v>
          </cell>
          <cell r="AD156">
            <v>0</v>
          </cell>
        </row>
        <row r="157">
          <cell r="A157" t="str">
            <v>6212201</v>
          </cell>
          <cell r="B157">
            <v>0</v>
          </cell>
          <cell r="C157" t="str">
            <v>BIAYA BONGKAR BBM SL,PM,&amp; PX</v>
          </cell>
          <cell r="D157">
            <v>0</v>
          </cell>
          <cell r="E157">
            <v>1056000</v>
          </cell>
          <cell r="F157">
            <v>0</v>
          </cell>
          <cell r="G157">
            <v>1002000</v>
          </cell>
          <cell r="H157">
            <v>0</v>
          </cell>
          <cell r="I157">
            <v>1158000</v>
          </cell>
          <cell r="J157">
            <v>0</v>
          </cell>
          <cell r="K157">
            <v>1028000</v>
          </cell>
          <cell r="L157">
            <v>0</v>
          </cell>
          <cell r="M157">
            <v>1113000</v>
          </cell>
          <cell r="N157">
            <v>0</v>
          </cell>
          <cell r="O157">
            <v>1075000</v>
          </cell>
          <cell r="P157">
            <v>0</v>
          </cell>
          <cell r="Q157">
            <v>1155000</v>
          </cell>
          <cell r="R157">
            <v>0</v>
          </cell>
          <cell r="S157">
            <v>1108000</v>
          </cell>
          <cell r="T157">
            <v>0</v>
          </cell>
          <cell r="U157">
            <v>1062000</v>
          </cell>
          <cell r="V157">
            <v>0</v>
          </cell>
          <cell r="W157">
            <v>1173000</v>
          </cell>
          <cell r="X157">
            <v>0</v>
          </cell>
          <cell r="Y157">
            <v>1082000</v>
          </cell>
          <cell r="Z157">
            <v>0</v>
          </cell>
          <cell r="AA157">
            <v>1529000</v>
          </cell>
          <cell r="AB157">
            <v>0</v>
          </cell>
          <cell r="AC157">
            <v>13541000</v>
          </cell>
          <cell r="AD157">
            <v>0</v>
          </cell>
        </row>
        <row r="158">
          <cell r="A158" t="str">
            <v>6212301</v>
          </cell>
          <cell r="B158">
            <v>0</v>
          </cell>
          <cell r="C158" t="str">
            <v>BIAYA TERA METROLOGI &amp; FEE</v>
          </cell>
          <cell r="D158">
            <v>0</v>
          </cell>
          <cell r="E158">
            <v>0</v>
          </cell>
          <cell r="F158">
            <v>0</v>
          </cell>
          <cell r="G158">
            <v>496000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400000</v>
          </cell>
          <cell r="N158">
            <v>0</v>
          </cell>
          <cell r="O158">
            <v>400000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1296000</v>
          </cell>
          <cell r="AD158">
            <v>0</v>
          </cell>
        </row>
        <row r="159">
          <cell r="A159" t="str">
            <v>6212401</v>
          </cell>
          <cell r="B159">
            <v>0</v>
          </cell>
          <cell r="C159" t="str">
            <v>BIAYA BUNGKUS OLI DRUM</v>
          </cell>
          <cell r="D159">
            <v>0</v>
          </cell>
          <cell r="E159">
            <v>59000</v>
          </cell>
          <cell r="F159">
            <v>0</v>
          </cell>
          <cell r="G159">
            <v>0</v>
          </cell>
          <cell r="H159">
            <v>0</v>
          </cell>
          <cell r="I159">
            <v>50250</v>
          </cell>
          <cell r="J159">
            <v>0</v>
          </cell>
          <cell r="K159">
            <v>46000</v>
          </cell>
          <cell r="L159">
            <v>0</v>
          </cell>
          <cell r="M159">
            <v>60000</v>
          </cell>
          <cell r="N159">
            <v>0</v>
          </cell>
          <cell r="O159">
            <v>40365</v>
          </cell>
          <cell r="P159">
            <v>0</v>
          </cell>
          <cell r="Q159">
            <v>22500</v>
          </cell>
          <cell r="R159">
            <v>0</v>
          </cell>
          <cell r="S159">
            <v>0</v>
          </cell>
          <cell r="T159">
            <v>0</v>
          </cell>
          <cell r="U159">
            <v>43875</v>
          </cell>
          <cell r="V159">
            <v>0</v>
          </cell>
          <cell r="W159">
            <v>27000</v>
          </cell>
          <cell r="X159">
            <v>0</v>
          </cell>
          <cell r="Y159">
            <v>35625</v>
          </cell>
          <cell r="Z159">
            <v>0</v>
          </cell>
          <cell r="AA159">
            <v>29000</v>
          </cell>
          <cell r="AB159">
            <v>0</v>
          </cell>
          <cell r="AC159">
            <v>413615</v>
          </cell>
          <cell r="AD159">
            <v>0</v>
          </cell>
        </row>
        <row r="160">
          <cell r="A160" t="str">
            <v>6212501</v>
          </cell>
          <cell r="B160">
            <v>0</v>
          </cell>
          <cell r="C160" t="str">
            <v>BIAYA SERAGAM KARYAWAN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1421000</v>
          </cell>
          <cell r="L160">
            <v>0</v>
          </cell>
          <cell r="M160">
            <v>0</v>
          </cell>
          <cell r="N160">
            <v>0</v>
          </cell>
          <cell r="O160">
            <v>1173500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80000</v>
          </cell>
          <cell r="Z160">
            <v>0</v>
          </cell>
          <cell r="AA160">
            <v>0</v>
          </cell>
          <cell r="AB160">
            <v>0</v>
          </cell>
          <cell r="AC160">
            <v>2674500</v>
          </cell>
          <cell r="AD160">
            <v>0</v>
          </cell>
        </row>
        <row r="161">
          <cell r="A161" t="str">
            <v>6212701</v>
          </cell>
          <cell r="B161">
            <v>0</v>
          </cell>
          <cell r="C161" t="str">
            <v>BY-PAJAK BUMI BANGUNAN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6347900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6347900</v>
          </cell>
          <cell r="AD161">
            <v>0</v>
          </cell>
        </row>
        <row r="162">
          <cell r="A162" t="str">
            <v>6219901</v>
          </cell>
          <cell r="B162">
            <v>0</v>
          </cell>
          <cell r="C162" t="str">
            <v>BIAYA LAIN-LAIN</v>
          </cell>
          <cell r="D162">
            <v>0</v>
          </cell>
          <cell r="E162">
            <v>35000</v>
          </cell>
          <cell r="F162">
            <v>0</v>
          </cell>
          <cell r="G162">
            <v>35000</v>
          </cell>
          <cell r="H162">
            <v>0</v>
          </cell>
          <cell r="I162">
            <v>185000</v>
          </cell>
          <cell r="J162">
            <v>0</v>
          </cell>
          <cell r="K162">
            <v>314200</v>
          </cell>
          <cell r="L162">
            <v>0</v>
          </cell>
          <cell r="M162">
            <v>35000</v>
          </cell>
          <cell r="N162">
            <v>0</v>
          </cell>
          <cell r="O162">
            <v>35000</v>
          </cell>
          <cell r="P162">
            <v>0</v>
          </cell>
          <cell r="Q162">
            <v>35000</v>
          </cell>
          <cell r="R162">
            <v>0</v>
          </cell>
          <cell r="S162">
            <v>35000</v>
          </cell>
          <cell r="T162">
            <v>0</v>
          </cell>
          <cell r="U162">
            <v>35000</v>
          </cell>
          <cell r="V162">
            <v>0</v>
          </cell>
          <cell r="W162">
            <v>35000</v>
          </cell>
          <cell r="X162">
            <v>0</v>
          </cell>
          <cell r="Y162">
            <v>1225000</v>
          </cell>
          <cell r="Z162">
            <v>0</v>
          </cell>
          <cell r="AA162">
            <v>35000</v>
          </cell>
          <cell r="AB162">
            <v>0</v>
          </cell>
          <cell r="AC162">
            <v>2039200</v>
          </cell>
          <cell r="AD162">
            <v>0</v>
          </cell>
        </row>
        <row r="165">
          <cell r="A165" t="str">
            <v>6212600</v>
          </cell>
          <cell r="B165" t="str">
            <v>BIAYA PENYUSUTAN</v>
          </cell>
        </row>
        <row r="166">
          <cell r="A166" t="str">
            <v>6212601</v>
          </cell>
          <cell r="B166">
            <v>0</v>
          </cell>
          <cell r="C166" t="str">
            <v>BP - KENDARAAN</v>
          </cell>
        </row>
        <row r="167">
          <cell r="A167" t="str">
            <v>6212602</v>
          </cell>
          <cell r="B167">
            <v>0</v>
          </cell>
          <cell r="C167" t="str">
            <v>BP - BANGUNAN</v>
          </cell>
        </row>
        <row r="168">
          <cell r="A168" t="str">
            <v>6212603</v>
          </cell>
          <cell r="B168">
            <v>0</v>
          </cell>
          <cell r="C168" t="str">
            <v>BP - PERALATAN OPERASI</v>
          </cell>
        </row>
        <row r="169">
          <cell r="A169" t="str">
            <v>6212604</v>
          </cell>
          <cell r="B169">
            <v>0</v>
          </cell>
          <cell r="C169" t="str">
            <v>BP - PERALATAN KANTOR</v>
          </cell>
        </row>
        <row r="170">
          <cell r="A170" t="str">
            <v>6212605</v>
          </cell>
          <cell r="B170">
            <v>0</v>
          </cell>
          <cell r="C170" t="str">
            <v>BP - PERALATAN BANGUNAN</v>
          </cell>
        </row>
        <row r="171">
          <cell r="A171" t="str">
            <v>6212606</v>
          </cell>
          <cell r="B171">
            <v>0</v>
          </cell>
          <cell r="C171" t="str">
            <v>AMORTISASI BIAYA PRA OPERASI</v>
          </cell>
        </row>
        <row r="174">
          <cell r="A174" t="str">
            <v>7110100</v>
          </cell>
          <cell r="B174" t="str">
            <v>PENDAPATAN DILUAR USAHA</v>
          </cell>
        </row>
        <row r="175">
          <cell r="A175" t="str">
            <v>7110101</v>
          </cell>
          <cell r="B175">
            <v>0</v>
          </cell>
          <cell r="C175" t="str">
            <v>PENDAPATAN JASA GIRO</v>
          </cell>
          <cell r="D175">
            <v>0</v>
          </cell>
          <cell r="E175">
            <v>0</v>
          </cell>
          <cell r="F175">
            <v>9170</v>
          </cell>
          <cell r="G175">
            <v>0</v>
          </cell>
          <cell r="H175">
            <v>32360</v>
          </cell>
          <cell r="I175">
            <v>0</v>
          </cell>
          <cell r="J175">
            <v>32430</v>
          </cell>
          <cell r="K175">
            <v>0</v>
          </cell>
          <cell r="L175">
            <v>17000</v>
          </cell>
          <cell r="M175">
            <v>0</v>
          </cell>
          <cell r="N175">
            <v>13590</v>
          </cell>
          <cell r="O175">
            <v>0</v>
          </cell>
          <cell r="P175">
            <v>13260</v>
          </cell>
          <cell r="Q175">
            <v>0</v>
          </cell>
          <cell r="R175">
            <v>27930</v>
          </cell>
          <cell r="S175">
            <v>0</v>
          </cell>
          <cell r="T175">
            <v>41560</v>
          </cell>
          <cell r="U175">
            <v>0</v>
          </cell>
          <cell r="V175">
            <v>111130</v>
          </cell>
          <cell r="W175">
            <v>0</v>
          </cell>
          <cell r="X175">
            <v>12910</v>
          </cell>
          <cell r="Y175">
            <v>0</v>
          </cell>
          <cell r="Z175">
            <v>9260</v>
          </cell>
          <cell r="AA175">
            <v>0</v>
          </cell>
          <cell r="AB175">
            <v>17650</v>
          </cell>
          <cell r="AC175">
            <v>0</v>
          </cell>
          <cell r="AD175">
            <v>338250</v>
          </cell>
        </row>
        <row r="176">
          <cell r="A176" t="str">
            <v>7110103</v>
          </cell>
          <cell r="B176">
            <v>0</v>
          </cell>
          <cell r="C176" t="str">
            <v>PENDAPATAN DISCOUNT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1062524</v>
          </cell>
          <cell r="M176">
            <v>0</v>
          </cell>
          <cell r="N176">
            <v>2087927</v>
          </cell>
          <cell r="O176">
            <v>0</v>
          </cell>
          <cell r="P176">
            <v>2013581</v>
          </cell>
          <cell r="Q176">
            <v>0</v>
          </cell>
          <cell r="R176">
            <v>1589125</v>
          </cell>
          <cell r="S176">
            <v>0</v>
          </cell>
          <cell r="T176">
            <v>2273822</v>
          </cell>
          <cell r="U176">
            <v>0</v>
          </cell>
          <cell r="V176">
            <v>2774167</v>
          </cell>
          <cell r="W176">
            <v>0</v>
          </cell>
          <cell r="X176">
            <v>2487070</v>
          </cell>
          <cell r="Y176">
            <v>19225</v>
          </cell>
          <cell r="Z176">
            <v>3872669</v>
          </cell>
          <cell r="AA176">
            <v>0</v>
          </cell>
          <cell r="AB176">
            <v>2744822</v>
          </cell>
          <cell r="AC176">
            <v>19225</v>
          </cell>
          <cell r="AD176">
            <v>20905707</v>
          </cell>
        </row>
        <row r="177">
          <cell r="A177" t="str">
            <v>7110104</v>
          </cell>
          <cell r="B177">
            <v>0</v>
          </cell>
          <cell r="C177" t="str">
            <v>PENJUALAN REDEX</v>
          </cell>
          <cell r="D177">
            <v>0</v>
          </cell>
          <cell r="E177">
            <v>0</v>
          </cell>
          <cell r="F177">
            <v>246500</v>
          </cell>
          <cell r="G177">
            <v>0</v>
          </cell>
          <cell r="H177">
            <v>127500</v>
          </cell>
          <cell r="I177">
            <v>0</v>
          </cell>
          <cell r="J177">
            <v>185500</v>
          </cell>
          <cell r="K177">
            <v>0</v>
          </cell>
          <cell r="L177">
            <v>190000</v>
          </cell>
          <cell r="M177">
            <v>0</v>
          </cell>
          <cell r="N177">
            <v>200000</v>
          </cell>
          <cell r="O177">
            <v>0</v>
          </cell>
          <cell r="P177">
            <v>140000</v>
          </cell>
          <cell r="Q177">
            <v>0</v>
          </cell>
          <cell r="R177">
            <v>110000</v>
          </cell>
          <cell r="S177">
            <v>0</v>
          </cell>
          <cell r="T177">
            <v>110000</v>
          </cell>
          <cell r="U177">
            <v>0</v>
          </cell>
          <cell r="V177">
            <v>170000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1479500</v>
          </cell>
        </row>
        <row r="178">
          <cell r="A178" t="str">
            <v>7110106</v>
          </cell>
          <cell r="B178">
            <v>0</v>
          </cell>
          <cell r="C178" t="str">
            <v>PENDAPATAN LAINNYA</v>
          </cell>
          <cell r="D178">
            <v>0</v>
          </cell>
          <cell r="E178">
            <v>0</v>
          </cell>
          <cell r="F178">
            <v>24113852</v>
          </cell>
          <cell r="G178">
            <v>0</v>
          </cell>
          <cell r="H178">
            <v>0</v>
          </cell>
          <cell r="I178">
            <v>0</v>
          </cell>
          <cell r="J178">
            <v>11217876</v>
          </cell>
          <cell r="K178">
            <v>0</v>
          </cell>
          <cell r="L178">
            <v>0</v>
          </cell>
          <cell r="M178">
            <v>0</v>
          </cell>
          <cell r="N178">
            <v>23369070</v>
          </cell>
          <cell r="O178">
            <v>0</v>
          </cell>
          <cell r="P178">
            <v>2418263</v>
          </cell>
          <cell r="Q178">
            <v>0</v>
          </cell>
          <cell r="R178">
            <v>0</v>
          </cell>
          <cell r="S178">
            <v>0</v>
          </cell>
          <cell r="T178">
            <v>586198</v>
          </cell>
          <cell r="U178">
            <v>0</v>
          </cell>
          <cell r="V178">
            <v>8398057</v>
          </cell>
          <cell r="W178">
            <v>0</v>
          </cell>
          <cell r="X178">
            <v>6521374</v>
          </cell>
          <cell r="Y178">
            <v>0</v>
          </cell>
          <cell r="Z178">
            <v>240000</v>
          </cell>
          <cell r="AA178">
            <v>0</v>
          </cell>
          <cell r="AB178">
            <v>0</v>
          </cell>
          <cell r="AC178">
            <v>0</v>
          </cell>
          <cell r="AD178">
            <v>76864690</v>
          </cell>
        </row>
        <row r="179">
          <cell r="A179" t="str">
            <v>7110107</v>
          </cell>
          <cell r="B179">
            <v>0</v>
          </cell>
          <cell r="C179" t="str">
            <v>PENJUALAN POWER FUEL</v>
          </cell>
          <cell r="D179">
            <v>0</v>
          </cell>
          <cell r="E179">
            <v>0</v>
          </cell>
          <cell r="F179">
            <v>20000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10000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30000</v>
          </cell>
        </row>
        <row r="180">
          <cell r="A180" t="str">
            <v>7110108</v>
          </cell>
          <cell r="B180">
            <v>0</v>
          </cell>
          <cell r="C180" t="str">
            <v>PENJUALAN X-CLEAN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40000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40000</v>
          </cell>
        </row>
        <row r="183">
          <cell r="A183" t="str">
            <v>7120100</v>
          </cell>
          <cell r="B183" t="str">
            <v>BIAYA DLUAR USAHA</v>
          </cell>
        </row>
        <row r="184">
          <cell r="A184" t="str">
            <v>7120101</v>
          </cell>
          <cell r="B184">
            <v>0</v>
          </cell>
          <cell r="C184" t="str">
            <v>BIAYA ADMINISTRASI BANK</v>
          </cell>
          <cell r="D184">
            <v>0</v>
          </cell>
          <cell r="E184">
            <v>20000</v>
          </cell>
          <cell r="F184">
            <v>0</v>
          </cell>
          <cell r="G184">
            <v>20000</v>
          </cell>
          <cell r="H184">
            <v>0</v>
          </cell>
          <cell r="I184">
            <v>20000</v>
          </cell>
          <cell r="J184">
            <v>0</v>
          </cell>
          <cell r="K184">
            <v>20000</v>
          </cell>
          <cell r="L184">
            <v>0</v>
          </cell>
          <cell r="M184">
            <v>10000</v>
          </cell>
          <cell r="N184">
            <v>0</v>
          </cell>
          <cell r="O184">
            <v>10000</v>
          </cell>
          <cell r="P184">
            <v>0</v>
          </cell>
          <cell r="Q184">
            <v>10000</v>
          </cell>
          <cell r="R184">
            <v>0</v>
          </cell>
          <cell r="S184">
            <v>10000</v>
          </cell>
          <cell r="T184">
            <v>0</v>
          </cell>
          <cell r="U184">
            <v>20000</v>
          </cell>
          <cell r="V184">
            <v>0</v>
          </cell>
          <cell r="W184">
            <v>20000</v>
          </cell>
          <cell r="X184">
            <v>0</v>
          </cell>
          <cell r="Y184">
            <v>20000</v>
          </cell>
          <cell r="Z184">
            <v>0</v>
          </cell>
          <cell r="AA184">
            <v>100000</v>
          </cell>
          <cell r="AB184">
            <v>0</v>
          </cell>
          <cell r="AC184">
            <v>280000</v>
          </cell>
          <cell r="AD184">
            <v>0</v>
          </cell>
        </row>
        <row r="185">
          <cell r="A185" t="str">
            <v>7120104</v>
          </cell>
          <cell r="B185">
            <v>0</v>
          </cell>
          <cell r="C185" t="str">
            <v>BIAYA BUNGA LEASING BII</v>
          </cell>
          <cell r="D185">
            <v>0</v>
          </cell>
          <cell r="E185">
            <v>534800</v>
          </cell>
          <cell r="F185">
            <v>0</v>
          </cell>
          <cell r="G185">
            <v>534800</v>
          </cell>
          <cell r="H185">
            <v>0</v>
          </cell>
          <cell r="I185">
            <v>534800</v>
          </cell>
          <cell r="J185">
            <v>0</v>
          </cell>
          <cell r="K185">
            <v>534800</v>
          </cell>
          <cell r="L185">
            <v>0</v>
          </cell>
          <cell r="M185">
            <v>534800</v>
          </cell>
          <cell r="N185">
            <v>0</v>
          </cell>
          <cell r="O185">
            <v>534800</v>
          </cell>
          <cell r="P185">
            <v>0</v>
          </cell>
          <cell r="Q185">
            <v>534800</v>
          </cell>
          <cell r="R185">
            <v>0</v>
          </cell>
          <cell r="S185">
            <v>534800</v>
          </cell>
          <cell r="T185">
            <v>0</v>
          </cell>
          <cell r="U185">
            <v>534800</v>
          </cell>
          <cell r="V185">
            <v>0</v>
          </cell>
          <cell r="W185">
            <v>534800</v>
          </cell>
          <cell r="X185">
            <v>0</v>
          </cell>
          <cell r="Y185">
            <v>534800</v>
          </cell>
          <cell r="Z185">
            <v>0</v>
          </cell>
          <cell r="AA185">
            <v>534800</v>
          </cell>
          <cell r="AB185">
            <v>0</v>
          </cell>
          <cell r="AC185">
            <v>6417600</v>
          </cell>
          <cell r="AD185">
            <v>0</v>
          </cell>
        </row>
        <row r="186">
          <cell r="A186" t="str">
            <v>7120106</v>
          </cell>
          <cell r="B186">
            <v>0</v>
          </cell>
          <cell r="C186" t="str">
            <v>KERUGIAN LAIN-NYA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2297100</v>
          </cell>
          <cell r="P186">
            <v>0</v>
          </cell>
          <cell r="Q186">
            <v>2651625</v>
          </cell>
          <cell r="R186">
            <v>0</v>
          </cell>
          <cell r="S186">
            <v>2471688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7420413</v>
          </cell>
          <cell r="AD186">
            <v>0</v>
          </cell>
        </row>
        <row r="187">
          <cell r="A187" t="str">
            <v>7120109</v>
          </cell>
          <cell r="B187">
            <v>0</v>
          </cell>
          <cell r="C187" t="str">
            <v>PEMBELIAN REDEX</v>
          </cell>
          <cell r="D187">
            <v>0</v>
          </cell>
          <cell r="E187">
            <v>188500</v>
          </cell>
          <cell r="F187">
            <v>0</v>
          </cell>
          <cell r="G187">
            <v>97500</v>
          </cell>
          <cell r="H187">
            <v>0</v>
          </cell>
          <cell r="I187">
            <v>139500</v>
          </cell>
          <cell r="J187">
            <v>0</v>
          </cell>
          <cell r="K187">
            <v>142500</v>
          </cell>
          <cell r="L187">
            <v>0</v>
          </cell>
          <cell r="M187">
            <v>150000</v>
          </cell>
          <cell r="N187">
            <v>0</v>
          </cell>
          <cell r="O187">
            <v>105000</v>
          </cell>
          <cell r="P187">
            <v>0</v>
          </cell>
          <cell r="Q187">
            <v>82500</v>
          </cell>
          <cell r="R187">
            <v>0</v>
          </cell>
          <cell r="S187">
            <v>82500</v>
          </cell>
          <cell r="T187">
            <v>0</v>
          </cell>
          <cell r="U187">
            <v>849000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1837000</v>
          </cell>
          <cell r="AD187">
            <v>0</v>
          </cell>
        </row>
        <row r="188">
          <cell r="A188" t="str">
            <v>7120110</v>
          </cell>
          <cell r="B188">
            <v>0</v>
          </cell>
          <cell r="C188" t="str">
            <v>PEMBELIAN POWER FUEL</v>
          </cell>
          <cell r="D188">
            <v>0</v>
          </cell>
          <cell r="E188">
            <v>12000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7500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19500</v>
          </cell>
          <cell r="AD188">
            <v>0</v>
          </cell>
        </row>
        <row r="189">
          <cell r="A189" t="str">
            <v>7120111</v>
          </cell>
          <cell r="B189">
            <v>0</v>
          </cell>
          <cell r="C189" t="str">
            <v>PEMBELIAN X-CLEAN</v>
          </cell>
          <cell r="D189">
            <v>0</v>
          </cell>
          <cell r="E189">
            <v>0</v>
          </cell>
          <cell r="F189">
            <v>0</v>
          </cell>
          <cell r="G189">
            <v>34000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34000</v>
          </cell>
          <cell r="AD189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b"/>
      <sheetName val="04-01"/>
      <sheetName val="05-01"/>
      <sheetName val="06-01"/>
      <sheetName val="07-01"/>
      <sheetName val="08-01"/>
      <sheetName val="09-01"/>
      <sheetName val="10-01"/>
      <sheetName val="11-01"/>
      <sheetName val="12-01"/>
      <sheetName val="KOR"/>
      <sheetName val="Formula"/>
      <sheetName val="laporan"/>
      <sheetName val="DbKtr"/>
      <sheetName val="S7-1"/>
      <sheetName val="RK1"/>
      <sheetName val="LPP"/>
      <sheetName val="Smbr-Tknk-DsrHkm"/>
      <sheetName val="KKP PK"/>
      <sheetName val="SPT"/>
      <sheetName val="DATA"/>
      <sheetName val="MATERIALFINAL"/>
      <sheetName val="Form 2-FRG"/>
      <sheetName val="HARVEST02"/>
      <sheetName val="KKP_PK"/>
      <sheetName val="export_alamat_kantor"/>
      <sheetName val="popmc"/>
      <sheetName val="BF0996"/>
      <sheetName val="Ardi"/>
      <sheetName val="Wika"/>
      <sheetName val="Victory"/>
      <sheetName val="Stevania"/>
      <sheetName val="Prima"/>
      <sheetName val="I.U.I"/>
      <sheetName val="Filasta"/>
      <sheetName val="Djarum"/>
      <sheetName val="Suplier"/>
      <sheetName val="AcJo"/>
      <sheetName val="A.4.3"/>
      <sheetName val="Tanggal"/>
      <sheetName val="DATA WP"/>
      <sheetName val="bdrl-usg"/>
      <sheetName val="Marshal"/>
      <sheetName val="FA_TP99"/>
      <sheetName val="PET"/>
      <sheetName val="Family"/>
      <sheetName val="Trial_Balance"/>
      <sheetName val="Settings"/>
      <sheetName val="Chart_Accounts"/>
      <sheetName val="計算結果"/>
      <sheetName val="Lembar Penolong"/>
      <sheetName val="Lembar Penghitungan"/>
      <sheetName val="p.mgmt"/>
      <sheetName val="14上(製作所）"/>
      <sheetName val="Maret 2007"/>
      <sheetName val="A"/>
      <sheetName val="Database"/>
      <sheetName val="Pemeriksa"/>
      <sheetName val="pm"/>
      <sheetName val="GeneralInfo"/>
      <sheetName val="07_01"/>
      <sheetName val="Sheet1"/>
      <sheetName val="7431130"/>
      <sheetName val="Emp2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Z"/>
      <sheetName val="AA"/>
      <sheetName val="AB"/>
      <sheetName val="AC"/>
      <sheetName val="BY UMUM"/>
      <sheetName val="MATERIALNONFIN"/>
      <sheetName val="UPAHFINAL "/>
      <sheetName val="UPAHNONFIN"/>
      <sheetName val="OVERHEADFINAL"/>
      <sheetName val="OVERHEADNONFIN"/>
      <sheetName val="PEND PROYEK"/>
      <sheetName val="PENJUALAN"/>
      <sheetName val="MODAL"/>
      <sheetName val="LABA DITAHAN"/>
      <sheetName val="HUTANG CICILAN"/>
      <sheetName val="HUTANG BANK"/>
      <sheetName val="HUT LAIN LAIN"/>
      <sheetName val="HUT BIAYA"/>
      <sheetName val="SSP BLM DTRM"/>
      <sheetName val="PPN PRO BLM TGH"/>
      <sheetName val="IKTISAR RL"/>
      <sheetName val="HUT DAGANG"/>
      <sheetName val="AKUMULASI"/>
      <sheetName val="ASURANSI DI MK"/>
      <sheetName val="AKTIVA TETAP"/>
      <sheetName val="UM PROYEK"/>
      <sheetName val="PAJAK"/>
      <sheetName val="PIUTANG DAGANG"/>
      <sheetName val="P BLM DITAGIH"/>
      <sheetName val="PINJAMAN"/>
      <sheetName val="UANG MUKA"/>
      <sheetName val="DEPOSITO"/>
      <sheetName val="BANK"/>
      <sheetName val="BANK (2)"/>
      <sheetName val="BANK (3)"/>
      <sheetName val="AYAT SILANG"/>
      <sheetName val="KAS PROYEK PT"/>
      <sheetName val="PPN BESAR"/>
      <sheetName val="rekonsiliasi"/>
      <sheetName val="KonSSPL"/>
      <sheetName val="Assumptions"/>
      <sheetName val="CAPBUDG"/>
      <sheetName val="CAPSALE"/>
      <sheetName val="akun"/>
      <sheetName val="PP"/>
      <sheetName val="WS Gmpng"/>
      <sheetName val="Niaga USD-lembaga"/>
      <sheetName val="Niaga Tab lem"/>
      <sheetName val="gVL"/>
      <sheetName val="21calc"/>
      <sheetName val="K.3 Addition"/>
      <sheetName val="bs"/>
      <sheetName val="Account"/>
      <sheetName val="E-1"/>
      <sheetName val="CGSgm2"/>
      <sheetName val="CGSsp"/>
      <sheetName val="Factors"/>
      <sheetName val="Sales"/>
      <sheetName val="JKT"/>
      <sheetName val="Machinery"/>
      <sheetName val="1214 Kartu"/>
      <sheetName val="PPN-Januari-02"/>
      <sheetName val="KKP25"/>
      <sheetName val="FX Table"/>
      <sheetName val="table"/>
      <sheetName val="Scenarios_Sensitivities"/>
      <sheetName val=" 견적서"/>
      <sheetName val="12-06-ins"/>
      <sheetName val="analis"/>
      <sheetName val="Dept-Div-Branch"/>
      <sheetName val="Ex-Rate"/>
      <sheetName val="412"/>
      <sheetName val="SELISIHKURSSOURCE"/>
      <sheetName val="Des'07"/>
      <sheetName val="Kuasa"/>
      <sheetName val="LapCabut"/>
      <sheetName val="LapPL"/>
      <sheetName val="Data_Umum"/>
      <sheetName val="B-4"/>
      <sheetName val="OLDMAP"/>
      <sheetName val="Lead"/>
      <sheetName val="Client Aje"/>
      <sheetName val="Input"/>
      <sheetName val="sumdepn01"/>
      <sheetName val="FX Rates"/>
      <sheetName val="Write off Gross receiavble"/>
      <sheetName val="Intercompany Write off"/>
      <sheetName val="valuations"/>
      <sheetName val="provisions"/>
      <sheetName val="financial statements"/>
      <sheetName val="Alamat"/>
      <sheetName val="HPP_OKTOBER"/>
      <sheetName val="kary21"/>
      <sheetName val="PROJECT CAPITAL"/>
      <sheetName val="BULLION PRODUCTION"/>
      <sheetName val="A-GL-SUMMARY"/>
      <sheetName val="FY0201"/>
      <sheetName val="2-asi-00"/>
      <sheetName val="Permanent info"/>
      <sheetName val="OFF"/>
      <sheetName val="Irregular Income"/>
      <sheetName val="FE-1770.P1"/>
      <sheetName val="9_20"/>
      <sheetName val="NOTES "/>
      <sheetName val="BALANCE SHEET"/>
      <sheetName val="Isian"/>
      <sheetName val="itungan"/>
      <sheetName val="itungan2"/>
      <sheetName val="cabang"/>
      <sheetName val="SKP"/>
      <sheetName val="STP"/>
      <sheetName val="SKPPPN"/>
      <sheetName val="SPHP"/>
      <sheetName val="SPHPjbt"/>
      <sheetName val="daftemu"/>
      <sheetName val="lbrsetuju"/>
      <sheetName val="und"/>
      <sheetName val="rispem"/>
      <sheetName val="BAHP"/>
      <sheetName val="ihpa"/>
      <sheetName val="BATgp"/>
      <sheetName val="panttd"/>
      <sheetName val="BATdkhadir"/>
      <sheetName val="BAWPtdk ada"/>
      <sheetName val="Detil Pelaporan"/>
      <sheetName val="Identifikasi"/>
      <sheetName val="Audit Plan"/>
      <sheetName val="Rencana"/>
      <sheetName val="Ubah"/>
      <sheetName val="NRC"/>
      <sheetName val="LR Manufaktur"/>
      <sheetName val="LR Dagang"/>
      <sheetName val="LR Bank"/>
      <sheetName val="Executive Summary"/>
      <sheetName val="cover"/>
      <sheetName val="Lemwas"/>
      <sheetName val="review sheet"/>
      <sheetName val="Daftar Isi"/>
      <sheetName val="LHP"/>
      <sheetName val="Siap"/>
      <sheetName val="Induk"/>
      <sheetName val="PPh Badan"/>
      <sheetName val="B1"/>
      <sheetName val="uji B1"/>
      <sheetName val="B-1a"/>
      <sheetName val="B-1b"/>
      <sheetName val="B1-1"/>
      <sheetName val="B1-11"/>
      <sheetName val="B1-2"/>
      <sheetName val="B1-21"/>
      <sheetName val="B2"/>
      <sheetName val="B2-1"/>
      <sheetName val="B21-1"/>
      <sheetName val="B21-1-1"/>
      <sheetName val="Rekap Penyusutan"/>
      <sheetName val="Daftar Penyusutan"/>
      <sheetName val="B3"/>
      <sheetName val="B3-1"/>
      <sheetName val="B3-2"/>
      <sheetName val="B3-3"/>
      <sheetName val="B3-4"/>
      <sheetName val="B3-5"/>
      <sheetName val="B3-6"/>
      <sheetName val="B3-7"/>
      <sheetName val="B3-8"/>
      <sheetName val="B3-9"/>
      <sheetName val="B3-10"/>
      <sheetName val="B4"/>
      <sheetName val="B5"/>
      <sheetName val="B6"/>
      <sheetName val="B7"/>
      <sheetName val="B8"/>
      <sheetName val="B8-1"/>
      <sheetName val="B9"/>
      <sheetName val="B10"/>
      <sheetName val="B11"/>
      <sheetName val="B12"/>
      <sheetName val="B13"/>
      <sheetName val="SPT Tahunan"/>
      <sheetName val="SPT Tahunan$"/>
      <sheetName val="lamp V"/>
      <sheetName val="lamp VI"/>
      <sheetName val="Neraca"/>
      <sheetName val="Lapkeu"/>
      <sheetName val="SSP PPh22 Impor"/>
      <sheetName val="SSP PPh2529"/>
      <sheetName val="Bukpot PPh Badan"/>
      <sheetName val="Bukpot PPh Badan$"/>
      <sheetName val="konfbukpot"/>
      <sheetName val="lampkonfbukpot"/>
      <sheetName val="SKPBadan"/>
      <sheetName val="STPbadan"/>
      <sheetName val="SPT 21"/>
      <sheetName val="PPh21"/>
      <sheetName val="C1"/>
      <sheetName val="rekap 21"/>
      <sheetName val="C1-1"/>
      <sheetName val="C1-2"/>
      <sheetName val="C2"/>
      <sheetName val="C3"/>
      <sheetName val="C4"/>
      <sheetName val="C5"/>
      <sheetName val="PPh21final"/>
      <sheetName val="D1"/>
      <sheetName val="D1-1"/>
      <sheetName val="D2"/>
      <sheetName val="D3"/>
      <sheetName val="D4"/>
      <sheetName val="spt22"/>
      <sheetName val="PPh22"/>
      <sheetName val="E1"/>
      <sheetName val="E1-1"/>
      <sheetName val="E2"/>
      <sheetName val="E3"/>
      <sheetName val="E4"/>
      <sheetName val="PPh22final"/>
      <sheetName val="F1"/>
      <sheetName val="F2"/>
      <sheetName val="F3"/>
      <sheetName val="F4"/>
      <sheetName val="SPT23"/>
      <sheetName val="PPh23"/>
      <sheetName val="G1"/>
      <sheetName val="G1-1"/>
      <sheetName val="G1-2"/>
      <sheetName val="G1-3"/>
      <sheetName val="G1-4"/>
      <sheetName val="G1-5"/>
      <sheetName val="G1-6"/>
      <sheetName val="G1-7"/>
      <sheetName val="G1-8"/>
      <sheetName val="G1-9"/>
      <sheetName val="G2"/>
      <sheetName val="G3"/>
      <sheetName val="G4"/>
      <sheetName val="G5"/>
      <sheetName val="PPh23final"/>
      <sheetName val="H1"/>
      <sheetName val="H2"/>
      <sheetName val="H3"/>
      <sheetName val="H4"/>
      <sheetName val="SPT26"/>
      <sheetName val="PPh26"/>
      <sheetName val="I1"/>
      <sheetName val="I1-1"/>
      <sheetName val="I2"/>
      <sheetName val="I3"/>
      <sheetName val="I4"/>
      <sheetName val="spt42"/>
      <sheetName val="PPh4-2"/>
      <sheetName val="J1"/>
      <sheetName val="J1-1"/>
      <sheetName val="J2"/>
      <sheetName val="J3"/>
      <sheetName val="J4"/>
      <sheetName val="PPh15"/>
      <sheetName val="K1"/>
      <sheetName val="K2"/>
      <sheetName val="K3"/>
      <sheetName val="K4"/>
      <sheetName val="spt15"/>
      <sheetName val="PPh15F"/>
      <sheetName val="L1"/>
      <sheetName val="L1-1"/>
      <sheetName val="L1-2"/>
      <sheetName val="L2"/>
      <sheetName val="L3"/>
      <sheetName val="L4"/>
      <sheetName val="PPh19f"/>
      <sheetName val="M1"/>
      <sheetName val="M2"/>
      <sheetName val="M3"/>
      <sheetName val="SPT PPN"/>
      <sheetName val="SPT PPN AB"/>
      <sheetName val="PPN"/>
      <sheetName val="Na"/>
      <sheetName val="Nb"/>
      <sheetName val="Nc"/>
      <sheetName val="Nd"/>
      <sheetName val="Ne"/>
      <sheetName val="Nf"/>
      <sheetName val="Ng"/>
      <sheetName val="Nh"/>
      <sheetName val="Ni"/>
      <sheetName val="Nj"/>
      <sheetName val="NK"/>
      <sheetName val="Nl"/>
      <sheetName val="N1"/>
      <sheetName val="N1-1"/>
      <sheetName val="N1-2"/>
      <sheetName val="N1-3"/>
      <sheetName val="N1-3-1"/>
      <sheetName val="N1-3-2"/>
      <sheetName val="N1-3-3"/>
      <sheetName val="N1-3-4"/>
      <sheetName val="N2"/>
      <sheetName val="ekspor"/>
      <sheetName val="pkekspor"/>
      <sheetName val="N3"/>
      <sheetName val="Pungutsendiri"/>
      <sheetName val="PK"/>
      <sheetName val="N4"/>
      <sheetName val="dipungut"/>
      <sheetName val="PKpungut"/>
      <sheetName val="N5"/>
      <sheetName val="tdkdipungut"/>
      <sheetName val="pktdkdipungut"/>
      <sheetName val="N6"/>
      <sheetName val="bebas"/>
      <sheetName val="pkbebas"/>
      <sheetName val="N7"/>
      <sheetName val="tdkterutang"/>
      <sheetName val="N8-1"/>
      <sheetName val="N8-1-1"/>
      <sheetName val="SSP PPN Impor"/>
      <sheetName val="lamp B1"/>
      <sheetName val="N8-2"/>
      <sheetName val="N8-2-1"/>
      <sheetName val="lamp B3"/>
      <sheetName val="N9"/>
      <sheetName val="N10"/>
      <sheetName val="Rekap PM"/>
      <sheetName val="PKPM"/>
      <sheetName val="S-konfPPN2"/>
      <sheetName val="S-konfPPN"/>
      <sheetName val="Lamp-konfPPN"/>
      <sheetName val="NDkonfPPN"/>
      <sheetName val="kirim-surat"/>
      <sheetName val="Amplop"/>
      <sheetName val="jawaban PM"/>
      <sheetName val="uji-faktur"/>
      <sheetName val="BAfaktur"/>
      <sheetName val="N11a"/>
      <sheetName val="N11b"/>
      <sheetName val="N12"/>
      <sheetName val="N13"/>
      <sheetName val="N14"/>
      <sheetName val="N14-1"/>
      <sheetName val="N15"/>
      <sheetName val="N15-1"/>
      <sheetName val="N16"/>
      <sheetName val="N16-1"/>
      <sheetName val="N17"/>
      <sheetName val="N17-1"/>
      <sheetName val="N18"/>
      <sheetName val="N18-1"/>
      <sheetName val="N19"/>
      <sheetName val="N19-1"/>
      <sheetName val="N20"/>
      <sheetName val="N20-1"/>
      <sheetName val="SSP"/>
      <sheetName val="SSP2"/>
      <sheetName val="kode map"/>
      <sheetName val="O1"/>
      <sheetName val="O2"/>
      <sheetName val="O3"/>
      <sheetName val="O4"/>
      <sheetName val="O5"/>
      <sheetName val="O6"/>
      <sheetName val="P1"/>
      <sheetName val="P2"/>
      <sheetName val="P3"/>
      <sheetName val="P4"/>
      <sheetName val="P5"/>
      <sheetName val="temp LHP"/>
      <sheetName val="temp lhp2"/>
      <sheetName val="temp KKP"/>
      <sheetName val="oretan"/>
      <sheetName val="BATemu"/>
      <sheetName val="pinbuk"/>
      <sheetName val="dafbuk"/>
      <sheetName val="Bukpin"/>
      <sheetName val="ingat"/>
      <sheetName val="dafingat"/>
      <sheetName val="BAPenuh"/>
      <sheetName val="BAtdkpenuh"/>
      <sheetName val="SP Lap"/>
      <sheetName val="konfssp"/>
      <sheetName val="lampkonfssp"/>
      <sheetName val="KLU"/>
      <sheetName val="ND-KLU"/>
      <sheetName val="Harta"/>
      <sheetName val="ND Harta"/>
      <sheetName val="Alket"/>
      <sheetName val="Gabungan 21"/>
      <sheetName val="Gabungan 21F"/>
      <sheetName val="Gabungan 22"/>
      <sheetName val="Gabungan 22F"/>
      <sheetName val="Gabungan 23"/>
      <sheetName val="Gabungan 26"/>
      <sheetName val="Gabungan 42"/>
      <sheetName val="Gabungan 15F"/>
      <sheetName val="22"/>
      <sheetName val="FATMA"/>
      <sheetName val="Lembar1"/>
      <sheetName val="Lembar3"/>
      <sheetName val="Lembar2"/>
      <sheetName val="Hua Yang Quarterly"/>
      <sheetName val="Macro1"/>
      <sheetName val="Rates"/>
      <sheetName val="Lookup"/>
      <sheetName val="ocean voyage"/>
      <sheetName val="FINALPHP"/>
      <sheetName val="1195 B1"/>
      <sheetName val="Jilid"/>
      <sheetName val="Audit Plan-9"/>
      <sheetName val="Audit Prog-9"/>
      <sheetName val="tim"/>
      <sheetName val="SE-04"/>
      <sheetName val="Laba Rugi"/>
      <sheetName val="Isi Data"/>
      <sheetName val="MENU"/>
      <sheetName val="source_mailmerge"/>
      <sheetName val="kata_bijak"/>
      <sheetName val="link"/>
      <sheetName val="KLU-baru"/>
      <sheetName val="hitpph"/>
      <sheetName val="resume"/>
      <sheetName val="Lem-was"/>
      <sheetName val="RevLHP"/>
      <sheetName val="Daf-Isi-LHP"/>
      <sheetName val="Rev-KKP"/>
      <sheetName val="Indeks-KKP"/>
      <sheetName val="GU"/>
      <sheetName val="B1.1"/>
      <sheetName val="B1.2.1.1"/>
      <sheetName val="B.2"/>
      <sheetName val="B.2.1"/>
      <sheetName val="B.3"/>
      <sheetName val="B3.1"/>
      <sheetName val="B3.2"/>
      <sheetName val="B3.1 (2)"/>
      <sheetName val="B6 "/>
      <sheetName val="Sheet4"/>
      <sheetName val="B10.1_dst"/>
      <sheetName val="B.10.1"/>
      <sheetName val="C.1"/>
      <sheetName val="C.1.1"/>
      <sheetName val="C .2"/>
      <sheetName val="C.2.1"/>
      <sheetName val="C.3"/>
      <sheetName val="D. Ps. 21 F"/>
      <sheetName val="D.1"/>
      <sheetName val="D.1.1"/>
      <sheetName val="E. Ps. 22"/>
      <sheetName val="E.1"/>
      <sheetName val="F. Ps. 22 F"/>
      <sheetName val="F.1"/>
      <sheetName val="G Ps.23"/>
      <sheetName val="G.1"/>
      <sheetName val="G.2"/>
      <sheetName val="G.3"/>
      <sheetName val="J. Ps. 26"/>
      <sheetName val="J.1 "/>
      <sheetName val="K.1.2"/>
      <sheetName val="K.1"/>
      <sheetName val="K1.1"/>
      <sheetName val="K1.1.1"/>
      <sheetName val="K.3"/>
      <sheetName val="L. Ps. 15"/>
      <sheetName val="L.1 "/>
      <sheetName val="N.1"/>
      <sheetName val="N1.1"/>
      <sheetName val="N.2 "/>
      <sheetName val="N2.1"/>
      <sheetName val="N.2.1.1"/>
      <sheetName val="N.3"/>
      <sheetName val="N3.1"/>
      <sheetName val="N.3.1.1"/>
      <sheetName val="N.3.2"/>
      <sheetName val="N.3.3"/>
      <sheetName val="N.4"/>
      <sheetName val="N.4.1"/>
      <sheetName val="N4.1.1"/>
      <sheetName val="N.4.1.1"/>
      <sheetName val="N4.1.1.1"/>
      <sheetName val="N.5 "/>
      <sheetName val="N.6 "/>
      <sheetName val="N6.1"/>
      <sheetName val="N.7"/>
      <sheetName val="N.8"/>
      <sheetName val="N8.1"/>
      <sheetName val="N8.1.1"/>
      <sheetName val="Tdk dpt dikreditkan"/>
      <sheetName val="N8.2"/>
      <sheetName val="N8.2.1"/>
      <sheetName val="N8.2.2"/>
      <sheetName val="N.8.2.2.1"/>
      <sheetName val="Arus Barang"/>
      <sheetName val="BA-uji"/>
      <sheetName val="L-uji"/>
      <sheetName val="N.9"/>
      <sheetName val="N.8.1"/>
      <sheetName val="N.10"/>
      <sheetName val="N11"/>
      <sheetName val="N.12"/>
      <sheetName val="B.12.2"/>
      <sheetName val="Sheet5"/>
      <sheetName val="Sheet2"/>
      <sheetName val="S-PHP"/>
      <sheetName val="Lamp-PHP"/>
      <sheetName val="S-PHPjabatan"/>
      <sheetName val="LPPHP"/>
      <sheetName val="BA-TDTT"/>
      <sheetName val="Ris-Pem"/>
      <sheetName val="Panggil"/>
      <sheetName val="BATH"/>
      <sheetName val="PPN_cfm SPT"/>
      <sheetName val="PPN_cfm pemeriksa-SPHP"/>
      <sheetName val="PPN_Kor-cfmSPHP"/>
      <sheetName val="PPN cfm pemeriksa-akhir"/>
      <sheetName val="PPN_Kor-cfm-WP"/>
      <sheetName val="PPN_Kor-cfm-pemb_rik"/>
      <sheetName val="PPN YgDisetujuiWP"/>
      <sheetName val="BAPAHP"/>
      <sheetName val="SKP-25"/>
      <sheetName val="SKP-21"/>
      <sheetName val="SKP-21F"/>
      <sheetName val="SKP-22"/>
      <sheetName val="SKP-23"/>
      <sheetName val="SKP-26"/>
      <sheetName val="SKP- 4 (2)"/>
      <sheetName val="SKP-PPN"/>
      <sheetName val="SKP-PPnBM"/>
      <sheetName val="dbRp"/>
      <sheetName val="STP-25"/>
      <sheetName val="STP-21"/>
      <sheetName val="STP-22"/>
      <sheetName val="STP-23"/>
      <sheetName val="STP-26"/>
      <sheetName val="STP 4(2)"/>
      <sheetName val="STP PPN"/>
      <sheetName val="RIWAC-Jan00"/>
      <sheetName val="Sch 16.1"/>
      <sheetName val="Sch 17.1"/>
      <sheetName val="Mst Prc"/>
      <sheetName val="Comp equip"/>
      <sheetName val="Form_2-FRG"/>
      <sheetName val="Mst_Prc"/>
      <sheetName val="Comp_equip"/>
      <sheetName val="B.1. ..."/>
      <sheetName val="ST-exSIK"/>
      <sheetName val="BA-Temu"/>
      <sheetName val="SP-Lap (2)"/>
      <sheetName val="BA-Segel"/>
      <sheetName val="BA-S-Rusak"/>
      <sheetName val="BA-B-Segel"/>
      <sheetName val="K-Lap"/>
      <sheetName val="K-Kant"/>
      <sheetName val="Pang"/>
      <sheetName val="BPP"/>
      <sheetName val="BPP (2)"/>
      <sheetName val="Pinj"/>
      <sheetName val="SP-WP"/>
      <sheetName val="SP-WP-Tolak"/>
      <sheetName val="BA-Tolak SPHP"/>
      <sheetName val="Ingat II"/>
      <sheetName val="BA-Pnuh"/>
      <sheetName val="BA-TPnuh"/>
      <sheetName val="ND-panj"/>
      <sheetName val="Panj"/>
      <sheetName val="T-Rik"/>
      <sheetName val="BA-TR"/>
      <sheetName val="T-B-Rik"/>
      <sheetName val="BA-TBRik"/>
      <sheetName val="BA-Pang_K"/>
      <sheetName val="Pang-Ket"/>
      <sheetName val="BA-Ket"/>
      <sheetName val="keBuper"/>
      <sheetName val="Henti"/>
      <sheetName val="Panj-PHP"/>
      <sheetName val="LPK-P-SPT"/>
      <sheetName val="M-QA"/>
      <sheetName val="NDhap"/>
      <sheetName val="BA-NE"/>
      <sheetName val="Usul NE"/>
      <sheetName val="SP-Lap"/>
      <sheetName val="ND-d-harta"/>
      <sheetName val="Daf_harta"/>
      <sheetName val="S-KLU"/>
      <sheetName val="Lam-KLU"/>
      <sheetName val="Pakta"/>
      <sheetName val="S-Perny"/>
      <sheetName val="B-TA"/>
      <sheetName val="U-PJP"/>
      <sheetName val="P-PJP"/>
      <sheetName val="U-PengP"/>
      <sheetName val="P-PengP"/>
      <sheetName val="U-Batal"/>
      <sheetName val="P-Batal"/>
      <sheetName val="B-eA"/>
      <sheetName val="PK-B"/>
      <sheetName val="P-PKB"/>
      <sheetName val="BA-T-PKB"/>
      <sheetName val="BA-T-Temu"/>
      <sheetName val="tdk-diaudit"/>
      <sheetName val="T-beri"/>
      <sheetName val="M-Copy"/>
      <sheetName val="M-CopyKAP"/>
      <sheetName val="CoverKKP"/>
      <sheetName val="ars-uang"/>
      <sheetName val="ars-piut"/>
      <sheetName val="RK (2)"/>
      <sheetName val="B 11"/>
      <sheetName val="B 12"/>
      <sheetName val="B12.1_dst"/>
      <sheetName val="B12.2"/>
      <sheetName val="D.2"/>
      <sheetName val="G Ps.23 Ind"/>
      <sheetName val="G.1.1"/>
      <sheetName val="J Ps.26F"/>
      <sheetName val="J.1.1"/>
      <sheetName val="J.2"/>
      <sheetName val="J.3"/>
      <sheetName val="K.1.1"/>
      <sheetName val="L ind"/>
      <sheetName val="N Ind"/>
      <sheetName val="N.1.1"/>
      <sheetName val="PEB"/>
      <sheetName val="PEB Jasa"/>
      <sheetName val="N4.1"/>
      <sheetName val="N.4.2"/>
      <sheetName val="N.7.1 "/>
      <sheetName val="N.7.11"/>
      <sheetName val="N7.2"/>
      <sheetName val="N7.2  (2)"/>
      <sheetName val="N7.xx"/>
      <sheetName val="Q1"/>
      <sheetName val="EX. COST"/>
      <sheetName val="A4.3"/>
      <sheetName val="KPRIKPA1.2 SP3"/>
      <sheetName val="KPRIKPA1.10 daftar pinjam"/>
      <sheetName val="Waktu"/>
      <sheetName val="PDI"/>
      <sheetName val="KPRIKPA1.4 PEMB"/>
      <sheetName val="KPRIKPA1.5 SP TOLAK"/>
      <sheetName val="TUP"/>
      <sheetName val="AMK"/>
      <sheetName val="BAA"/>
      <sheetName val="BBT"/>
      <sheetName val="BKN"/>
      <sheetName val="BKS"/>
      <sheetName val="BLS"/>
      <sheetName val="BTM"/>
      <sheetName val="DBS"/>
      <sheetName val="DMI"/>
      <sheetName val="DRI"/>
      <sheetName val="KPS"/>
      <sheetName val="LBB"/>
      <sheetName val="PGK"/>
      <sheetName val="PNM"/>
      <sheetName val="PRW"/>
      <sheetName val="PSP"/>
      <sheetName val="RBI"/>
      <sheetName val="RNI"/>
      <sheetName val="SLP"/>
      <sheetName val="SNP"/>
      <sheetName val="SPK"/>
      <sheetName val="SRK"/>
      <sheetName val="SSI"/>
      <sheetName val="TBH"/>
      <sheetName val="TBK"/>
      <sheetName val="TBT"/>
      <sheetName val="TKR"/>
      <sheetName val="TLK"/>
      <sheetName val="TPI"/>
      <sheetName val="UBT"/>
      <sheetName val="UTM"/>
      <sheetName val="Ranges"/>
      <sheetName val="KKP_PK1"/>
      <sheetName val="DATA_WP"/>
      <sheetName val="A_4_3"/>
      <sheetName val="I_U_I"/>
      <sheetName val="K_3_Addition"/>
      <sheetName val="Maret_2007"/>
      <sheetName val="1214_Kartu"/>
      <sheetName val="p_mgmt"/>
      <sheetName val="_견적서"/>
      <sheetName val="Audit_Plan-9"/>
      <sheetName val="Audit_Prog-9"/>
      <sheetName val="Laba_Rugi"/>
      <sheetName val="BY_UMUM"/>
      <sheetName val="UPAHFINAL_"/>
      <sheetName val="PEND_PROYEK"/>
      <sheetName val="LABA_DITAHAN"/>
      <sheetName val="HUTANG_CICILAN"/>
      <sheetName val="HUTANG_BANK"/>
      <sheetName val="HUT_LAIN_LAIN"/>
      <sheetName val="HUT_BIAYA"/>
      <sheetName val="SSP_BLM_DTRM"/>
      <sheetName val="PPN_PRO_BLM_TGH"/>
      <sheetName val="IKTISAR_RL"/>
      <sheetName val="HUT_DAGANG"/>
      <sheetName val="ASURANSI_DI_MK"/>
      <sheetName val="AKTIVA_TETAP"/>
      <sheetName val="UM_PROYEK"/>
      <sheetName val="PIUTANG_DAGANG"/>
      <sheetName val="P_BLM_DITAGIH"/>
      <sheetName val="UANG_MUKA"/>
      <sheetName val="BANK_(2)"/>
      <sheetName val="BANK_(3)"/>
      <sheetName val="AYAT_SILANG"/>
      <sheetName val="KAS_PROYEK_PT"/>
      <sheetName val="PPN_BESAR"/>
      <sheetName val="Isi_Data"/>
      <sheetName val="B1_1"/>
      <sheetName val="B1_2_1_1"/>
      <sheetName val="B_2"/>
      <sheetName val="B_2_1"/>
      <sheetName val="B_3"/>
      <sheetName val="B3_1"/>
      <sheetName val="B3_2"/>
      <sheetName val="B3_1_(2)"/>
      <sheetName val="B6_"/>
      <sheetName val="B10_1_dst"/>
      <sheetName val="B_10_1"/>
      <sheetName val="C_1"/>
      <sheetName val="C_1_1"/>
      <sheetName val="C__2"/>
      <sheetName val="C_2_1"/>
      <sheetName val="C_3"/>
      <sheetName val="D__Ps__21_F"/>
      <sheetName val="D_1"/>
      <sheetName val="D_1_1"/>
      <sheetName val="E__Ps__22"/>
      <sheetName val="E_1"/>
      <sheetName val="F__Ps__22_F"/>
      <sheetName val="F_1"/>
      <sheetName val="G_Ps_23"/>
      <sheetName val="G_1"/>
      <sheetName val="G_2"/>
      <sheetName val="G_3"/>
      <sheetName val="J__Ps__26"/>
      <sheetName val="J_1_"/>
      <sheetName val="K_1_2"/>
      <sheetName val="K_1"/>
      <sheetName val="K1_1"/>
      <sheetName val="K1_1_1"/>
      <sheetName val="K_3"/>
      <sheetName val="L__Ps__15"/>
      <sheetName val="L_1_"/>
      <sheetName val="N_1"/>
      <sheetName val="N1_1"/>
      <sheetName val="N_2_"/>
      <sheetName val="N2_1"/>
      <sheetName val="N_2_1_1"/>
      <sheetName val="N_3"/>
      <sheetName val="N3_1"/>
      <sheetName val="N_3_1_1"/>
      <sheetName val="N_3_2"/>
      <sheetName val="N_3_3"/>
      <sheetName val="N_4"/>
      <sheetName val="N_4_1"/>
      <sheetName val="N4_1_1"/>
      <sheetName val="N_4_1_1"/>
      <sheetName val="N4_1_1_1"/>
      <sheetName val="N_5_"/>
      <sheetName val="N_6_"/>
      <sheetName val="N6_1"/>
      <sheetName val="N_7"/>
      <sheetName val="N_8"/>
      <sheetName val="N8_1"/>
      <sheetName val="N8_1_1"/>
      <sheetName val="Tdk_dpt_dikreditkan"/>
      <sheetName val="N8_2"/>
      <sheetName val="N8_2_1"/>
      <sheetName val="N8_2_2"/>
      <sheetName val="N_8_2_2_1"/>
      <sheetName val="Arus_Barang"/>
      <sheetName val="N_9"/>
      <sheetName val="N_8_1"/>
      <sheetName val="N_10"/>
      <sheetName val="N_12"/>
      <sheetName val="B_12_2"/>
      <sheetName val="PPN_cfm_SPT"/>
      <sheetName val="PPN_cfm_pemeriksa-SPHP"/>
      <sheetName val="PPN_cfm_pemeriksa-akhir"/>
      <sheetName val="PPN_YgDisetujuiWP"/>
      <sheetName val="SKP-_4_(2)"/>
      <sheetName val="STP_4(2)"/>
      <sheetName val="STP_PPN"/>
      <sheetName val="FX_Table"/>
      <sheetName val="financial_statements"/>
      <sheetName val="FX_Rates"/>
      <sheetName val="Write_off_Gross_receiavble"/>
      <sheetName val="Intercompany_Write_off"/>
      <sheetName val="Client_Aje"/>
      <sheetName val="PEMBELIAN"/>
      <sheetName val="1st Qtr Monthly P&amp;L"/>
      <sheetName val="2nd Qtr Monthly P&amp;L"/>
      <sheetName val="3rd Qtr Monthly P&amp;L"/>
      <sheetName val="4th Qtr Monthly P&amp;L"/>
      <sheetName val="PPN Terhutang"/>
      <sheetName val="PL"/>
      <sheetName val="Contracts, Parts &amp; Tech"/>
      <sheetName val="JVFORM"/>
      <sheetName val="Jatim"/>
      <sheetName val="poly1"/>
      <sheetName val="Akomodasi"/>
      <sheetName val="KONFPPN"/>
      <sheetName val="ARP-G201"/>
      <sheetName val="ARP-P201"/>
      <sheetName val="febgj"/>
      <sheetName val="gajipeg"/>
      <sheetName val="jkt160"/>
      <sheetName val="tm_unit_kerja"/>
      <sheetName val="Assumption"/>
      <sheetName val="月ｸﾗｽPS"/>
      <sheetName val="5"/>
      <sheetName val="PMDN MS"/>
      <sheetName val="PENJ SISA PROD"/>
      <sheetName val="PIUTANG USAHA LOKAL"/>
      <sheetName val="PERSED BHN BANTU"/>
      <sheetName val="UM PEMBELIAN LOKAL"/>
      <sheetName val="dero"/>
      <sheetName val="kurs01"/>
      <sheetName val="tabel"/>
      <sheetName val="daftar penyusutan harta"/>
      <sheetName val="Scenarios&amp;Sensitivities"/>
      <sheetName val="SamsungEngine"/>
      <sheetName val="Hua_Yang_Quarterly"/>
      <sheetName val="PROJECT_CAPITAL"/>
      <sheetName val="BULLION_PRODUCTION"/>
      <sheetName val="Cell Address"/>
      <sheetName val="Chart Formatting"/>
      <sheetName val="Charting (Dual Y-Axis)"/>
      <sheetName val="Dynamic Charting"/>
      <sheetName val="Large, Match &amp; Index"/>
      <sheetName val="BA-AR"/>
      <sheetName val="Surat Kuasa OP"/>
      <sheetName val="Surat Kuasa Badan"/>
      <sheetName val="Lampiran Surat Kuasa"/>
      <sheetName val="Surat Kuasa LHKPN"/>
      <sheetName val="BA-Tolak Kuasa"/>
      <sheetName val="Kuesioner"/>
      <sheetName val="BA-tempat WP"/>
      <sheetName val="SP"/>
      <sheetName val="BA-data"/>
      <sheetName val="Lamp BA-data"/>
      <sheetName val="BA-Pinjam_tolak"/>
      <sheetName val="SP ps8(4)"/>
      <sheetName val="BAPK"/>
      <sheetName val="BA tHadir"/>
      <sheetName val="Europe PU-1"/>
      <sheetName val="WBS1"/>
      <sheetName val="Attachement"/>
      <sheetName val="UUS KPS"/>
      <sheetName val="UUS PKU"/>
      <sheetName val="UUS TPI"/>
      <sheetName val="Trading Statement"/>
      <sheetName val="acc"/>
      <sheetName val="I-Rollforward"/>
      <sheetName val="KP.RIK.PS.1.18.D"/>
      <sheetName val="General"/>
      <sheetName val="KKP_PK2"/>
      <sheetName val="Form_2-FRG1"/>
      <sheetName val="Maret_20071"/>
      <sheetName val="I_U_I1"/>
      <sheetName val="A_4_31"/>
      <sheetName val="p_mgmt1"/>
      <sheetName val="DATA_WP1"/>
      <sheetName val="Isi_Data1"/>
      <sheetName val="B1_11"/>
      <sheetName val="B1_2_1_11"/>
      <sheetName val="B_21"/>
      <sheetName val="B_2_11"/>
      <sheetName val="B_31"/>
      <sheetName val="B3_11"/>
      <sheetName val="B3_21"/>
      <sheetName val="B3_1_(2)1"/>
      <sheetName val="B6_1"/>
      <sheetName val="B10_1_dst1"/>
      <sheetName val="B_10_11"/>
      <sheetName val="C_11"/>
      <sheetName val="C_1_11"/>
      <sheetName val="C__21"/>
      <sheetName val="C_2_11"/>
      <sheetName val="C_31"/>
      <sheetName val="D__Ps__21_F1"/>
      <sheetName val="D_11"/>
      <sheetName val="D_1_11"/>
      <sheetName val="E__Ps__221"/>
      <sheetName val="E_11"/>
      <sheetName val="F__Ps__22_F1"/>
      <sheetName val="F_11"/>
      <sheetName val="G_Ps_231"/>
      <sheetName val="G_11"/>
      <sheetName val="G_21"/>
      <sheetName val="G_31"/>
      <sheetName val="J__Ps__261"/>
      <sheetName val="J_1_1"/>
      <sheetName val="K_1_21"/>
      <sheetName val="K_11"/>
      <sheetName val="K1_11"/>
      <sheetName val="K1_1_11"/>
      <sheetName val="K_31"/>
      <sheetName val="L__Ps__151"/>
      <sheetName val="L_1_1"/>
      <sheetName val="N_11"/>
      <sheetName val="N1_11"/>
      <sheetName val="N_2_1"/>
      <sheetName val="N2_11"/>
      <sheetName val="N_2_1_11"/>
      <sheetName val="N_31"/>
      <sheetName val="N3_11"/>
      <sheetName val="N_3_1_11"/>
      <sheetName val="N_3_21"/>
      <sheetName val="N_3_31"/>
      <sheetName val="N_41"/>
      <sheetName val="N_4_11"/>
      <sheetName val="N4_1_11"/>
      <sheetName val="N_4_1_11"/>
      <sheetName val="N4_1_1_11"/>
      <sheetName val="N_5_1"/>
      <sheetName val="N_6_1"/>
      <sheetName val="N6_11"/>
      <sheetName val="N_71"/>
      <sheetName val="N_81"/>
      <sheetName val="N8_11"/>
      <sheetName val="N8_1_11"/>
      <sheetName val="Tdk_dpt_dikreditkan1"/>
      <sheetName val="N8_21"/>
      <sheetName val="N8_2_11"/>
      <sheetName val="N8_2_21"/>
      <sheetName val="N_8_2_2_11"/>
      <sheetName val="Arus_Barang1"/>
      <sheetName val="N_91"/>
      <sheetName val="N_8_11"/>
      <sheetName val="N_101"/>
      <sheetName val="N_121"/>
      <sheetName val="B_12_21"/>
      <sheetName val="PPN_cfm_SPT1"/>
      <sheetName val="PPN_cfm_pemeriksa-SPHP1"/>
      <sheetName val="PPN_cfm_pemeriksa-akhir1"/>
      <sheetName val="PPN_YgDisetujuiWP1"/>
      <sheetName val="SKP-_4_(2)1"/>
      <sheetName val="STP_4(2)1"/>
      <sheetName val="STP_PPN1"/>
      <sheetName val="K_3_Addition1"/>
      <sheetName val="1214_Kartu1"/>
      <sheetName val="_견적서1"/>
      <sheetName val="Audit_Plan-91"/>
      <sheetName val="Audit_Prog-91"/>
      <sheetName val="Laba_Rugi1"/>
      <sheetName val="BY_UMUM1"/>
      <sheetName val="UPAHFINAL_1"/>
      <sheetName val="PEND_PROYEK1"/>
      <sheetName val="LABA_DITAHAN1"/>
      <sheetName val="HUTANG_CICILAN1"/>
      <sheetName val="HUTANG_BANK1"/>
      <sheetName val="HUT_LAIN_LAIN1"/>
      <sheetName val="HUT_BIAYA1"/>
      <sheetName val="SSP_BLM_DTRM1"/>
      <sheetName val="PPN_PRO_BLM_TGH1"/>
      <sheetName val="IKTISAR_RL1"/>
      <sheetName val="HUT_DAGANG1"/>
      <sheetName val="ASURANSI_DI_MK1"/>
      <sheetName val="AKTIVA_TETAP1"/>
      <sheetName val="UM_PROYEK1"/>
      <sheetName val="PIUTANG_DAGANG1"/>
      <sheetName val="P_BLM_DITAGIH1"/>
      <sheetName val="UANG_MUKA1"/>
      <sheetName val="BANK_(2)1"/>
      <sheetName val="BANK_(3)1"/>
      <sheetName val="AYAT_SILANG1"/>
      <sheetName val="KAS_PROYEK_PT1"/>
      <sheetName val="PPN_BESAR1"/>
      <sheetName val="FX_Table1"/>
      <sheetName val="FX_Rates1"/>
      <sheetName val="Write_off_Gross_receiavble1"/>
      <sheetName val="Intercompany_Write_off1"/>
      <sheetName val="Client_Aje1"/>
      <sheetName val="financial_statements1"/>
      <sheetName val="Hua_Yang_Quarterly1"/>
      <sheetName val="PROJECT_CAPITAL1"/>
      <sheetName val="BULLION_PRODUCTION1"/>
      <sheetName val="1st_Qtr_Monthly_P&amp;L"/>
      <sheetName val="2nd_Qtr_Monthly_P&amp;L"/>
      <sheetName val="3rd_Qtr_Monthly_P&amp;L"/>
      <sheetName val="4th_Qtr_Monthly_P&amp;L"/>
      <sheetName val="PPN_Terhutang"/>
      <sheetName val="Permanent_info"/>
      <sheetName val="EX__COST"/>
      <sheetName val="A4_3"/>
      <sheetName val="NOTES_"/>
      <sheetName val="BALANCE_SHEET"/>
      <sheetName val="SP-Lap_(2)"/>
      <sheetName val="BPP_(2)"/>
      <sheetName val="BA-Tolak_SPHP"/>
      <sheetName val="Ingat_II"/>
      <sheetName val="Usul_NE"/>
      <sheetName val="RK_(2)"/>
      <sheetName val="B_11"/>
      <sheetName val="B_12"/>
      <sheetName val="B12_1_dst"/>
      <sheetName val="B12_2"/>
      <sheetName val="D_2"/>
      <sheetName val="G_Ps_23_Ind"/>
      <sheetName val="G_1_1"/>
      <sheetName val="J_Ps_26F"/>
      <sheetName val="J_1_11"/>
      <sheetName val="J_2"/>
      <sheetName val="J_3"/>
      <sheetName val="K_1_1"/>
      <sheetName val="L_ind"/>
      <sheetName val="N_Ind"/>
      <sheetName val="N_1_1"/>
      <sheetName val="PEB_Jasa"/>
      <sheetName val="N4_1"/>
      <sheetName val="N_4_2"/>
      <sheetName val="N_7_1_"/>
      <sheetName val="N_7_11"/>
      <sheetName val="N7_2"/>
      <sheetName val="N7_2__(2)"/>
      <sheetName val="N7_xx"/>
      <sheetName val="Contracts,_Parts_&amp;_Tech"/>
      <sheetName val="1195_B1"/>
      <sheetName val="KPRIKPA1_2_SP3"/>
      <sheetName val="KPRIKPA1_10_daftar_pinjam"/>
      <sheetName val="KPRIKPA1_4_PEMB"/>
      <sheetName val="KPRIKPA1_5_SP_TOLAK"/>
      <sheetName val="UUS_KPS"/>
      <sheetName val="UUS_PKU"/>
      <sheetName val="UUS_TPI"/>
      <sheetName val="Trading_Statement"/>
      <sheetName val="B_1_____"/>
      <sheetName val="Irregular_Income"/>
      <sheetName val="FE-1770_P1"/>
      <sheetName val="BAWPtdk_ada"/>
      <sheetName val="Detil_Pelaporan"/>
      <sheetName val="Audit_Plan"/>
      <sheetName val="LR_Manufaktur"/>
      <sheetName val="LR_Dagang"/>
      <sheetName val="LR_Bank"/>
      <sheetName val="Executive_Summary"/>
      <sheetName val="review_sheet"/>
      <sheetName val="Daftar_Isi"/>
      <sheetName val="PPh_Badan"/>
      <sheetName val="uji_B1"/>
      <sheetName val="Rekap_Penyusutan"/>
      <sheetName val="Daftar_Penyusutan"/>
      <sheetName val="SPT_Tahunan"/>
      <sheetName val="SPT_Tahunan$"/>
      <sheetName val="lamp_V"/>
      <sheetName val="lamp_VI"/>
      <sheetName val="SSP_PPh22_Impor"/>
      <sheetName val="SSP_PPh2529"/>
      <sheetName val="Bukpot_PPh_Badan"/>
      <sheetName val="Bukpot_PPh_Badan$"/>
      <sheetName val="SPT_21"/>
      <sheetName val="rekap_21"/>
      <sheetName val="SPT_PPN"/>
      <sheetName val="SPT_PPN_AB"/>
      <sheetName val="SSP_PPN_Impor"/>
      <sheetName val="lamp_B1"/>
      <sheetName val="lamp_B3"/>
      <sheetName val="Rekap_PM"/>
      <sheetName val="jawaban_PM"/>
      <sheetName val="kode_map"/>
      <sheetName val="temp_LHP"/>
      <sheetName val="temp_lhp2"/>
      <sheetName val="temp_KKP"/>
      <sheetName val="SP_Lap"/>
      <sheetName val="ND_Harta"/>
      <sheetName val="Gabungan_21"/>
      <sheetName val="Gabungan_21F"/>
      <sheetName val="Gabungan_22"/>
      <sheetName val="Gabungan_22F"/>
      <sheetName val="Gabungan_23"/>
      <sheetName val="Gabungan_26"/>
      <sheetName val="Gabungan_42"/>
      <sheetName val="Gabungan_15F"/>
      <sheetName val="Mst_Prc1"/>
      <sheetName val="Comp_equip1"/>
      <sheetName val="ocean_voyage"/>
      <sheetName val="Sch_16_1"/>
      <sheetName val="Sch_17_1"/>
      <sheetName val="Cell_Address"/>
      <sheetName val="Chart_Formatting"/>
      <sheetName val="Charting_(Dual_Y-Axis)"/>
      <sheetName val="Dynamic_Charting"/>
      <sheetName val="Large,_Match_&amp;_Index"/>
      <sheetName val="Europe_PU-1"/>
      <sheetName val="Surat_Kuasa_OP"/>
      <sheetName val="Surat_Kuasa_Badan"/>
      <sheetName val="Lampiran_Surat_Kuasa"/>
      <sheetName val="Surat_Kuasa_LHKPN"/>
      <sheetName val="BA-Tolak_Kuasa"/>
      <sheetName val="BA-tempat_WP"/>
      <sheetName val="Lamp_BA-data"/>
      <sheetName val="SP_ps8(4)"/>
      <sheetName val="BA_tHadir"/>
      <sheetName val="Book Depn_RTGC"/>
      <sheetName val="summary-1"/>
      <sheetName val="Listing"/>
      <sheetName val="DM thung"/>
      <sheetName val="DMNVL-KgB2"/>
      <sheetName val="XL4Poppy"/>
      <sheetName val="rate"/>
      <sheetName val="kmk486"/>
      <sheetName val="M F L"/>
      <sheetName val=" INCOME STATEMENT (2)"/>
      <sheetName val="Daftar"/>
      <sheetName val="12. Utang Lain-Lain"/>
      <sheetName val="LIST"/>
      <sheetName val="JSiar"/>
      <sheetName val="B30"/>
      <sheetName val="8782"/>
      <sheetName val="Inputs"/>
      <sheetName val="Rkp Invoice"/>
      <sheetName val="stokMAT"/>
      <sheetName val="Sheet1 (2)"/>
      <sheetName val="rincian aktivitas"/>
      <sheetName val="Input Data"/>
      <sheetName val="OSS991-timewriting, other"/>
      <sheetName val="MP147-training"/>
      <sheetName val="P&amp;L Mgmt acs"/>
      <sheetName val="Calc"/>
      <sheetName val="WORKING"/>
      <sheetName val="T_PV"/>
      <sheetName val="Val_nra1"/>
      <sheetName val="Val_nra2"/>
      <sheetName val="Calculator"/>
      <sheetName val="gg.1"/>
      <sheetName val="id"/>
      <sheetName val="2001GeneralInfo"/>
      <sheetName val="2001Marshal"/>
      <sheetName val="MP 2014"/>
      <sheetName val="MP 2015"/>
      <sheetName val="MP 2016"/>
      <sheetName val="MP 2017"/>
      <sheetName val="MP 2018"/>
      <sheetName val="SSD 2014"/>
      <sheetName val="SSD 2015"/>
      <sheetName val="SSD 2016"/>
      <sheetName val="SSD 2017"/>
      <sheetName val="SSD 2018"/>
      <sheetName val="Selisih SSD-Lap"/>
      <sheetName val="Temuan"/>
      <sheetName val="Manajer Kebun"/>
      <sheetName val="Lembar4"/>
      <sheetName val="Lembar5"/>
      <sheetName val="HARGA INPUT PRODUKSI"/>
      <sheetName val="ANALISA BIAYA PEMBIBITAN"/>
      <sheetName val="BIAYA TBM1"/>
      <sheetName val="BIAYA TBM2"/>
      <sheetName val="BIAYA TBM3"/>
      <sheetName val="BIAYA TM 1-2"/>
      <sheetName val="BIAYA TM 3-5"/>
      <sheetName val="BIAYA TM 6-13"/>
      <sheetName val="BIAYA TM 14-22"/>
      <sheetName val="LAND CLEARING "/>
      <sheetName val="total pupuk"/>
      <sheetName val="Standar Produktivitas"/>
      <sheetName val="Standar Volume Pekerjaan"/>
      <sheetName val="RekapKurs"/>
      <sheetName val="RekapHPE"/>
      <sheetName val="Pengaruh El Nino Tahun 2015"/>
      <sheetName val="Sebaran Produksi Per Bulan"/>
      <sheetName val="(1) Form Data Instansi Terkait"/>
      <sheetName val="(2.1) Form Data Objek Bagian I"/>
      <sheetName val="(2.2) Form Data Objek Bagian II"/>
      <sheetName val="(3.1) Form Isian"/>
      <sheetName val="(3.2) Isian Adj. Productivity"/>
      <sheetName val="KKA Induk"/>
      <sheetName val="KKA B"/>
      <sheetName val="KKA B.1"/>
      <sheetName val="KKA B.1.1"/>
      <sheetName val="KKA B.1.1.1"/>
      <sheetName val="KKA B.1.1.2"/>
      <sheetName val="KKA B.1.2"/>
      <sheetName val="KKA B.1.2.1"/>
      <sheetName val="KKA B.1.2.2"/>
      <sheetName val="KKA B.1.3"/>
      <sheetName val="KKA B.2"/>
      <sheetName val="KKA B.2.1"/>
      <sheetName val="KKA B.2.2"/>
      <sheetName val="KKA B.2.3"/>
      <sheetName val="KKA B.2.4"/>
      <sheetName val="KKA B.2.5"/>
      <sheetName val="KKA B.2.6"/>
      <sheetName val="KKA KBL"/>
      <sheetName val="KKA BP-TBM"/>
      <sheetName val="KKA BTKP-TBM"/>
      <sheetName val="MFNomen"/>
      <sheetName val="MFMAP"/>
      <sheetName val="MFKlu"/>
      <sheetName val="Kop Surat F4"/>
      <sheetName val="MFPeg"/>
      <sheetName val="MFWP"/>
      <sheetName val="Data Isian"/>
      <sheetName val="Cover Berkas"/>
      <sheetName val="Data Tindak Lanjut"/>
      <sheetName val="Data Visit"/>
      <sheetName val="SP2DK"/>
      <sheetName val="Lampiran SP2DK"/>
      <sheetName val="Lampiran"/>
      <sheetName val="sub KKP"/>
      <sheetName val="Kertas Kerja"/>
      <sheetName val="Kertas Kerja (1)"/>
      <sheetName val="Arus Dokumen"/>
      <sheetName val="BA (1)"/>
      <sheetName val="BA (2)"/>
      <sheetName val="BA (3)"/>
      <sheetName val="LHP2DK"/>
      <sheetName val="LAP Visit"/>
      <sheetName val="BA Tolak Visit"/>
      <sheetName val="Und. Konseling"/>
      <sheetName val="Tanda Terima"/>
      <sheetName val="BA Konseling"/>
      <sheetName val="SMI"/>
      <sheetName val="Benefit"/>
      <sheetName val="Budget allocation update"/>
      <sheetName val="summary KPI"/>
      <sheetName val="Admin"/>
      <sheetName val="プルダウンリスト"/>
      <sheetName val="01-12"/>
      <sheetName val="FG SDC $"/>
      <sheetName val="Price"/>
      <sheetName val="IS"/>
      <sheetName val="Cost from Acc"/>
      <sheetName val="Konso"/>
      <sheetName val="Reference"/>
      <sheetName val="Breadown-Nop"/>
      <sheetName val="Master_KPP"/>
      <sheetName val="Master Pegawai"/>
      <sheetName val="Master SKP"/>
      <sheetName val="Sum Bank"/>
      <sheetName val="Vehicles"/>
      <sheetName val="BRI Giro RP-FORD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 refreshError="1"/>
      <sheetData sheetId="481" refreshError="1"/>
      <sheetData sheetId="482"/>
      <sheetData sheetId="483"/>
      <sheetData sheetId="484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/>
      <sheetData sheetId="627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/>
      <sheetData sheetId="909"/>
      <sheetData sheetId="910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utorial"/>
      <sheetName val="Daftar Aktiva"/>
      <sheetName val="Lembar Penolong (SM)"/>
      <sheetName val="Form Daft Penyusutan"/>
    </sheetNames>
    <sheetDataSet>
      <sheetData sheetId="0"/>
      <sheetData sheetId="1">
        <row r="1">
          <cell r="A1" t="str">
            <v>DAFTAR HARTA</v>
          </cell>
        </row>
        <row r="3">
          <cell r="A3" t="str">
            <v>No Urut</v>
          </cell>
          <cell r="B3" t="str">
            <v>Nama/Jenis Harta</v>
          </cell>
          <cell r="C3" t="str">
            <v>Kel.                   Harta</v>
          </cell>
          <cell r="D3" t="str">
            <v>Perolehan</v>
          </cell>
        </row>
        <row r="4">
          <cell r="D4" t="str">
            <v>Bulan</v>
          </cell>
          <cell r="E4" t="str">
            <v xml:space="preserve">Tahun </v>
          </cell>
          <cell r="F4" t="str">
            <v xml:space="preserve">Nilai </v>
          </cell>
        </row>
        <row r="5">
          <cell r="A5">
            <v>1</v>
          </cell>
          <cell r="B5" t="str">
            <v>Blackberry Apollo Blk 1/8467</v>
          </cell>
          <cell r="C5">
            <v>1</v>
          </cell>
          <cell r="D5">
            <v>12</v>
          </cell>
          <cell r="E5">
            <v>2011</v>
          </cell>
          <cell r="F5">
            <v>3280000</v>
          </cell>
        </row>
        <row r="6">
          <cell r="A6">
            <v>2</v>
          </cell>
          <cell r="B6" t="str">
            <v>Blackberry Apollo Blk 1/6520</v>
          </cell>
          <cell r="C6">
            <v>1</v>
          </cell>
          <cell r="D6">
            <v>12</v>
          </cell>
          <cell r="E6">
            <v>2011</v>
          </cell>
          <cell r="F6">
            <v>3280000</v>
          </cell>
        </row>
        <row r="7">
          <cell r="A7">
            <v>3</v>
          </cell>
          <cell r="B7" t="str">
            <v>Blackberry Apollo Blk 1/1201</v>
          </cell>
          <cell r="C7">
            <v>1</v>
          </cell>
          <cell r="D7">
            <v>12</v>
          </cell>
          <cell r="E7">
            <v>2011</v>
          </cell>
          <cell r="F7">
            <v>3280000</v>
          </cell>
        </row>
        <row r="8">
          <cell r="A8">
            <v>4</v>
          </cell>
          <cell r="B8" t="str">
            <v>Blackberry 9300 Grey 1/6279</v>
          </cell>
          <cell r="C8">
            <v>1</v>
          </cell>
          <cell r="D8">
            <v>12</v>
          </cell>
          <cell r="E8">
            <v>2011</v>
          </cell>
          <cell r="F8">
            <v>2380000</v>
          </cell>
        </row>
        <row r="9">
          <cell r="A9">
            <v>5</v>
          </cell>
          <cell r="B9" t="str">
            <v>Blackberry 9300 Grey 1/6279</v>
          </cell>
          <cell r="C9">
            <v>1</v>
          </cell>
          <cell r="D9">
            <v>12</v>
          </cell>
          <cell r="E9">
            <v>2011</v>
          </cell>
          <cell r="F9">
            <v>2380000</v>
          </cell>
        </row>
        <row r="10">
          <cell r="A10">
            <v>6</v>
          </cell>
          <cell r="B10" t="str">
            <v>TV LCD Panasonic 42 inch</v>
          </cell>
          <cell r="C10">
            <v>1</v>
          </cell>
          <cell r="D10">
            <v>12</v>
          </cell>
          <cell r="E10">
            <v>2011</v>
          </cell>
          <cell r="F10">
            <v>5748000</v>
          </cell>
        </row>
        <row r="11">
          <cell r="A11">
            <v>7</v>
          </cell>
          <cell r="B11" t="str">
            <v>AC Merk  Panasonic</v>
          </cell>
          <cell r="C11">
            <v>2</v>
          </cell>
          <cell r="D11">
            <v>10</v>
          </cell>
          <cell r="E11">
            <v>2007</v>
          </cell>
          <cell r="F11">
            <v>3650000</v>
          </cell>
        </row>
        <row r="12">
          <cell r="A12">
            <v>8</v>
          </cell>
          <cell r="B12" t="str">
            <v>AC Merk  Panasonic</v>
          </cell>
          <cell r="C12">
            <v>2</v>
          </cell>
          <cell r="D12">
            <v>10</v>
          </cell>
          <cell r="E12">
            <v>2007</v>
          </cell>
          <cell r="F12">
            <v>4200000</v>
          </cell>
        </row>
        <row r="13">
          <cell r="A13">
            <v>9</v>
          </cell>
          <cell r="B13" t="str">
            <v>AC Merk  Panasonic 1,5 PK</v>
          </cell>
          <cell r="C13">
            <v>2</v>
          </cell>
          <cell r="D13">
            <v>12</v>
          </cell>
          <cell r="E13">
            <v>2007</v>
          </cell>
          <cell r="F13">
            <v>3700000</v>
          </cell>
        </row>
        <row r="14">
          <cell r="A14">
            <v>10</v>
          </cell>
          <cell r="B14" t="str">
            <v>Mobil Kijang Invona th 06</v>
          </cell>
          <cell r="C14">
            <v>2</v>
          </cell>
          <cell r="D14">
            <v>6</v>
          </cell>
          <cell r="E14">
            <v>2007</v>
          </cell>
          <cell r="F14">
            <v>171103725</v>
          </cell>
        </row>
        <row r="15">
          <cell r="A15">
            <v>11</v>
          </cell>
        </row>
        <row r="16">
          <cell r="A16">
            <v>12</v>
          </cell>
        </row>
        <row r="17">
          <cell r="A17">
            <v>13</v>
          </cell>
        </row>
        <row r="18">
          <cell r="A18">
            <v>14</v>
          </cell>
        </row>
        <row r="19">
          <cell r="A19">
            <v>15</v>
          </cell>
        </row>
        <row r="20">
          <cell r="A20">
            <v>16</v>
          </cell>
        </row>
        <row r="21">
          <cell r="A21">
            <v>17</v>
          </cell>
        </row>
        <row r="22">
          <cell r="A22">
            <v>18</v>
          </cell>
        </row>
        <row r="23">
          <cell r="A23">
            <v>19</v>
          </cell>
        </row>
        <row r="24">
          <cell r="A24">
            <v>20</v>
          </cell>
        </row>
        <row r="25">
          <cell r="A25">
            <v>21</v>
          </cell>
        </row>
        <row r="26">
          <cell r="A26">
            <v>22</v>
          </cell>
        </row>
        <row r="27">
          <cell r="A27">
            <v>23</v>
          </cell>
        </row>
        <row r="28">
          <cell r="A28">
            <v>24</v>
          </cell>
        </row>
        <row r="29">
          <cell r="A29">
            <v>25</v>
          </cell>
        </row>
        <row r="30">
          <cell r="A30">
            <v>26</v>
          </cell>
        </row>
        <row r="31">
          <cell r="A31">
            <v>27</v>
          </cell>
        </row>
        <row r="32">
          <cell r="A32">
            <v>28</v>
          </cell>
        </row>
        <row r="33">
          <cell r="A33">
            <v>29</v>
          </cell>
        </row>
        <row r="34">
          <cell r="A34">
            <v>30</v>
          </cell>
        </row>
        <row r="35">
          <cell r="A35">
            <v>31</v>
          </cell>
        </row>
        <row r="36">
          <cell r="A36">
            <v>32</v>
          </cell>
        </row>
        <row r="37">
          <cell r="A37">
            <v>33</v>
          </cell>
        </row>
        <row r="38">
          <cell r="A38">
            <v>34</v>
          </cell>
        </row>
        <row r="39">
          <cell r="A39">
            <v>35</v>
          </cell>
        </row>
        <row r="40">
          <cell r="A40">
            <v>36</v>
          </cell>
        </row>
        <row r="41">
          <cell r="A41">
            <v>37</v>
          </cell>
        </row>
        <row r="42">
          <cell r="A42">
            <v>38</v>
          </cell>
        </row>
        <row r="43">
          <cell r="A43">
            <v>39</v>
          </cell>
        </row>
        <row r="44">
          <cell r="A44">
            <v>40</v>
          </cell>
        </row>
        <row r="45">
          <cell r="A45">
            <v>41</v>
          </cell>
        </row>
        <row r="46">
          <cell r="A46">
            <v>42</v>
          </cell>
        </row>
        <row r="47">
          <cell r="A47">
            <v>43</v>
          </cell>
        </row>
        <row r="48">
          <cell r="A48">
            <v>44</v>
          </cell>
        </row>
        <row r="49">
          <cell r="A49">
            <v>45</v>
          </cell>
        </row>
        <row r="50">
          <cell r="A50">
            <v>46</v>
          </cell>
        </row>
        <row r="51">
          <cell r="A51">
            <v>47</v>
          </cell>
        </row>
        <row r="52">
          <cell r="A52">
            <v>48</v>
          </cell>
        </row>
        <row r="53">
          <cell r="A53">
            <v>49</v>
          </cell>
        </row>
        <row r="54">
          <cell r="A54">
            <v>50</v>
          </cell>
        </row>
        <row r="55">
          <cell r="A55">
            <v>51</v>
          </cell>
        </row>
        <row r="56">
          <cell r="A56">
            <v>52</v>
          </cell>
        </row>
        <row r="57">
          <cell r="A57">
            <v>53</v>
          </cell>
        </row>
        <row r="58">
          <cell r="A58">
            <v>54</v>
          </cell>
        </row>
        <row r="59">
          <cell r="A59">
            <v>55</v>
          </cell>
        </row>
        <row r="60">
          <cell r="A60">
            <v>56</v>
          </cell>
        </row>
        <row r="61">
          <cell r="A61">
            <v>57</v>
          </cell>
        </row>
        <row r="62">
          <cell r="A62">
            <v>58</v>
          </cell>
        </row>
        <row r="63">
          <cell r="A63">
            <v>59</v>
          </cell>
        </row>
        <row r="64">
          <cell r="A64">
            <v>60</v>
          </cell>
        </row>
        <row r="65">
          <cell r="A65">
            <v>61</v>
          </cell>
        </row>
        <row r="66">
          <cell r="A66">
            <v>62</v>
          </cell>
        </row>
        <row r="67">
          <cell r="A67">
            <v>63</v>
          </cell>
        </row>
        <row r="68">
          <cell r="A68">
            <v>64</v>
          </cell>
        </row>
        <row r="69">
          <cell r="A69">
            <v>65</v>
          </cell>
        </row>
        <row r="70">
          <cell r="A70">
            <v>66</v>
          </cell>
        </row>
        <row r="71">
          <cell r="A71">
            <v>67</v>
          </cell>
        </row>
        <row r="72">
          <cell r="A72">
            <v>68</v>
          </cell>
        </row>
        <row r="73">
          <cell r="A73">
            <v>69</v>
          </cell>
        </row>
        <row r="74">
          <cell r="A74">
            <v>70</v>
          </cell>
        </row>
        <row r="75">
          <cell r="A75">
            <v>71</v>
          </cell>
        </row>
        <row r="76">
          <cell r="A76">
            <v>72</v>
          </cell>
        </row>
        <row r="77">
          <cell r="A77">
            <v>73</v>
          </cell>
        </row>
        <row r="78">
          <cell r="A78">
            <v>74</v>
          </cell>
        </row>
        <row r="79">
          <cell r="A79">
            <v>75</v>
          </cell>
        </row>
        <row r="80">
          <cell r="A80">
            <v>76</v>
          </cell>
        </row>
        <row r="81">
          <cell r="A81">
            <v>77</v>
          </cell>
        </row>
        <row r="82">
          <cell r="A82">
            <v>78</v>
          </cell>
        </row>
        <row r="83">
          <cell r="A83">
            <v>79</v>
          </cell>
        </row>
        <row r="84">
          <cell r="A84">
            <v>80</v>
          </cell>
        </row>
        <row r="85">
          <cell r="A85">
            <v>81</v>
          </cell>
        </row>
        <row r="86">
          <cell r="A86">
            <v>82</v>
          </cell>
        </row>
        <row r="87">
          <cell r="A87">
            <v>83</v>
          </cell>
        </row>
        <row r="88">
          <cell r="A88">
            <v>84</v>
          </cell>
        </row>
        <row r="89">
          <cell r="A89">
            <v>85</v>
          </cell>
        </row>
        <row r="90">
          <cell r="A90">
            <v>86</v>
          </cell>
        </row>
        <row r="91">
          <cell r="A91">
            <v>87</v>
          </cell>
        </row>
        <row r="92">
          <cell r="A92">
            <v>88</v>
          </cell>
        </row>
        <row r="93">
          <cell r="A93">
            <v>89</v>
          </cell>
        </row>
        <row r="94">
          <cell r="A94">
            <v>90</v>
          </cell>
        </row>
        <row r="95">
          <cell r="A95">
            <v>91</v>
          </cell>
        </row>
        <row r="96">
          <cell r="A96">
            <v>92</v>
          </cell>
        </row>
        <row r="97">
          <cell r="A97">
            <v>93</v>
          </cell>
        </row>
        <row r="98">
          <cell r="A98">
            <v>94</v>
          </cell>
        </row>
        <row r="99">
          <cell r="A99">
            <v>95</v>
          </cell>
        </row>
        <row r="100">
          <cell r="A100">
            <v>96</v>
          </cell>
        </row>
        <row r="101">
          <cell r="A101">
            <v>97</v>
          </cell>
        </row>
        <row r="102">
          <cell r="A102">
            <v>98</v>
          </cell>
        </row>
        <row r="103">
          <cell r="A103">
            <v>99</v>
          </cell>
        </row>
        <row r="104">
          <cell r="A104">
            <v>100</v>
          </cell>
        </row>
        <row r="105">
          <cell r="A105">
            <v>101</v>
          </cell>
        </row>
        <row r="106">
          <cell r="A106">
            <v>102</v>
          </cell>
        </row>
        <row r="107">
          <cell r="A107">
            <v>103</v>
          </cell>
        </row>
        <row r="108">
          <cell r="A108">
            <v>104</v>
          </cell>
        </row>
        <row r="109">
          <cell r="A109">
            <v>105</v>
          </cell>
        </row>
        <row r="110">
          <cell r="A110">
            <v>106</v>
          </cell>
        </row>
        <row r="111">
          <cell r="A111">
            <v>107</v>
          </cell>
        </row>
        <row r="112">
          <cell r="A112">
            <v>108</v>
          </cell>
        </row>
        <row r="113">
          <cell r="A113">
            <v>109</v>
          </cell>
        </row>
        <row r="114">
          <cell r="A114">
            <v>110</v>
          </cell>
        </row>
        <row r="115">
          <cell r="A115">
            <v>111</v>
          </cell>
        </row>
        <row r="116">
          <cell r="A116">
            <v>112</v>
          </cell>
        </row>
        <row r="117">
          <cell r="A117">
            <v>113</v>
          </cell>
        </row>
        <row r="118">
          <cell r="A118">
            <v>114</v>
          </cell>
        </row>
        <row r="119">
          <cell r="A119">
            <v>115</v>
          </cell>
        </row>
        <row r="120">
          <cell r="A120">
            <v>116</v>
          </cell>
        </row>
        <row r="121">
          <cell r="A121">
            <v>117</v>
          </cell>
        </row>
        <row r="122">
          <cell r="A122">
            <v>118</v>
          </cell>
        </row>
        <row r="123">
          <cell r="A123">
            <v>119</v>
          </cell>
        </row>
        <row r="124">
          <cell r="A124">
            <v>120</v>
          </cell>
        </row>
        <row r="125">
          <cell r="A125">
            <v>121</v>
          </cell>
        </row>
        <row r="126">
          <cell r="A126">
            <v>122</v>
          </cell>
        </row>
        <row r="127">
          <cell r="A127">
            <v>123</v>
          </cell>
        </row>
        <row r="128">
          <cell r="A128">
            <v>124</v>
          </cell>
        </row>
        <row r="129">
          <cell r="A129">
            <v>125</v>
          </cell>
        </row>
        <row r="130">
          <cell r="A130">
            <v>126</v>
          </cell>
        </row>
        <row r="131">
          <cell r="A131">
            <v>127</v>
          </cell>
        </row>
        <row r="132">
          <cell r="A132">
            <v>128</v>
          </cell>
        </row>
        <row r="133">
          <cell r="A133">
            <v>129</v>
          </cell>
        </row>
        <row r="134">
          <cell r="A134">
            <v>130</v>
          </cell>
        </row>
        <row r="135">
          <cell r="A135">
            <v>131</v>
          </cell>
        </row>
        <row r="136">
          <cell r="A136">
            <v>132</v>
          </cell>
        </row>
        <row r="137">
          <cell r="A137">
            <v>133</v>
          </cell>
        </row>
        <row r="138">
          <cell r="A138">
            <v>134</v>
          </cell>
        </row>
        <row r="139">
          <cell r="A139">
            <v>135</v>
          </cell>
        </row>
        <row r="140">
          <cell r="A140">
            <v>136</v>
          </cell>
        </row>
        <row r="141">
          <cell r="A141">
            <v>137</v>
          </cell>
        </row>
        <row r="142">
          <cell r="A142">
            <v>138</v>
          </cell>
        </row>
        <row r="143">
          <cell r="A143">
            <v>139</v>
          </cell>
        </row>
        <row r="144">
          <cell r="A144">
            <v>140</v>
          </cell>
        </row>
        <row r="145">
          <cell r="A145">
            <v>141</v>
          </cell>
        </row>
        <row r="146">
          <cell r="A146">
            <v>142</v>
          </cell>
        </row>
        <row r="147">
          <cell r="A147">
            <v>143</v>
          </cell>
        </row>
        <row r="148">
          <cell r="A148">
            <v>144</v>
          </cell>
        </row>
        <row r="149">
          <cell r="A149">
            <v>145</v>
          </cell>
        </row>
        <row r="150">
          <cell r="A150">
            <v>146</v>
          </cell>
        </row>
        <row r="151">
          <cell r="A151">
            <v>147</v>
          </cell>
        </row>
        <row r="152">
          <cell r="A152">
            <v>148</v>
          </cell>
        </row>
        <row r="153">
          <cell r="A153">
            <v>149</v>
          </cell>
        </row>
        <row r="154">
          <cell r="A154">
            <v>150</v>
          </cell>
        </row>
        <row r="155">
          <cell r="A155">
            <v>151</v>
          </cell>
        </row>
        <row r="156">
          <cell r="A156">
            <v>152</v>
          </cell>
        </row>
        <row r="157">
          <cell r="A157">
            <v>153</v>
          </cell>
        </row>
        <row r="158">
          <cell r="A158">
            <v>154</v>
          </cell>
        </row>
        <row r="159">
          <cell r="A159">
            <v>155</v>
          </cell>
        </row>
        <row r="160">
          <cell r="A160">
            <v>156</v>
          </cell>
        </row>
        <row r="161">
          <cell r="A161">
            <v>157</v>
          </cell>
        </row>
        <row r="162">
          <cell r="A162">
            <v>158</v>
          </cell>
        </row>
        <row r="163">
          <cell r="A163">
            <v>159</v>
          </cell>
        </row>
        <row r="164">
          <cell r="A164">
            <v>160</v>
          </cell>
        </row>
        <row r="165">
          <cell r="A165">
            <v>161</v>
          </cell>
        </row>
        <row r="166">
          <cell r="A166">
            <v>162</v>
          </cell>
        </row>
        <row r="167">
          <cell r="A167">
            <v>163</v>
          </cell>
        </row>
        <row r="168">
          <cell r="A168">
            <v>164</v>
          </cell>
        </row>
        <row r="169">
          <cell r="A169">
            <v>165</v>
          </cell>
        </row>
        <row r="170">
          <cell r="A170">
            <v>166</v>
          </cell>
        </row>
        <row r="171">
          <cell r="A171">
            <v>167</v>
          </cell>
        </row>
        <row r="172">
          <cell r="A172">
            <v>168</v>
          </cell>
        </row>
        <row r="173">
          <cell r="A173">
            <v>169</v>
          </cell>
        </row>
        <row r="174">
          <cell r="A174">
            <v>170</v>
          </cell>
        </row>
        <row r="175">
          <cell r="A175">
            <v>171</v>
          </cell>
        </row>
        <row r="176">
          <cell r="A176">
            <v>172</v>
          </cell>
        </row>
        <row r="177">
          <cell r="A177">
            <v>173</v>
          </cell>
        </row>
        <row r="178">
          <cell r="A178">
            <v>174</v>
          </cell>
        </row>
        <row r="179">
          <cell r="A179">
            <v>175</v>
          </cell>
        </row>
        <row r="180">
          <cell r="A180">
            <v>176</v>
          </cell>
        </row>
        <row r="181">
          <cell r="A181">
            <v>177</v>
          </cell>
        </row>
        <row r="182">
          <cell r="A182">
            <v>178</v>
          </cell>
        </row>
        <row r="183">
          <cell r="A183">
            <v>179</v>
          </cell>
        </row>
        <row r="184">
          <cell r="A184">
            <v>180</v>
          </cell>
        </row>
        <row r="185">
          <cell r="A185">
            <v>181</v>
          </cell>
        </row>
        <row r="186">
          <cell r="A186">
            <v>182</v>
          </cell>
        </row>
        <row r="187">
          <cell r="A187">
            <v>183</v>
          </cell>
        </row>
        <row r="188">
          <cell r="A188">
            <v>184</v>
          </cell>
        </row>
        <row r="189">
          <cell r="A189">
            <v>185</v>
          </cell>
        </row>
        <row r="190">
          <cell r="A190">
            <v>186</v>
          </cell>
        </row>
        <row r="191">
          <cell r="A191">
            <v>187</v>
          </cell>
        </row>
        <row r="192">
          <cell r="A192">
            <v>188</v>
          </cell>
        </row>
        <row r="193">
          <cell r="A193">
            <v>189</v>
          </cell>
        </row>
        <row r="194">
          <cell r="A194">
            <v>190</v>
          </cell>
        </row>
        <row r="195">
          <cell r="A195">
            <v>191</v>
          </cell>
        </row>
        <row r="196">
          <cell r="A196">
            <v>192</v>
          </cell>
        </row>
        <row r="197">
          <cell r="A197">
            <v>193</v>
          </cell>
        </row>
        <row r="198">
          <cell r="A198">
            <v>194</v>
          </cell>
        </row>
        <row r="199">
          <cell r="A199">
            <v>195</v>
          </cell>
        </row>
        <row r="200">
          <cell r="A200">
            <v>196</v>
          </cell>
        </row>
        <row r="201">
          <cell r="A201">
            <v>197</v>
          </cell>
        </row>
        <row r="202">
          <cell r="A202">
            <v>198</v>
          </cell>
        </row>
        <row r="203">
          <cell r="A203">
            <v>199</v>
          </cell>
        </row>
        <row r="204">
          <cell r="A204">
            <v>200</v>
          </cell>
        </row>
        <row r="205">
          <cell r="A205">
            <v>201</v>
          </cell>
        </row>
        <row r="206">
          <cell r="A206">
            <v>202</v>
          </cell>
        </row>
        <row r="207">
          <cell r="A207">
            <v>203</v>
          </cell>
        </row>
        <row r="208">
          <cell r="A208">
            <v>204</v>
          </cell>
        </row>
        <row r="209">
          <cell r="A209">
            <v>205</v>
          </cell>
        </row>
        <row r="210">
          <cell r="A210">
            <v>206</v>
          </cell>
        </row>
        <row r="211">
          <cell r="A211">
            <v>207</v>
          </cell>
        </row>
        <row r="212">
          <cell r="A212">
            <v>208</v>
          </cell>
        </row>
        <row r="213">
          <cell r="A213">
            <v>209</v>
          </cell>
        </row>
        <row r="214">
          <cell r="A214">
            <v>210</v>
          </cell>
        </row>
        <row r="215">
          <cell r="A215">
            <v>211</v>
          </cell>
        </row>
        <row r="216">
          <cell r="A216">
            <v>212</v>
          </cell>
        </row>
        <row r="217">
          <cell r="A217">
            <v>213</v>
          </cell>
        </row>
        <row r="218">
          <cell r="A218">
            <v>214</v>
          </cell>
        </row>
        <row r="219">
          <cell r="A219">
            <v>215</v>
          </cell>
        </row>
        <row r="220">
          <cell r="A220">
            <v>216</v>
          </cell>
        </row>
        <row r="221">
          <cell r="A221">
            <v>217</v>
          </cell>
        </row>
        <row r="222">
          <cell r="A222">
            <v>218</v>
          </cell>
        </row>
        <row r="223">
          <cell r="A223">
            <v>219</v>
          </cell>
        </row>
        <row r="224">
          <cell r="A224">
            <v>220</v>
          </cell>
        </row>
        <row r="225">
          <cell r="A225">
            <v>221</v>
          </cell>
        </row>
        <row r="226">
          <cell r="A226">
            <v>222</v>
          </cell>
        </row>
        <row r="227">
          <cell r="A227">
            <v>223</v>
          </cell>
        </row>
        <row r="228">
          <cell r="A228">
            <v>224</v>
          </cell>
        </row>
        <row r="229">
          <cell r="A229">
            <v>225</v>
          </cell>
        </row>
        <row r="230">
          <cell r="A230">
            <v>226</v>
          </cell>
        </row>
        <row r="231">
          <cell r="A231">
            <v>227</v>
          </cell>
        </row>
        <row r="232">
          <cell r="A232">
            <v>228</v>
          </cell>
        </row>
        <row r="233">
          <cell r="A233">
            <v>229</v>
          </cell>
        </row>
        <row r="234">
          <cell r="A234">
            <v>230</v>
          </cell>
        </row>
        <row r="235">
          <cell r="A235">
            <v>231</v>
          </cell>
        </row>
        <row r="236">
          <cell r="A236">
            <v>232</v>
          </cell>
        </row>
        <row r="237">
          <cell r="A237">
            <v>233</v>
          </cell>
        </row>
        <row r="238">
          <cell r="A238">
            <v>234</v>
          </cell>
        </row>
        <row r="239">
          <cell r="A239">
            <v>235</v>
          </cell>
        </row>
        <row r="240">
          <cell r="A240">
            <v>236</v>
          </cell>
        </row>
        <row r="241">
          <cell r="A241">
            <v>237</v>
          </cell>
        </row>
        <row r="242">
          <cell r="A242">
            <v>238</v>
          </cell>
        </row>
        <row r="243">
          <cell r="A243">
            <v>239</v>
          </cell>
        </row>
        <row r="244">
          <cell r="A244">
            <v>240</v>
          </cell>
        </row>
        <row r="245">
          <cell r="A245">
            <v>241</v>
          </cell>
        </row>
        <row r="246">
          <cell r="A246">
            <v>242</v>
          </cell>
        </row>
        <row r="247">
          <cell r="A247">
            <v>243</v>
          </cell>
        </row>
        <row r="248">
          <cell r="A248">
            <v>244</v>
          </cell>
        </row>
        <row r="249">
          <cell r="A249">
            <v>245</v>
          </cell>
        </row>
        <row r="250">
          <cell r="A250">
            <v>246</v>
          </cell>
        </row>
        <row r="251">
          <cell r="A251">
            <v>247</v>
          </cell>
        </row>
        <row r="252">
          <cell r="A252">
            <v>248</v>
          </cell>
        </row>
        <row r="253">
          <cell r="A253">
            <v>249</v>
          </cell>
        </row>
        <row r="254">
          <cell r="A254">
            <v>250</v>
          </cell>
        </row>
      </sheetData>
      <sheetData sheetId="2"/>
      <sheetData sheetId="3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utorial"/>
      <sheetName val="Daftar Aktiva"/>
      <sheetName val="Lembar Penolong (SM)"/>
      <sheetName val="Form Daft Penyusutan"/>
    </sheetNames>
    <sheetDataSet>
      <sheetData sheetId="0" refreshError="1"/>
      <sheetData sheetId="1">
        <row r="1">
          <cell r="A1" t="str">
            <v>DAFTAR HARTA</v>
          </cell>
        </row>
        <row r="3">
          <cell r="A3" t="str">
            <v>No Urut</v>
          </cell>
          <cell r="B3" t="str">
            <v>Nama/Jenis Harta</v>
          </cell>
          <cell r="C3" t="str">
            <v>Kel.                   Harta</v>
          </cell>
          <cell r="D3" t="str">
            <v>Perolehan</v>
          </cell>
        </row>
        <row r="4">
          <cell r="D4" t="str">
            <v>Bulan</v>
          </cell>
          <cell r="E4" t="str">
            <v xml:space="preserve">Tahun </v>
          </cell>
          <cell r="F4" t="str">
            <v xml:space="preserve">Nilai </v>
          </cell>
        </row>
        <row r="5">
          <cell r="A5">
            <v>1</v>
          </cell>
          <cell r="B5" t="str">
            <v>kursi</v>
          </cell>
          <cell r="C5">
            <v>1</v>
          </cell>
          <cell r="D5">
            <v>1</v>
          </cell>
          <cell r="E5">
            <v>2011</v>
          </cell>
          <cell r="F5">
            <v>57000000</v>
          </cell>
        </row>
        <row r="6">
          <cell r="A6">
            <v>2</v>
          </cell>
          <cell r="B6" t="str">
            <v>kursi</v>
          </cell>
          <cell r="C6">
            <v>1</v>
          </cell>
          <cell r="D6">
            <v>8</v>
          </cell>
          <cell r="E6">
            <v>2010</v>
          </cell>
          <cell r="F6">
            <v>59000000</v>
          </cell>
        </row>
        <row r="7">
          <cell r="A7">
            <v>3</v>
          </cell>
        </row>
        <row r="8">
          <cell r="A8">
            <v>4</v>
          </cell>
        </row>
        <row r="9">
          <cell r="A9">
            <v>5</v>
          </cell>
        </row>
        <row r="10">
          <cell r="A10">
            <v>6</v>
          </cell>
        </row>
        <row r="11">
          <cell r="A11">
            <v>7</v>
          </cell>
        </row>
        <row r="12">
          <cell r="A12">
            <v>8</v>
          </cell>
        </row>
        <row r="13">
          <cell r="A13">
            <v>9</v>
          </cell>
        </row>
        <row r="14">
          <cell r="A14">
            <v>10</v>
          </cell>
        </row>
        <row r="15">
          <cell r="A15">
            <v>11</v>
          </cell>
        </row>
        <row r="16">
          <cell r="A16">
            <v>12</v>
          </cell>
        </row>
        <row r="17">
          <cell r="A17">
            <v>13</v>
          </cell>
        </row>
        <row r="18">
          <cell r="A18">
            <v>14</v>
          </cell>
        </row>
        <row r="19">
          <cell r="A19">
            <v>15</v>
          </cell>
        </row>
        <row r="20">
          <cell r="A20">
            <v>16</v>
          </cell>
        </row>
        <row r="21">
          <cell r="A21">
            <v>17</v>
          </cell>
        </row>
        <row r="22">
          <cell r="A22">
            <v>18</v>
          </cell>
        </row>
        <row r="23">
          <cell r="A23">
            <v>19</v>
          </cell>
        </row>
        <row r="24">
          <cell r="A24">
            <v>20</v>
          </cell>
        </row>
        <row r="25">
          <cell r="A25">
            <v>21</v>
          </cell>
        </row>
        <row r="26">
          <cell r="A26">
            <v>22</v>
          </cell>
        </row>
        <row r="27">
          <cell r="A27">
            <v>23</v>
          </cell>
        </row>
        <row r="28">
          <cell r="A28">
            <v>24</v>
          </cell>
        </row>
        <row r="29">
          <cell r="A29">
            <v>25</v>
          </cell>
        </row>
        <row r="30">
          <cell r="A30">
            <v>26</v>
          </cell>
        </row>
        <row r="31">
          <cell r="A31">
            <v>27</v>
          </cell>
        </row>
        <row r="32">
          <cell r="A32">
            <v>28</v>
          </cell>
        </row>
        <row r="33">
          <cell r="A33">
            <v>29</v>
          </cell>
        </row>
        <row r="34">
          <cell r="A34">
            <v>30</v>
          </cell>
        </row>
        <row r="35">
          <cell r="A35">
            <v>31</v>
          </cell>
        </row>
        <row r="36">
          <cell r="A36">
            <v>32</v>
          </cell>
        </row>
        <row r="37">
          <cell r="A37">
            <v>33</v>
          </cell>
        </row>
        <row r="38">
          <cell r="A38">
            <v>34</v>
          </cell>
        </row>
        <row r="39">
          <cell r="A39">
            <v>35</v>
          </cell>
        </row>
        <row r="40">
          <cell r="A40">
            <v>36</v>
          </cell>
        </row>
        <row r="41">
          <cell r="A41">
            <v>37</v>
          </cell>
        </row>
        <row r="42">
          <cell r="A42">
            <v>38</v>
          </cell>
        </row>
        <row r="43">
          <cell r="A43">
            <v>39</v>
          </cell>
        </row>
        <row r="44">
          <cell r="A44">
            <v>40</v>
          </cell>
        </row>
        <row r="45">
          <cell r="A45">
            <v>41</v>
          </cell>
        </row>
        <row r="46">
          <cell r="A46">
            <v>42</v>
          </cell>
        </row>
        <row r="47">
          <cell r="A47">
            <v>43</v>
          </cell>
        </row>
        <row r="48">
          <cell r="A48">
            <v>44</v>
          </cell>
        </row>
        <row r="49">
          <cell r="A49">
            <v>45</v>
          </cell>
        </row>
        <row r="50">
          <cell r="A50">
            <v>46</v>
          </cell>
        </row>
        <row r="51">
          <cell r="A51">
            <v>47</v>
          </cell>
        </row>
        <row r="52">
          <cell r="A52">
            <v>48</v>
          </cell>
        </row>
        <row r="53">
          <cell r="A53">
            <v>49</v>
          </cell>
        </row>
        <row r="54">
          <cell r="A54">
            <v>50</v>
          </cell>
        </row>
        <row r="55">
          <cell r="A55">
            <v>51</v>
          </cell>
        </row>
        <row r="56">
          <cell r="A56">
            <v>52</v>
          </cell>
        </row>
        <row r="57">
          <cell r="A57">
            <v>53</v>
          </cell>
        </row>
        <row r="58">
          <cell r="A58">
            <v>54</v>
          </cell>
        </row>
        <row r="59">
          <cell r="A59">
            <v>55</v>
          </cell>
        </row>
        <row r="60">
          <cell r="A60">
            <v>56</v>
          </cell>
        </row>
        <row r="61">
          <cell r="A61">
            <v>57</v>
          </cell>
        </row>
        <row r="62">
          <cell r="A62">
            <v>58</v>
          </cell>
        </row>
        <row r="63">
          <cell r="A63">
            <v>59</v>
          </cell>
        </row>
        <row r="64">
          <cell r="A64">
            <v>60</v>
          </cell>
        </row>
        <row r="65">
          <cell r="A65">
            <v>61</v>
          </cell>
        </row>
        <row r="66">
          <cell r="A66">
            <v>62</v>
          </cell>
        </row>
        <row r="67">
          <cell r="A67">
            <v>63</v>
          </cell>
        </row>
        <row r="68">
          <cell r="A68">
            <v>64</v>
          </cell>
        </row>
        <row r="69">
          <cell r="A69">
            <v>65</v>
          </cell>
        </row>
        <row r="70">
          <cell r="A70">
            <v>66</v>
          </cell>
        </row>
        <row r="71">
          <cell r="A71">
            <v>67</v>
          </cell>
        </row>
        <row r="72">
          <cell r="A72">
            <v>68</v>
          </cell>
        </row>
        <row r="73">
          <cell r="A73">
            <v>69</v>
          </cell>
        </row>
        <row r="74">
          <cell r="A74">
            <v>70</v>
          </cell>
        </row>
        <row r="75">
          <cell r="A75">
            <v>71</v>
          </cell>
        </row>
        <row r="76">
          <cell r="A76">
            <v>72</v>
          </cell>
        </row>
        <row r="77">
          <cell r="A77">
            <v>73</v>
          </cell>
        </row>
        <row r="78">
          <cell r="A78">
            <v>74</v>
          </cell>
        </row>
        <row r="79">
          <cell r="A79">
            <v>75</v>
          </cell>
        </row>
        <row r="80">
          <cell r="A80">
            <v>76</v>
          </cell>
        </row>
        <row r="81">
          <cell r="A81">
            <v>77</v>
          </cell>
        </row>
        <row r="82">
          <cell r="A82">
            <v>78</v>
          </cell>
        </row>
        <row r="83">
          <cell r="A83">
            <v>79</v>
          </cell>
        </row>
        <row r="84">
          <cell r="A84">
            <v>80</v>
          </cell>
        </row>
        <row r="85">
          <cell r="A85">
            <v>81</v>
          </cell>
        </row>
        <row r="86">
          <cell r="A86">
            <v>82</v>
          </cell>
        </row>
        <row r="87">
          <cell r="A87">
            <v>83</v>
          </cell>
        </row>
        <row r="88">
          <cell r="A88">
            <v>84</v>
          </cell>
        </row>
        <row r="89">
          <cell r="A89">
            <v>85</v>
          </cell>
        </row>
        <row r="90">
          <cell r="A90">
            <v>86</v>
          </cell>
        </row>
        <row r="91">
          <cell r="A91">
            <v>87</v>
          </cell>
        </row>
        <row r="92">
          <cell r="A92">
            <v>88</v>
          </cell>
        </row>
        <row r="93">
          <cell r="A93">
            <v>89</v>
          </cell>
        </row>
        <row r="94">
          <cell r="A94">
            <v>90</v>
          </cell>
        </row>
        <row r="95">
          <cell r="A95">
            <v>91</v>
          </cell>
        </row>
        <row r="96">
          <cell r="A96">
            <v>92</v>
          </cell>
        </row>
        <row r="97">
          <cell r="A97">
            <v>93</v>
          </cell>
        </row>
        <row r="98">
          <cell r="A98">
            <v>94</v>
          </cell>
        </row>
        <row r="99">
          <cell r="A99">
            <v>95</v>
          </cell>
        </row>
        <row r="100">
          <cell r="A100">
            <v>96</v>
          </cell>
        </row>
        <row r="101">
          <cell r="A101">
            <v>97</v>
          </cell>
        </row>
        <row r="102">
          <cell r="A102">
            <v>98</v>
          </cell>
        </row>
        <row r="103">
          <cell r="A103">
            <v>99</v>
          </cell>
        </row>
        <row r="104">
          <cell r="A104">
            <v>100</v>
          </cell>
        </row>
        <row r="105">
          <cell r="A105">
            <v>101</v>
          </cell>
        </row>
        <row r="106">
          <cell r="A106">
            <v>102</v>
          </cell>
        </row>
        <row r="107">
          <cell r="A107">
            <v>103</v>
          </cell>
        </row>
        <row r="108">
          <cell r="A108">
            <v>104</v>
          </cell>
        </row>
        <row r="109">
          <cell r="A109">
            <v>105</v>
          </cell>
        </row>
        <row r="110">
          <cell r="A110">
            <v>106</v>
          </cell>
        </row>
        <row r="111">
          <cell r="A111">
            <v>107</v>
          </cell>
        </row>
        <row r="112">
          <cell r="A112">
            <v>108</v>
          </cell>
        </row>
        <row r="113">
          <cell r="A113">
            <v>109</v>
          </cell>
        </row>
        <row r="114">
          <cell r="A114">
            <v>110</v>
          </cell>
        </row>
        <row r="115">
          <cell r="A115">
            <v>111</v>
          </cell>
        </row>
        <row r="116">
          <cell r="A116">
            <v>112</v>
          </cell>
        </row>
        <row r="117">
          <cell r="A117">
            <v>113</v>
          </cell>
        </row>
        <row r="118">
          <cell r="A118">
            <v>114</v>
          </cell>
        </row>
        <row r="119">
          <cell r="A119">
            <v>115</v>
          </cell>
        </row>
        <row r="120">
          <cell r="A120">
            <v>116</v>
          </cell>
        </row>
        <row r="121">
          <cell r="A121">
            <v>117</v>
          </cell>
        </row>
        <row r="122">
          <cell r="A122">
            <v>118</v>
          </cell>
        </row>
        <row r="123">
          <cell r="A123">
            <v>119</v>
          </cell>
        </row>
        <row r="124">
          <cell r="A124">
            <v>120</v>
          </cell>
        </row>
        <row r="125">
          <cell r="A125">
            <v>121</v>
          </cell>
        </row>
        <row r="126">
          <cell r="A126">
            <v>122</v>
          </cell>
        </row>
        <row r="127">
          <cell r="A127">
            <v>123</v>
          </cell>
        </row>
        <row r="128">
          <cell r="A128">
            <v>124</v>
          </cell>
        </row>
        <row r="129">
          <cell r="A129">
            <v>125</v>
          </cell>
        </row>
        <row r="130">
          <cell r="A130">
            <v>126</v>
          </cell>
        </row>
        <row r="131">
          <cell r="A131">
            <v>127</v>
          </cell>
        </row>
        <row r="132">
          <cell r="A132">
            <v>128</v>
          </cell>
        </row>
        <row r="133">
          <cell r="A133">
            <v>129</v>
          </cell>
        </row>
        <row r="134">
          <cell r="A134">
            <v>130</v>
          </cell>
        </row>
        <row r="135">
          <cell r="A135">
            <v>131</v>
          </cell>
        </row>
        <row r="136">
          <cell r="A136">
            <v>132</v>
          </cell>
        </row>
        <row r="137">
          <cell r="A137">
            <v>133</v>
          </cell>
        </row>
        <row r="138">
          <cell r="A138">
            <v>134</v>
          </cell>
        </row>
        <row r="139">
          <cell r="A139">
            <v>135</v>
          </cell>
        </row>
        <row r="140">
          <cell r="A140">
            <v>136</v>
          </cell>
        </row>
        <row r="141">
          <cell r="A141">
            <v>137</v>
          </cell>
        </row>
        <row r="142">
          <cell r="A142">
            <v>138</v>
          </cell>
        </row>
        <row r="143">
          <cell r="A143">
            <v>139</v>
          </cell>
        </row>
        <row r="144">
          <cell r="A144">
            <v>140</v>
          </cell>
        </row>
        <row r="145">
          <cell r="A145">
            <v>141</v>
          </cell>
        </row>
        <row r="146">
          <cell r="A146">
            <v>142</v>
          </cell>
        </row>
        <row r="147">
          <cell r="A147">
            <v>143</v>
          </cell>
        </row>
        <row r="148">
          <cell r="A148">
            <v>144</v>
          </cell>
        </row>
        <row r="149">
          <cell r="A149">
            <v>145</v>
          </cell>
        </row>
        <row r="150">
          <cell r="A150">
            <v>146</v>
          </cell>
        </row>
        <row r="151">
          <cell r="A151">
            <v>147</v>
          </cell>
        </row>
        <row r="152">
          <cell r="A152">
            <v>148</v>
          </cell>
        </row>
        <row r="153">
          <cell r="A153">
            <v>149</v>
          </cell>
        </row>
        <row r="154">
          <cell r="A154">
            <v>150</v>
          </cell>
        </row>
        <row r="155">
          <cell r="A155">
            <v>151</v>
          </cell>
        </row>
        <row r="156">
          <cell r="A156">
            <v>152</v>
          </cell>
        </row>
        <row r="157">
          <cell r="A157">
            <v>153</v>
          </cell>
        </row>
        <row r="158">
          <cell r="A158">
            <v>154</v>
          </cell>
        </row>
        <row r="159">
          <cell r="A159">
            <v>155</v>
          </cell>
        </row>
        <row r="160">
          <cell r="A160">
            <v>156</v>
          </cell>
        </row>
        <row r="161">
          <cell r="A161">
            <v>157</v>
          </cell>
        </row>
        <row r="162">
          <cell r="A162">
            <v>158</v>
          </cell>
        </row>
        <row r="163">
          <cell r="A163">
            <v>159</v>
          </cell>
        </row>
        <row r="164">
          <cell r="A164">
            <v>160</v>
          </cell>
        </row>
        <row r="165">
          <cell r="A165">
            <v>161</v>
          </cell>
        </row>
        <row r="166">
          <cell r="A166">
            <v>162</v>
          </cell>
        </row>
        <row r="167">
          <cell r="A167">
            <v>163</v>
          </cell>
        </row>
        <row r="168">
          <cell r="A168">
            <v>164</v>
          </cell>
        </row>
        <row r="169">
          <cell r="A169">
            <v>165</v>
          </cell>
        </row>
        <row r="170">
          <cell r="A170">
            <v>166</v>
          </cell>
        </row>
        <row r="171">
          <cell r="A171">
            <v>167</v>
          </cell>
        </row>
        <row r="172">
          <cell r="A172">
            <v>168</v>
          </cell>
        </row>
        <row r="173">
          <cell r="A173">
            <v>169</v>
          </cell>
        </row>
        <row r="174">
          <cell r="A174">
            <v>170</v>
          </cell>
        </row>
        <row r="175">
          <cell r="A175">
            <v>171</v>
          </cell>
        </row>
        <row r="176">
          <cell r="A176">
            <v>172</v>
          </cell>
        </row>
        <row r="177">
          <cell r="A177">
            <v>173</v>
          </cell>
        </row>
        <row r="178">
          <cell r="A178">
            <v>174</v>
          </cell>
        </row>
        <row r="179">
          <cell r="A179">
            <v>175</v>
          </cell>
        </row>
        <row r="180">
          <cell r="A180">
            <v>176</v>
          </cell>
        </row>
        <row r="181">
          <cell r="A181">
            <v>177</v>
          </cell>
        </row>
        <row r="182">
          <cell r="A182">
            <v>178</v>
          </cell>
        </row>
        <row r="183">
          <cell r="A183">
            <v>179</v>
          </cell>
        </row>
        <row r="184">
          <cell r="A184">
            <v>180</v>
          </cell>
        </row>
        <row r="185">
          <cell r="A185">
            <v>181</v>
          </cell>
        </row>
        <row r="186">
          <cell r="A186">
            <v>182</v>
          </cell>
        </row>
        <row r="187">
          <cell r="A187">
            <v>183</v>
          </cell>
        </row>
        <row r="188">
          <cell r="A188">
            <v>184</v>
          </cell>
        </row>
        <row r="189">
          <cell r="A189">
            <v>185</v>
          </cell>
        </row>
        <row r="190">
          <cell r="A190">
            <v>186</v>
          </cell>
        </row>
        <row r="191">
          <cell r="A191">
            <v>187</v>
          </cell>
        </row>
        <row r="192">
          <cell r="A192">
            <v>188</v>
          </cell>
        </row>
        <row r="193">
          <cell r="A193">
            <v>189</v>
          </cell>
        </row>
        <row r="194">
          <cell r="A194">
            <v>190</v>
          </cell>
        </row>
        <row r="195">
          <cell r="A195">
            <v>191</v>
          </cell>
        </row>
        <row r="196">
          <cell r="A196">
            <v>192</v>
          </cell>
        </row>
        <row r="197">
          <cell r="A197">
            <v>193</v>
          </cell>
        </row>
        <row r="198">
          <cell r="A198">
            <v>194</v>
          </cell>
        </row>
        <row r="199">
          <cell r="A199">
            <v>195</v>
          </cell>
        </row>
        <row r="200">
          <cell r="A200">
            <v>196</v>
          </cell>
        </row>
        <row r="201">
          <cell r="A201">
            <v>197</v>
          </cell>
        </row>
        <row r="202">
          <cell r="A202">
            <v>198</v>
          </cell>
        </row>
        <row r="203">
          <cell r="A203">
            <v>199</v>
          </cell>
        </row>
        <row r="204">
          <cell r="A204">
            <v>200</v>
          </cell>
        </row>
        <row r="205">
          <cell r="A205">
            <v>201</v>
          </cell>
        </row>
        <row r="206">
          <cell r="A206">
            <v>202</v>
          </cell>
        </row>
        <row r="207">
          <cell r="A207">
            <v>203</v>
          </cell>
        </row>
        <row r="208">
          <cell r="A208">
            <v>204</v>
          </cell>
        </row>
        <row r="209">
          <cell r="A209">
            <v>205</v>
          </cell>
        </row>
        <row r="210">
          <cell r="A210">
            <v>206</v>
          </cell>
        </row>
        <row r="211">
          <cell r="A211">
            <v>207</v>
          </cell>
        </row>
        <row r="212">
          <cell r="A212">
            <v>208</v>
          </cell>
        </row>
        <row r="213">
          <cell r="A213">
            <v>209</v>
          </cell>
        </row>
        <row r="214">
          <cell r="A214">
            <v>210</v>
          </cell>
        </row>
        <row r="215">
          <cell r="A215">
            <v>211</v>
          </cell>
        </row>
        <row r="216">
          <cell r="A216">
            <v>212</v>
          </cell>
        </row>
        <row r="217">
          <cell r="A217">
            <v>213</v>
          </cell>
        </row>
        <row r="218">
          <cell r="A218">
            <v>214</v>
          </cell>
        </row>
        <row r="219">
          <cell r="A219">
            <v>215</v>
          </cell>
        </row>
        <row r="220">
          <cell r="A220">
            <v>216</v>
          </cell>
        </row>
        <row r="221">
          <cell r="A221">
            <v>217</v>
          </cell>
        </row>
        <row r="222">
          <cell r="A222">
            <v>218</v>
          </cell>
        </row>
        <row r="223">
          <cell r="A223">
            <v>219</v>
          </cell>
        </row>
        <row r="224">
          <cell r="A224">
            <v>220</v>
          </cell>
        </row>
        <row r="225">
          <cell r="A225">
            <v>221</v>
          </cell>
        </row>
        <row r="226">
          <cell r="A226">
            <v>222</v>
          </cell>
        </row>
        <row r="227">
          <cell r="A227">
            <v>223</v>
          </cell>
        </row>
        <row r="228">
          <cell r="A228">
            <v>224</v>
          </cell>
        </row>
        <row r="229">
          <cell r="A229">
            <v>225</v>
          </cell>
        </row>
        <row r="230">
          <cell r="A230">
            <v>226</v>
          </cell>
        </row>
        <row r="231">
          <cell r="A231">
            <v>227</v>
          </cell>
        </row>
        <row r="232">
          <cell r="A232">
            <v>228</v>
          </cell>
        </row>
        <row r="233">
          <cell r="A233">
            <v>229</v>
          </cell>
        </row>
        <row r="234">
          <cell r="A234">
            <v>230</v>
          </cell>
        </row>
        <row r="235">
          <cell r="A235">
            <v>231</v>
          </cell>
        </row>
        <row r="236">
          <cell r="A236">
            <v>232</v>
          </cell>
        </row>
        <row r="237">
          <cell r="A237">
            <v>233</v>
          </cell>
        </row>
        <row r="238">
          <cell r="A238">
            <v>234</v>
          </cell>
        </row>
        <row r="239">
          <cell r="A239">
            <v>235</v>
          </cell>
        </row>
        <row r="240">
          <cell r="A240">
            <v>236</v>
          </cell>
        </row>
        <row r="241">
          <cell r="A241">
            <v>237</v>
          </cell>
        </row>
        <row r="242">
          <cell r="A242">
            <v>238</v>
          </cell>
        </row>
        <row r="243">
          <cell r="A243">
            <v>239</v>
          </cell>
        </row>
        <row r="244">
          <cell r="A244">
            <v>240</v>
          </cell>
        </row>
        <row r="245">
          <cell r="A245">
            <v>241</v>
          </cell>
        </row>
        <row r="246">
          <cell r="A246">
            <v>242</v>
          </cell>
        </row>
        <row r="247">
          <cell r="A247">
            <v>243</v>
          </cell>
        </row>
        <row r="248">
          <cell r="A248">
            <v>244</v>
          </cell>
        </row>
        <row r="249">
          <cell r="A249">
            <v>245</v>
          </cell>
        </row>
        <row r="250">
          <cell r="A250">
            <v>246</v>
          </cell>
        </row>
        <row r="251">
          <cell r="A251">
            <v>247</v>
          </cell>
        </row>
        <row r="252">
          <cell r="A252">
            <v>248</v>
          </cell>
        </row>
        <row r="253">
          <cell r="A253">
            <v>249</v>
          </cell>
        </row>
        <row r="254">
          <cell r="A254">
            <v>250</v>
          </cell>
        </row>
      </sheetData>
      <sheetData sheetId="2" refreshError="1"/>
      <sheetData sheetId="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UNGGAKAN"/>
      <sheetName val="MPN"/>
      <sheetName val="DETILPELAPORAN"/>
      <sheetName val="PK-PKPM"/>
      <sheetName val="PM-PKPM"/>
      <sheetName val="dbPPNINDUK"/>
      <sheetName val="dbPPNAB"/>
      <sheetName val="dbPPNa1"/>
      <sheetName val="dbPPNb1"/>
      <sheetName val="dbPPNb2"/>
      <sheetName val="dbPPNa2"/>
      <sheetName val="dbPPNb3"/>
      <sheetName val="KK PPN"/>
      <sheetName val="ISI DISINI"/>
      <sheetName val="MAIN"/>
      <sheetName val="BA Pertemuan"/>
      <sheetName val="BA Tdk Datang"/>
      <sheetName val="PKPM"/>
      <sheetName val="KKP rinci"/>
      <sheetName val="KKP PPN terutang"/>
      <sheetName val="KKP Induk"/>
      <sheetName val="SPHP"/>
      <sheetName val="LampSPHP"/>
      <sheetName val="Und Closing"/>
      <sheetName val="Penolakan SPHP"/>
      <sheetName val="BA Menolak SPHP"/>
      <sheetName val="BA Closing"/>
      <sheetName val="BA Menolak TTd"/>
      <sheetName val="BA Tdk dtg closing"/>
      <sheetName val="Ris bahas"/>
      <sheetName val="Risalah"/>
      <sheetName val="ikhtisar"/>
      <sheetName val="LAP"/>
      <sheetName val="NotHit"/>
      <sheetName val="07-01"/>
      <sheetName val="WS Gmpng"/>
      <sheetName val="lp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2">
          <cell r="C22" t="str">
            <v>KANTOR PELAYANAN PAJAK MADYA BALIKPAPAN</v>
          </cell>
        </row>
        <row r="23">
          <cell r="C23" t="str">
            <v>KANTOR WILAYAH DJP KALIMANTAN TIMUR DAN UTARA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Pemotong"/>
      <sheetName val="1721 Hal.1"/>
      <sheetName val="1721 Hal.2"/>
      <sheetName val="1721-A1"/>
      <sheetName val="1721-I"/>
      <sheetName val="1721-II"/>
      <sheetName val="1721-III"/>
      <sheetName val="1721-IV"/>
      <sheetName val="1721-V"/>
      <sheetName val="1721-VI"/>
      <sheetName val="1721-VII"/>
      <sheetName val="Trial_Balance"/>
      <sheetName val="Settings"/>
      <sheetName val="Chart_Accounts"/>
      <sheetName val="dbktr"/>
      <sheetName val="ISI DISINI"/>
      <sheetName val="Lembar Penghitungan"/>
      <sheetName val="Form Daft Penyusutan"/>
    </sheetNames>
    <sheetDataSet>
      <sheetData sheetId="0">
        <row r="5">
          <cell r="X5" t="str">
            <v>Januari</v>
          </cell>
          <cell r="Y5" t="str">
            <v>01</v>
          </cell>
        </row>
        <row r="6">
          <cell r="X6" t="str">
            <v>Februari</v>
          </cell>
          <cell r="Y6" t="str">
            <v>02</v>
          </cell>
        </row>
        <row r="7">
          <cell r="X7" t="str">
            <v>Maret</v>
          </cell>
          <cell r="Y7" t="str">
            <v>03</v>
          </cell>
        </row>
        <row r="8">
          <cell r="X8">
            <v>0</v>
          </cell>
          <cell r="Y8">
            <v>0</v>
          </cell>
        </row>
        <row r="9">
          <cell r="X9">
            <v>0</v>
          </cell>
          <cell r="Y9">
            <v>0</v>
          </cell>
        </row>
        <row r="10">
          <cell r="X10" t="str">
            <v>April</v>
          </cell>
          <cell r="Y10" t="str">
            <v>04</v>
          </cell>
        </row>
        <row r="11">
          <cell r="X11" t="str">
            <v>Mei</v>
          </cell>
          <cell r="Y11" t="str">
            <v>05</v>
          </cell>
        </row>
        <row r="12">
          <cell r="X12" t="str">
            <v>Juni</v>
          </cell>
          <cell r="Y12" t="str">
            <v>06</v>
          </cell>
        </row>
        <row r="13">
          <cell r="X13" t="str">
            <v>Juli</v>
          </cell>
          <cell r="Y13" t="str">
            <v>07</v>
          </cell>
        </row>
        <row r="14">
          <cell r="X14" t="str">
            <v>Agustus</v>
          </cell>
          <cell r="Y14" t="str">
            <v>08</v>
          </cell>
        </row>
        <row r="15">
          <cell r="X15" t="str">
            <v>September</v>
          </cell>
          <cell r="Y15" t="str">
            <v>09</v>
          </cell>
        </row>
        <row r="16">
          <cell r="X16">
            <v>0</v>
          </cell>
          <cell r="Y16">
            <v>0</v>
          </cell>
        </row>
        <row r="17">
          <cell r="X17" t="str">
            <v>Oktober</v>
          </cell>
          <cell r="Y17" t="str">
            <v>10</v>
          </cell>
        </row>
        <row r="18">
          <cell r="X18" t="str">
            <v>Nopember</v>
          </cell>
          <cell r="Y18" t="str">
            <v>11</v>
          </cell>
        </row>
        <row r="19">
          <cell r="X19" t="str">
            <v>Desember</v>
          </cell>
          <cell r="Y19" t="str">
            <v>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LBR1"/>
      <sheetName val="LBR2"/>
      <sheetName val="LBR3"/>
      <sheetName val="LBR4"/>
      <sheetName val="LBR5"/>
      <sheetName val="SPT1"/>
      <sheetName val="SPT2"/>
      <sheetName val="Daftar Aktiva"/>
      <sheetName val="Lembar Penghitungan"/>
      <sheetName val="Data Pemotong"/>
      <sheetName val="WS Gmpng"/>
      <sheetName val="kor"/>
      <sheetName val="ISI DISINI"/>
      <sheetName val="Satuan dan ukuran"/>
      <sheetName val="Kodeakun"/>
      <sheetName val="buku kas"/>
    </sheetNames>
    <sheetDataSet>
      <sheetData sheetId="0" refreshError="1">
        <row r="12">
          <cell r="C12" t="str">
            <v>0111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"/>
      <sheetName val="Tutorial"/>
      <sheetName val="Data Pemotong Pajak"/>
      <sheetName val="Jan"/>
      <sheetName val="Feb"/>
      <sheetName val="Mar"/>
      <sheetName val="Apr"/>
      <sheetName val="Mei"/>
      <sheetName val="Jun"/>
      <sheetName val="Jul"/>
      <sheetName val="Agt"/>
      <sheetName val="Sep"/>
      <sheetName val="Okt"/>
      <sheetName val="Nop"/>
      <sheetName val="Des"/>
      <sheetName val="1721-A1"/>
      <sheetName val="1721-A1_2014"/>
      <sheetName val="Payroll Slip"/>
      <sheetName val="Lap Gaji"/>
      <sheetName val="Kertas Kerja"/>
      <sheetName val="1721-I Bulanan"/>
      <sheetName val="1721-I Tahunan"/>
      <sheetName val="Kode Ngr"/>
      <sheetName val="Form Impor eSPT1"/>
      <sheetName val="Form Impor eSPT2"/>
    </sheetNames>
    <sheetDataSet>
      <sheetData sheetId="0" refreshError="1"/>
      <sheetData sheetId="1" refreshError="1"/>
      <sheetData sheetId="2">
        <row r="8">
          <cell r="F8" t="str">
            <v>11.222.333.4-555.000</v>
          </cell>
        </row>
      </sheetData>
      <sheetData sheetId="3" refreshError="1"/>
      <sheetData sheetId="4">
        <row r="10">
          <cell r="BX10">
            <v>0</v>
          </cell>
        </row>
      </sheetData>
      <sheetData sheetId="5">
        <row r="10">
          <cell r="BX10">
            <v>0</v>
          </cell>
        </row>
      </sheetData>
      <sheetData sheetId="6">
        <row r="10">
          <cell r="BX10">
            <v>0</v>
          </cell>
        </row>
      </sheetData>
      <sheetData sheetId="7">
        <row r="10">
          <cell r="BX10">
            <v>0</v>
          </cell>
        </row>
      </sheetData>
      <sheetData sheetId="8">
        <row r="10">
          <cell r="BX10">
            <v>0</v>
          </cell>
        </row>
      </sheetData>
      <sheetData sheetId="9">
        <row r="10">
          <cell r="BX10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/>
      <sheetData sheetId="15">
        <row r="1">
          <cell r="AT1">
            <v>1</v>
          </cell>
        </row>
        <row r="2">
          <cell r="AT2">
            <v>2</v>
          </cell>
        </row>
        <row r="3">
          <cell r="AT3">
            <v>3</v>
          </cell>
        </row>
        <row r="4">
          <cell r="AT4">
            <v>4</v>
          </cell>
        </row>
        <row r="5">
          <cell r="AT5">
            <v>5</v>
          </cell>
        </row>
        <row r="6">
          <cell r="AT6">
            <v>6</v>
          </cell>
        </row>
        <row r="7">
          <cell r="AT7">
            <v>7</v>
          </cell>
        </row>
        <row r="8">
          <cell r="AT8">
            <v>8</v>
          </cell>
        </row>
        <row r="9">
          <cell r="AT9">
            <v>9</v>
          </cell>
        </row>
        <row r="10">
          <cell r="AT10">
            <v>10</v>
          </cell>
        </row>
        <row r="11">
          <cell r="AT11">
            <v>11</v>
          </cell>
        </row>
        <row r="12">
          <cell r="AT12">
            <v>12</v>
          </cell>
        </row>
        <row r="13">
          <cell r="AT13">
            <v>13</v>
          </cell>
        </row>
        <row r="14">
          <cell r="AT14">
            <v>14</v>
          </cell>
        </row>
        <row r="15">
          <cell r="AT15">
            <v>15</v>
          </cell>
        </row>
        <row r="16">
          <cell r="AT16">
            <v>16</v>
          </cell>
        </row>
        <row r="17">
          <cell r="AT17">
            <v>17</v>
          </cell>
        </row>
        <row r="18">
          <cell r="AT18">
            <v>18</v>
          </cell>
        </row>
        <row r="19">
          <cell r="AT19">
            <v>19</v>
          </cell>
        </row>
        <row r="20">
          <cell r="AT20">
            <v>20</v>
          </cell>
        </row>
        <row r="21">
          <cell r="AT21">
            <v>21</v>
          </cell>
        </row>
        <row r="22">
          <cell r="AT22">
            <v>22</v>
          </cell>
        </row>
        <row r="23">
          <cell r="AT23">
            <v>23</v>
          </cell>
        </row>
        <row r="24">
          <cell r="AT24">
            <v>24</v>
          </cell>
        </row>
        <row r="25">
          <cell r="AT25">
            <v>25</v>
          </cell>
        </row>
        <row r="26">
          <cell r="AT26">
            <v>26</v>
          </cell>
        </row>
        <row r="27">
          <cell r="AT27">
            <v>27</v>
          </cell>
        </row>
        <row r="28">
          <cell r="AT28">
            <v>28</v>
          </cell>
        </row>
        <row r="29">
          <cell r="AT29">
            <v>29</v>
          </cell>
        </row>
        <row r="30">
          <cell r="AT30">
            <v>30</v>
          </cell>
        </row>
        <row r="31">
          <cell r="AT31">
            <v>31</v>
          </cell>
        </row>
        <row r="32">
          <cell r="AT32">
            <v>32</v>
          </cell>
        </row>
        <row r="33">
          <cell r="AT33">
            <v>33</v>
          </cell>
        </row>
        <row r="34">
          <cell r="AT34">
            <v>34</v>
          </cell>
        </row>
        <row r="35">
          <cell r="AT35">
            <v>35</v>
          </cell>
        </row>
        <row r="36">
          <cell r="AT36">
            <v>36</v>
          </cell>
        </row>
        <row r="37">
          <cell r="AT37">
            <v>37</v>
          </cell>
        </row>
        <row r="38">
          <cell r="AT38">
            <v>38</v>
          </cell>
        </row>
        <row r="39">
          <cell r="AT39">
            <v>39</v>
          </cell>
        </row>
        <row r="40">
          <cell r="AT40">
            <v>40</v>
          </cell>
        </row>
        <row r="41">
          <cell r="AT41">
            <v>41</v>
          </cell>
        </row>
        <row r="42">
          <cell r="AT42">
            <v>42</v>
          </cell>
        </row>
        <row r="43">
          <cell r="AT43">
            <v>43</v>
          </cell>
        </row>
        <row r="44">
          <cell r="AT44">
            <v>44</v>
          </cell>
        </row>
        <row r="45">
          <cell r="AT45">
            <v>45</v>
          </cell>
        </row>
        <row r="46">
          <cell r="AT46">
            <v>46</v>
          </cell>
        </row>
        <row r="47">
          <cell r="AT47">
            <v>47</v>
          </cell>
        </row>
        <row r="48">
          <cell r="AT48">
            <v>48</v>
          </cell>
        </row>
        <row r="49">
          <cell r="AT49">
            <v>49</v>
          </cell>
        </row>
        <row r="50">
          <cell r="AT50">
            <v>50</v>
          </cell>
        </row>
        <row r="51">
          <cell r="AT51">
            <v>51</v>
          </cell>
        </row>
        <row r="52">
          <cell r="AT52">
            <v>52</v>
          </cell>
        </row>
        <row r="53">
          <cell r="AT53">
            <v>53</v>
          </cell>
        </row>
        <row r="54">
          <cell r="AT54">
            <v>54</v>
          </cell>
        </row>
        <row r="55">
          <cell r="AT55">
            <v>55</v>
          </cell>
        </row>
        <row r="56">
          <cell r="AT56">
            <v>56</v>
          </cell>
        </row>
        <row r="57">
          <cell r="AT57">
            <v>57</v>
          </cell>
        </row>
        <row r="58">
          <cell r="AT58">
            <v>58</v>
          </cell>
        </row>
        <row r="59">
          <cell r="AT59">
            <v>59</v>
          </cell>
        </row>
        <row r="60">
          <cell r="AT60">
            <v>60</v>
          </cell>
        </row>
        <row r="61">
          <cell r="AT61">
            <v>61</v>
          </cell>
        </row>
        <row r="62">
          <cell r="AT62">
            <v>62</v>
          </cell>
        </row>
        <row r="63">
          <cell r="AT63">
            <v>63</v>
          </cell>
        </row>
        <row r="64">
          <cell r="AT64">
            <v>64</v>
          </cell>
        </row>
        <row r="65">
          <cell r="AT65">
            <v>65</v>
          </cell>
        </row>
        <row r="66">
          <cell r="AT66">
            <v>66</v>
          </cell>
        </row>
        <row r="67">
          <cell r="AT67">
            <v>67</v>
          </cell>
        </row>
        <row r="68">
          <cell r="AT68">
            <v>68</v>
          </cell>
        </row>
        <row r="69">
          <cell r="AT69">
            <v>69</v>
          </cell>
        </row>
        <row r="70">
          <cell r="AT70">
            <v>70</v>
          </cell>
        </row>
        <row r="71">
          <cell r="AT71">
            <v>71</v>
          </cell>
        </row>
        <row r="72">
          <cell r="AT72">
            <v>72</v>
          </cell>
        </row>
        <row r="73">
          <cell r="AT73">
            <v>73</v>
          </cell>
        </row>
        <row r="74">
          <cell r="AT74">
            <v>74</v>
          </cell>
        </row>
        <row r="75">
          <cell r="AT75">
            <v>75</v>
          </cell>
        </row>
        <row r="76">
          <cell r="AT76">
            <v>76</v>
          </cell>
        </row>
        <row r="77">
          <cell r="AT77">
            <v>77</v>
          </cell>
        </row>
        <row r="78">
          <cell r="AT78">
            <v>78</v>
          </cell>
        </row>
        <row r="79">
          <cell r="AT79">
            <v>79</v>
          </cell>
        </row>
        <row r="80">
          <cell r="AT80">
            <v>80</v>
          </cell>
        </row>
        <row r="81">
          <cell r="AT81">
            <v>81</v>
          </cell>
        </row>
        <row r="82">
          <cell r="AT82">
            <v>82</v>
          </cell>
        </row>
        <row r="83">
          <cell r="AT83">
            <v>83</v>
          </cell>
        </row>
        <row r="84">
          <cell r="AT84">
            <v>84</v>
          </cell>
        </row>
        <row r="85">
          <cell r="AT85">
            <v>85</v>
          </cell>
        </row>
        <row r="86">
          <cell r="AT86">
            <v>86</v>
          </cell>
        </row>
        <row r="87">
          <cell r="AT87">
            <v>87</v>
          </cell>
        </row>
        <row r="88">
          <cell r="AT88">
            <v>88</v>
          </cell>
        </row>
        <row r="89">
          <cell r="AT89">
            <v>89</v>
          </cell>
        </row>
        <row r="90">
          <cell r="AT90">
            <v>90</v>
          </cell>
        </row>
        <row r="91">
          <cell r="AT91">
            <v>91</v>
          </cell>
        </row>
        <row r="92">
          <cell r="AT92">
            <v>92</v>
          </cell>
        </row>
        <row r="93">
          <cell r="AT93">
            <v>93</v>
          </cell>
        </row>
        <row r="94">
          <cell r="AT94">
            <v>94</v>
          </cell>
        </row>
        <row r="95">
          <cell r="AT95">
            <v>95</v>
          </cell>
        </row>
        <row r="96">
          <cell r="AT96">
            <v>96</v>
          </cell>
        </row>
        <row r="97">
          <cell r="AT97">
            <v>97</v>
          </cell>
        </row>
        <row r="98">
          <cell r="AT98">
            <v>98</v>
          </cell>
        </row>
        <row r="99">
          <cell r="AT99">
            <v>99</v>
          </cell>
        </row>
        <row r="100">
          <cell r="AT100">
            <v>100</v>
          </cell>
        </row>
        <row r="101">
          <cell r="AT101">
            <v>101</v>
          </cell>
        </row>
        <row r="102">
          <cell r="AT102">
            <v>102</v>
          </cell>
        </row>
        <row r="103">
          <cell r="AT103">
            <v>103</v>
          </cell>
        </row>
        <row r="104">
          <cell r="AT104">
            <v>104</v>
          </cell>
        </row>
        <row r="105">
          <cell r="AT105">
            <v>105</v>
          </cell>
        </row>
        <row r="106">
          <cell r="AT106">
            <v>106</v>
          </cell>
        </row>
        <row r="107">
          <cell r="AT107">
            <v>107</v>
          </cell>
        </row>
        <row r="108">
          <cell r="AT108">
            <v>108</v>
          </cell>
        </row>
        <row r="109">
          <cell r="AT109">
            <v>109</v>
          </cell>
        </row>
        <row r="110">
          <cell r="AT110">
            <v>110</v>
          </cell>
        </row>
        <row r="111">
          <cell r="AT111">
            <v>111</v>
          </cell>
        </row>
        <row r="112">
          <cell r="AT112">
            <v>112</v>
          </cell>
        </row>
        <row r="113">
          <cell r="AT113">
            <v>113</v>
          </cell>
        </row>
        <row r="114">
          <cell r="AT114">
            <v>114</v>
          </cell>
        </row>
        <row r="115">
          <cell r="AT115">
            <v>115</v>
          </cell>
        </row>
        <row r="116">
          <cell r="AT116">
            <v>116</v>
          </cell>
        </row>
        <row r="117">
          <cell r="AT117">
            <v>117</v>
          </cell>
        </row>
        <row r="118">
          <cell r="AT118">
            <v>118</v>
          </cell>
        </row>
        <row r="119">
          <cell r="AT119">
            <v>119</v>
          </cell>
        </row>
        <row r="120">
          <cell r="AT120">
            <v>120</v>
          </cell>
        </row>
        <row r="121">
          <cell r="AT121">
            <v>121</v>
          </cell>
        </row>
        <row r="122">
          <cell r="AT122">
            <v>122</v>
          </cell>
        </row>
        <row r="123">
          <cell r="AT123">
            <v>123</v>
          </cell>
        </row>
        <row r="124">
          <cell r="AT124">
            <v>124</v>
          </cell>
        </row>
        <row r="125">
          <cell r="AT125">
            <v>125</v>
          </cell>
        </row>
        <row r="126">
          <cell r="AT126">
            <v>126</v>
          </cell>
        </row>
        <row r="127">
          <cell r="AT127">
            <v>127</v>
          </cell>
        </row>
        <row r="128">
          <cell r="AT128">
            <v>128</v>
          </cell>
        </row>
        <row r="129">
          <cell r="AT129">
            <v>129</v>
          </cell>
        </row>
        <row r="130">
          <cell r="AT130">
            <v>130</v>
          </cell>
        </row>
        <row r="131">
          <cell r="AT131">
            <v>131</v>
          </cell>
        </row>
        <row r="132">
          <cell r="AT132">
            <v>132</v>
          </cell>
        </row>
        <row r="133">
          <cell r="AT133">
            <v>133</v>
          </cell>
        </row>
        <row r="134">
          <cell r="AT134">
            <v>134</v>
          </cell>
        </row>
        <row r="135">
          <cell r="AT135">
            <v>135</v>
          </cell>
        </row>
        <row r="136">
          <cell r="AT136">
            <v>136</v>
          </cell>
        </row>
        <row r="137">
          <cell r="AT137">
            <v>137</v>
          </cell>
        </row>
        <row r="138">
          <cell r="AT138">
            <v>138</v>
          </cell>
        </row>
        <row r="139">
          <cell r="AT139">
            <v>139</v>
          </cell>
        </row>
        <row r="140">
          <cell r="AT140">
            <v>140</v>
          </cell>
        </row>
        <row r="141">
          <cell r="AT141">
            <v>141</v>
          </cell>
        </row>
        <row r="142">
          <cell r="AT142">
            <v>142</v>
          </cell>
        </row>
        <row r="143">
          <cell r="AT143">
            <v>143</v>
          </cell>
        </row>
        <row r="144">
          <cell r="AT144">
            <v>144</v>
          </cell>
        </row>
        <row r="145">
          <cell r="AT145">
            <v>145</v>
          </cell>
        </row>
        <row r="146">
          <cell r="AT146">
            <v>146</v>
          </cell>
        </row>
        <row r="147">
          <cell r="AT147">
            <v>147</v>
          </cell>
        </row>
        <row r="148">
          <cell r="AT148">
            <v>148</v>
          </cell>
        </row>
        <row r="149">
          <cell r="AT149">
            <v>149</v>
          </cell>
        </row>
        <row r="150">
          <cell r="AT150">
            <v>150</v>
          </cell>
        </row>
        <row r="151">
          <cell r="AT151">
            <v>151</v>
          </cell>
        </row>
        <row r="152">
          <cell r="AT152">
            <v>152</v>
          </cell>
        </row>
        <row r="153">
          <cell r="AT153">
            <v>153</v>
          </cell>
        </row>
        <row r="154">
          <cell r="AT154">
            <v>154</v>
          </cell>
        </row>
        <row r="155">
          <cell r="AT155">
            <v>155</v>
          </cell>
        </row>
        <row r="156">
          <cell r="AT156">
            <v>156</v>
          </cell>
        </row>
        <row r="157">
          <cell r="AT157">
            <v>157</v>
          </cell>
        </row>
        <row r="158">
          <cell r="AT158">
            <v>158</v>
          </cell>
        </row>
        <row r="159">
          <cell r="AT159">
            <v>159</v>
          </cell>
        </row>
        <row r="160">
          <cell r="AT160">
            <v>160</v>
          </cell>
        </row>
        <row r="161">
          <cell r="AT161">
            <v>161</v>
          </cell>
        </row>
        <row r="162">
          <cell r="AT162">
            <v>162</v>
          </cell>
        </row>
        <row r="163">
          <cell r="AT163">
            <v>163</v>
          </cell>
        </row>
        <row r="164">
          <cell r="AT164">
            <v>164</v>
          </cell>
        </row>
        <row r="165">
          <cell r="AT165">
            <v>165</v>
          </cell>
        </row>
        <row r="166">
          <cell r="AT166">
            <v>166</v>
          </cell>
        </row>
        <row r="167">
          <cell r="AT167">
            <v>167</v>
          </cell>
        </row>
        <row r="168">
          <cell r="AT168">
            <v>168</v>
          </cell>
        </row>
        <row r="169">
          <cell r="AT169">
            <v>169</v>
          </cell>
        </row>
        <row r="170">
          <cell r="AT170">
            <v>170</v>
          </cell>
        </row>
        <row r="171">
          <cell r="AT171">
            <v>171</v>
          </cell>
        </row>
        <row r="172">
          <cell r="AT172">
            <v>172</v>
          </cell>
        </row>
        <row r="173">
          <cell r="AT173">
            <v>173</v>
          </cell>
        </row>
        <row r="174">
          <cell r="AT174">
            <v>174</v>
          </cell>
        </row>
        <row r="175">
          <cell r="AT175">
            <v>175</v>
          </cell>
        </row>
        <row r="176">
          <cell r="AT176">
            <v>176</v>
          </cell>
        </row>
        <row r="177">
          <cell r="AT177">
            <v>177</v>
          </cell>
        </row>
        <row r="178">
          <cell r="AT178">
            <v>178</v>
          </cell>
        </row>
        <row r="179">
          <cell r="AT179">
            <v>179</v>
          </cell>
        </row>
        <row r="180">
          <cell r="AT180">
            <v>180</v>
          </cell>
        </row>
        <row r="181">
          <cell r="AT181">
            <v>181</v>
          </cell>
        </row>
        <row r="182">
          <cell r="AT182">
            <v>182</v>
          </cell>
        </row>
        <row r="183">
          <cell r="AT183">
            <v>183</v>
          </cell>
        </row>
        <row r="184">
          <cell r="AT184">
            <v>184</v>
          </cell>
        </row>
        <row r="185">
          <cell r="AT185">
            <v>185</v>
          </cell>
        </row>
        <row r="186">
          <cell r="AT186">
            <v>186</v>
          </cell>
        </row>
        <row r="187">
          <cell r="AT187">
            <v>187</v>
          </cell>
        </row>
        <row r="188">
          <cell r="AT188">
            <v>188</v>
          </cell>
        </row>
        <row r="189">
          <cell r="AT189">
            <v>189</v>
          </cell>
        </row>
        <row r="190">
          <cell r="AT190">
            <v>190</v>
          </cell>
        </row>
        <row r="191">
          <cell r="AT191">
            <v>191</v>
          </cell>
        </row>
        <row r="192">
          <cell r="AT192">
            <v>192</v>
          </cell>
        </row>
        <row r="193">
          <cell r="AT193">
            <v>193</v>
          </cell>
        </row>
        <row r="194">
          <cell r="AT194">
            <v>194</v>
          </cell>
        </row>
        <row r="195">
          <cell r="AT195">
            <v>195</v>
          </cell>
        </row>
        <row r="196">
          <cell r="AT196">
            <v>196</v>
          </cell>
        </row>
        <row r="197">
          <cell r="AT197">
            <v>197</v>
          </cell>
        </row>
        <row r="198">
          <cell r="AT198">
            <v>198</v>
          </cell>
        </row>
        <row r="199">
          <cell r="AT199">
            <v>199</v>
          </cell>
        </row>
        <row r="200">
          <cell r="AT200">
            <v>200</v>
          </cell>
        </row>
        <row r="201">
          <cell r="AT201">
            <v>201</v>
          </cell>
        </row>
        <row r="202">
          <cell r="AT202">
            <v>202</v>
          </cell>
        </row>
        <row r="203">
          <cell r="AT203">
            <v>203</v>
          </cell>
        </row>
        <row r="204">
          <cell r="AT204">
            <v>204</v>
          </cell>
        </row>
        <row r="205">
          <cell r="AT205">
            <v>205</v>
          </cell>
        </row>
        <row r="206">
          <cell r="AT206">
            <v>206</v>
          </cell>
        </row>
        <row r="207">
          <cell r="AT207">
            <v>207</v>
          </cell>
        </row>
        <row r="208">
          <cell r="AT208">
            <v>208</v>
          </cell>
        </row>
        <row r="209">
          <cell r="AT209">
            <v>209</v>
          </cell>
        </row>
        <row r="210">
          <cell r="AT210">
            <v>210</v>
          </cell>
        </row>
        <row r="211">
          <cell r="AT211">
            <v>211</v>
          </cell>
        </row>
        <row r="212">
          <cell r="AT212">
            <v>212</v>
          </cell>
        </row>
        <row r="213">
          <cell r="AT213">
            <v>213</v>
          </cell>
        </row>
        <row r="214">
          <cell r="AT214">
            <v>214</v>
          </cell>
        </row>
        <row r="215">
          <cell r="AT215">
            <v>215</v>
          </cell>
        </row>
        <row r="216">
          <cell r="AT216">
            <v>216</v>
          </cell>
        </row>
        <row r="217">
          <cell r="AT217">
            <v>217</v>
          </cell>
        </row>
        <row r="218">
          <cell r="AT218">
            <v>218</v>
          </cell>
        </row>
        <row r="219">
          <cell r="AT219">
            <v>219</v>
          </cell>
        </row>
        <row r="220">
          <cell r="AT220">
            <v>220</v>
          </cell>
        </row>
        <row r="221">
          <cell r="AT221">
            <v>221</v>
          </cell>
        </row>
        <row r="222">
          <cell r="AT222">
            <v>222</v>
          </cell>
        </row>
        <row r="223">
          <cell r="AT223">
            <v>223</v>
          </cell>
        </row>
        <row r="224">
          <cell r="AT224">
            <v>224</v>
          </cell>
        </row>
        <row r="225">
          <cell r="AT225">
            <v>225</v>
          </cell>
        </row>
        <row r="226">
          <cell r="AT226">
            <v>226</v>
          </cell>
        </row>
        <row r="227">
          <cell r="AT227">
            <v>227</v>
          </cell>
        </row>
        <row r="228">
          <cell r="AT228">
            <v>228</v>
          </cell>
        </row>
        <row r="229">
          <cell r="AT229">
            <v>229</v>
          </cell>
        </row>
        <row r="230">
          <cell r="AT230">
            <v>230</v>
          </cell>
        </row>
        <row r="231">
          <cell r="AT231">
            <v>231</v>
          </cell>
        </row>
        <row r="232">
          <cell r="AT232">
            <v>232</v>
          </cell>
        </row>
        <row r="233">
          <cell r="AT233">
            <v>233</v>
          </cell>
        </row>
        <row r="234">
          <cell r="AT234">
            <v>234</v>
          </cell>
        </row>
        <row r="235">
          <cell r="AT235">
            <v>235</v>
          </cell>
        </row>
        <row r="236">
          <cell r="AT236">
            <v>236</v>
          </cell>
        </row>
        <row r="237">
          <cell r="AT237">
            <v>237</v>
          </cell>
        </row>
        <row r="238">
          <cell r="AT238">
            <v>238</v>
          </cell>
        </row>
        <row r="239">
          <cell r="AT239">
            <v>239</v>
          </cell>
        </row>
        <row r="240">
          <cell r="AT240">
            <v>240</v>
          </cell>
        </row>
        <row r="241">
          <cell r="AT241">
            <v>241</v>
          </cell>
        </row>
        <row r="242">
          <cell r="AT242">
            <v>242</v>
          </cell>
        </row>
        <row r="243">
          <cell r="AT243">
            <v>243</v>
          </cell>
        </row>
        <row r="244">
          <cell r="AT244">
            <v>244</v>
          </cell>
        </row>
        <row r="245">
          <cell r="AT245">
            <v>245</v>
          </cell>
        </row>
        <row r="246">
          <cell r="AT246">
            <v>246</v>
          </cell>
        </row>
        <row r="247">
          <cell r="AT247">
            <v>247</v>
          </cell>
        </row>
        <row r="248">
          <cell r="AT248">
            <v>248</v>
          </cell>
        </row>
        <row r="249">
          <cell r="AT249">
            <v>249</v>
          </cell>
        </row>
        <row r="250">
          <cell r="AT250">
            <v>250</v>
          </cell>
        </row>
        <row r="251">
          <cell r="AT251">
            <v>251</v>
          </cell>
        </row>
        <row r="252">
          <cell r="AT252">
            <v>252</v>
          </cell>
        </row>
        <row r="253">
          <cell r="AT253">
            <v>253</v>
          </cell>
        </row>
        <row r="254">
          <cell r="AT254">
            <v>254</v>
          </cell>
        </row>
        <row r="255">
          <cell r="AT255">
            <v>255</v>
          </cell>
        </row>
        <row r="256">
          <cell r="AT256">
            <v>256</v>
          </cell>
        </row>
        <row r="257">
          <cell r="AT257">
            <v>257</v>
          </cell>
        </row>
        <row r="258">
          <cell r="AT258">
            <v>258</v>
          </cell>
        </row>
        <row r="259">
          <cell r="AT259">
            <v>259</v>
          </cell>
        </row>
        <row r="260">
          <cell r="AT260">
            <v>260</v>
          </cell>
        </row>
        <row r="261">
          <cell r="AT261">
            <v>261</v>
          </cell>
        </row>
        <row r="262">
          <cell r="AT262">
            <v>262</v>
          </cell>
        </row>
        <row r="263">
          <cell r="AT263">
            <v>263</v>
          </cell>
        </row>
        <row r="264">
          <cell r="AT264">
            <v>264</v>
          </cell>
        </row>
        <row r="265">
          <cell r="AT265">
            <v>265</v>
          </cell>
        </row>
        <row r="266">
          <cell r="AT266">
            <v>266</v>
          </cell>
        </row>
        <row r="267">
          <cell r="AT267">
            <v>267</v>
          </cell>
        </row>
        <row r="268">
          <cell r="AT268">
            <v>268</v>
          </cell>
        </row>
        <row r="269">
          <cell r="AT269">
            <v>269</v>
          </cell>
        </row>
        <row r="270">
          <cell r="AT270">
            <v>270</v>
          </cell>
        </row>
        <row r="271">
          <cell r="AT271">
            <v>271</v>
          </cell>
        </row>
        <row r="272">
          <cell r="AT272">
            <v>272</v>
          </cell>
        </row>
        <row r="273">
          <cell r="AT273">
            <v>273</v>
          </cell>
        </row>
        <row r="274">
          <cell r="AT274">
            <v>274</v>
          </cell>
        </row>
        <row r="275">
          <cell r="AT275">
            <v>275</v>
          </cell>
        </row>
        <row r="276">
          <cell r="AT276">
            <v>276</v>
          </cell>
        </row>
        <row r="277">
          <cell r="AT277">
            <v>277</v>
          </cell>
        </row>
        <row r="278">
          <cell r="AT278">
            <v>278</v>
          </cell>
        </row>
        <row r="279">
          <cell r="AT279">
            <v>279</v>
          </cell>
        </row>
        <row r="280">
          <cell r="AT280">
            <v>280</v>
          </cell>
        </row>
        <row r="281">
          <cell r="AT281">
            <v>281</v>
          </cell>
        </row>
        <row r="282">
          <cell r="AT282">
            <v>282</v>
          </cell>
        </row>
        <row r="283">
          <cell r="AT283">
            <v>283</v>
          </cell>
        </row>
        <row r="284">
          <cell r="AT284">
            <v>284</v>
          </cell>
        </row>
        <row r="285">
          <cell r="AT285">
            <v>285</v>
          </cell>
        </row>
        <row r="286">
          <cell r="AT286">
            <v>286</v>
          </cell>
        </row>
        <row r="287">
          <cell r="AT287">
            <v>287</v>
          </cell>
        </row>
        <row r="288">
          <cell r="AT288">
            <v>288</v>
          </cell>
        </row>
        <row r="289">
          <cell r="AT289">
            <v>289</v>
          </cell>
        </row>
        <row r="290">
          <cell r="AT290">
            <v>290</v>
          </cell>
        </row>
        <row r="291">
          <cell r="AT291">
            <v>291</v>
          </cell>
        </row>
        <row r="292">
          <cell r="AT292">
            <v>292</v>
          </cell>
        </row>
        <row r="293">
          <cell r="AT293">
            <v>293</v>
          </cell>
        </row>
        <row r="294">
          <cell r="AT294">
            <v>294</v>
          </cell>
        </row>
        <row r="295">
          <cell r="AT295">
            <v>295</v>
          </cell>
        </row>
        <row r="296">
          <cell r="AT296">
            <v>296</v>
          </cell>
        </row>
        <row r="297">
          <cell r="AT297">
            <v>297</v>
          </cell>
        </row>
        <row r="298">
          <cell r="AT298">
            <v>298</v>
          </cell>
        </row>
        <row r="299">
          <cell r="AT299">
            <v>299</v>
          </cell>
        </row>
        <row r="300">
          <cell r="AT300">
            <v>300</v>
          </cell>
        </row>
        <row r="301">
          <cell r="AT301">
            <v>301</v>
          </cell>
        </row>
        <row r="302">
          <cell r="AT302">
            <v>302</v>
          </cell>
        </row>
        <row r="303">
          <cell r="AT303">
            <v>303</v>
          </cell>
        </row>
        <row r="304">
          <cell r="AT304">
            <v>304</v>
          </cell>
        </row>
        <row r="305">
          <cell r="AT305">
            <v>305</v>
          </cell>
        </row>
        <row r="306">
          <cell r="AT306">
            <v>306</v>
          </cell>
        </row>
        <row r="307">
          <cell r="AT307">
            <v>307</v>
          </cell>
        </row>
        <row r="308">
          <cell r="AT308">
            <v>308</v>
          </cell>
        </row>
        <row r="309">
          <cell r="AT309">
            <v>309</v>
          </cell>
        </row>
        <row r="310">
          <cell r="AT310">
            <v>310</v>
          </cell>
        </row>
        <row r="311">
          <cell r="AT311">
            <v>311</v>
          </cell>
        </row>
        <row r="312">
          <cell r="AT312">
            <v>312</v>
          </cell>
        </row>
        <row r="313">
          <cell r="AT313">
            <v>313</v>
          </cell>
        </row>
        <row r="314">
          <cell r="AT314">
            <v>314</v>
          </cell>
        </row>
        <row r="315">
          <cell r="AT315">
            <v>315</v>
          </cell>
        </row>
        <row r="316">
          <cell r="AT316">
            <v>316</v>
          </cell>
        </row>
        <row r="317">
          <cell r="AT317">
            <v>317</v>
          </cell>
        </row>
        <row r="318">
          <cell r="AT318">
            <v>318</v>
          </cell>
        </row>
        <row r="319">
          <cell r="AT319">
            <v>319</v>
          </cell>
        </row>
        <row r="320">
          <cell r="AT320">
            <v>320</v>
          </cell>
        </row>
        <row r="321">
          <cell r="AT321">
            <v>321</v>
          </cell>
        </row>
        <row r="322">
          <cell r="AT322">
            <v>322</v>
          </cell>
        </row>
        <row r="323">
          <cell r="AT323">
            <v>323</v>
          </cell>
        </row>
        <row r="324">
          <cell r="AT324">
            <v>324</v>
          </cell>
        </row>
        <row r="325">
          <cell r="AT325">
            <v>325</v>
          </cell>
        </row>
        <row r="326">
          <cell r="AT326">
            <v>326</v>
          </cell>
        </row>
        <row r="327">
          <cell r="AT327">
            <v>327</v>
          </cell>
        </row>
        <row r="328">
          <cell r="AT328">
            <v>328</v>
          </cell>
        </row>
        <row r="329">
          <cell r="AT329">
            <v>329</v>
          </cell>
        </row>
        <row r="330">
          <cell r="AT330">
            <v>330</v>
          </cell>
        </row>
        <row r="331">
          <cell r="AT331">
            <v>331</v>
          </cell>
        </row>
        <row r="332">
          <cell r="AT332">
            <v>332</v>
          </cell>
        </row>
        <row r="333">
          <cell r="AT333">
            <v>333</v>
          </cell>
        </row>
        <row r="334">
          <cell r="AT334">
            <v>334</v>
          </cell>
        </row>
        <row r="335">
          <cell r="AT335">
            <v>335</v>
          </cell>
        </row>
        <row r="336">
          <cell r="AT336">
            <v>336</v>
          </cell>
        </row>
        <row r="337">
          <cell r="AT337">
            <v>337</v>
          </cell>
        </row>
        <row r="338">
          <cell r="AT338">
            <v>338</v>
          </cell>
        </row>
        <row r="339">
          <cell r="AT339">
            <v>339</v>
          </cell>
        </row>
        <row r="340">
          <cell r="AT340">
            <v>340</v>
          </cell>
        </row>
        <row r="341">
          <cell r="AT341">
            <v>341</v>
          </cell>
        </row>
        <row r="342">
          <cell r="AT342">
            <v>342</v>
          </cell>
        </row>
        <row r="343">
          <cell r="AT343">
            <v>343</v>
          </cell>
        </row>
        <row r="344">
          <cell r="AT344">
            <v>344</v>
          </cell>
        </row>
        <row r="345">
          <cell r="AT345">
            <v>345</v>
          </cell>
        </row>
        <row r="346">
          <cell r="AT346">
            <v>346</v>
          </cell>
        </row>
        <row r="347">
          <cell r="AT347">
            <v>347</v>
          </cell>
        </row>
        <row r="348">
          <cell r="AT348">
            <v>348</v>
          </cell>
        </row>
        <row r="349">
          <cell r="AT349">
            <v>349</v>
          </cell>
        </row>
        <row r="350">
          <cell r="AT350">
            <v>350</v>
          </cell>
        </row>
        <row r="351">
          <cell r="AT351">
            <v>351</v>
          </cell>
        </row>
        <row r="352">
          <cell r="AT352">
            <v>352</v>
          </cell>
        </row>
        <row r="353">
          <cell r="AT353">
            <v>353</v>
          </cell>
        </row>
        <row r="354">
          <cell r="AT354">
            <v>354</v>
          </cell>
        </row>
        <row r="355">
          <cell r="AT355">
            <v>355</v>
          </cell>
        </row>
        <row r="356">
          <cell r="AT356">
            <v>356</v>
          </cell>
        </row>
        <row r="357">
          <cell r="AT357">
            <v>357</v>
          </cell>
        </row>
        <row r="358">
          <cell r="AT358">
            <v>358</v>
          </cell>
        </row>
        <row r="359">
          <cell r="AT359">
            <v>359</v>
          </cell>
        </row>
        <row r="360">
          <cell r="AT360">
            <v>360</v>
          </cell>
        </row>
        <row r="361">
          <cell r="AT361">
            <v>361</v>
          </cell>
        </row>
        <row r="362">
          <cell r="AT362">
            <v>362</v>
          </cell>
        </row>
        <row r="363">
          <cell r="AT363">
            <v>363</v>
          </cell>
        </row>
        <row r="364">
          <cell r="AT364">
            <v>364</v>
          </cell>
        </row>
        <row r="365">
          <cell r="AT365">
            <v>365</v>
          </cell>
        </row>
        <row r="366">
          <cell r="AT366">
            <v>366</v>
          </cell>
        </row>
        <row r="367">
          <cell r="AT367">
            <v>367</v>
          </cell>
        </row>
        <row r="368">
          <cell r="AT368">
            <v>368</v>
          </cell>
        </row>
        <row r="369">
          <cell r="AT369">
            <v>369</v>
          </cell>
        </row>
        <row r="370">
          <cell r="AT370">
            <v>370</v>
          </cell>
        </row>
        <row r="371">
          <cell r="AT371">
            <v>371</v>
          </cell>
        </row>
        <row r="372">
          <cell r="AT372">
            <v>372</v>
          </cell>
        </row>
        <row r="373">
          <cell r="AT373">
            <v>373</v>
          </cell>
        </row>
        <row r="374">
          <cell r="AT374">
            <v>374</v>
          </cell>
        </row>
        <row r="375">
          <cell r="AT375">
            <v>375</v>
          </cell>
        </row>
        <row r="376">
          <cell r="AT376">
            <v>376</v>
          </cell>
        </row>
        <row r="377">
          <cell r="AT377">
            <v>377</v>
          </cell>
        </row>
        <row r="378">
          <cell r="AT378">
            <v>378</v>
          </cell>
        </row>
        <row r="379">
          <cell r="AT379">
            <v>379</v>
          </cell>
        </row>
        <row r="380">
          <cell r="AT380">
            <v>380</v>
          </cell>
        </row>
        <row r="381">
          <cell r="AT381">
            <v>381</v>
          </cell>
        </row>
        <row r="382">
          <cell r="AT382">
            <v>382</v>
          </cell>
        </row>
        <row r="383">
          <cell r="AT383">
            <v>383</v>
          </cell>
        </row>
        <row r="384">
          <cell r="AT384">
            <v>384</v>
          </cell>
        </row>
        <row r="385">
          <cell r="AT385">
            <v>385</v>
          </cell>
        </row>
        <row r="386">
          <cell r="AT386">
            <v>386</v>
          </cell>
        </row>
        <row r="387">
          <cell r="AT387">
            <v>387</v>
          </cell>
        </row>
        <row r="388">
          <cell r="AT388">
            <v>388</v>
          </cell>
        </row>
        <row r="389">
          <cell r="AT389">
            <v>389</v>
          </cell>
        </row>
        <row r="390">
          <cell r="AT390">
            <v>390</v>
          </cell>
        </row>
        <row r="391">
          <cell r="AT391">
            <v>391</v>
          </cell>
        </row>
        <row r="392">
          <cell r="AT392">
            <v>392</v>
          </cell>
        </row>
        <row r="393">
          <cell r="AT393">
            <v>393</v>
          </cell>
        </row>
        <row r="394">
          <cell r="AT394">
            <v>394</v>
          </cell>
        </row>
        <row r="395">
          <cell r="AT395">
            <v>395</v>
          </cell>
        </row>
        <row r="396">
          <cell r="AT396">
            <v>396</v>
          </cell>
        </row>
        <row r="397">
          <cell r="AT397">
            <v>397</v>
          </cell>
        </row>
        <row r="398">
          <cell r="AT398">
            <v>398</v>
          </cell>
        </row>
        <row r="399">
          <cell r="AT399">
            <v>399</v>
          </cell>
        </row>
        <row r="400">
          <cell r="AT400">
            <v>400</v>
          </cell>
        </row>
        <row r="401">
          <cell r="AT401">
            <v>401</v>
          </cell>
        </row>
        <row r="402">
          <cell r="AT402">
            <v>402</v>
          </cell>
        </row>
        <row r="403">
          <cell r="AT403">
            <v>403</v>
          </cell>
        </row>
        <row r="404">
          <cell r="AT404">
            <v>404</v>
          </cell>
        </row>
        <row r="405">
          <cell r="AT405">
            <v>405</v>
          </cell>
        </row>
        <row r="406">
          <cell r="AT406">
            <v>406</v>
          </cell>
        </row>
        <row r="407">
          <cell r="AT407">
            <v>407</v>
          </cell>
        </row>
        <row r="408">
          <cell r="AT408">
            <v>408</v>
          </cell>
        </row>
        <row r="409">
          <cell r="AT409">
            <v>409</v>
          </cell>
        </row>
        <row r="410">
          <cell r="AT410">
            <v>410</v>
          </cell>
        </row>
        <row r="411">
          <cell r="AT411">
            <v>411</v>
          </cell>
        </row>
        <row r="412">
          <cell r="AT412">
            <v>412</v>
          </cell>
        </row>
        <row r="413">
          <cell r="AT413">
            <v>413</v>
          </cell>
        </row>
        <row r="414">
          <cell r="AT414">
            <v>414</v>
          </cell>
        </row>
        <row r="415">
          <cell r="AT415">
            <v>415</v>
          </cell>
        </row>
        <row r="416">
          <cell r="AT416">
            <v>416</v>
          </cell>
        </row>
        <row r="417">
          <cell r="AT417">
            <v>417</v>
          </cell>
        </row>
        <row r="418">
          <cell r="AT418">
            <v>418</v>
          </cell>
        </row>
        <row r="419">
          <cell r="AT419">
            <v>419</v>
          </cell>
        </row>
        <row r="420">
          <cell r="AT420">
            <v>420</v>
          </cell>
        </row>
        <row r="421">
          <cell r="AT421">
            <v>421</v>
          </cell>
        </row>
        <row r="422">
          <cell r="AT422">
            <v>422</v>
          </cell>
        </row>
        <row r="423">
          <cell r="AT423">
            <v>423</v>
          </cell>
        </row>
        <row r="424">
          <cell r="AT424">
            <v>424</v>
          </cell>
        </row>
        <row r="425">
          <cell r="AT425">
            <v>425</v>
          </cell>
        </row>
        <row r="426">
          <cell r="AT426">
            <v>426</v>
          </cell>
        </row>
        <row r="427">
          <cell r="AT427">
            <v>427</v>
          </cell>
        </row>
        <row r="428">
          <cell r="AT428">
            <v>428</v>
          </cell>
        </row>
        <row r="429">
          <cell r="AT429">
            <v>429</v>
          </cell>
        </row>
        <row r="430">
          <cell r="AT430">
            <v>430</v>
          </cell>
        </row>
        <row r="431">
          <cell r="AT431">
            <v>431</v>
          </cell>
        </row>
        <row r="432">
          <cell r="AT432">
            <v>432</v>
          </cell>
        </row>
        <row r="433">
          <cell r="AT433">
            <v>433</v>
          </cell>
        </row>
        <row r="434">
          <cell r="AT434">
            <v>434</v>
          </cell>
        </row>
        <row r="435">
          <cell r="AT435">
            <v>435</v>
          </cell>
        </row>
        <row r="436">
          <cell r="AT436">
            <v>436</v>
          </cell>
        </row>
        <row r="437">
          <cell r="AT437">
            <v>437</v>
          </cell>
        </row>
        <row r="438">
          <cell r="AT438">
            <v>438</v>
          </cell>
        </row>
        <row r="439">
          <cell r="AT439">
            <v>439</v>
          </cell>
        </row>
        <row r="440">
          <cell r="AT440">
            <v>440</v>
          </cell>
        </row>
        <row r="441">
          <cell r="AT441">
            <v>441</v>
          </cell>
        </row>
        <row r="442">
          <cell r="AT442">
            <v>442</v>
          </cell>
        </row>
        <row r="443">
          <cell r="AT443">
            <v>443</v>
          </cell>
        </row>
        <row r="444">
          <cell r="AT444">
            <v>444</v>
          </cell>
        </row>
        <row r="445">
          <cell r="AT445">
            <v>445</v>
          </cell>
        </row>
        <row r="446">
          <cell r="AT446">
            <v>446</v>
          </cell>
        </row>
        <row r="447">
          <cell r="AT447">
            <v>447</v>
          </cell>
        </row>
        <row r="448">
          <cell r="AT448">
            <v>448</v>
          </cell>
        </row>
        <row r="449">
          <cell r="AT449">
            <v>449</v>
          </cell>
        </row>
        <row r="450">
          <cell r="AT450">
            <v>450</v>
          </cell>
        </row>
        <row r="451">
          <cell r="AT451">
            <v>451</v>
          </cell>
        </row>
        <row r="452">
          <cell r="AT452">
            <v>452</v>
          </cell>
        </row>
        <row r="453">
          <cell r="AT453">
            <v>453</v>
          </cell>
        </row>
        <row r="454">
          <cell r="AT454">
            <v>454</v>
          </cell>
        </row>
        <row r="455">
          <cell r="AT455">
            <v>455</v>
          </cell>
        </row>
        <row r="456">
          <cell r="AT456">
            <v>456</v>
          </cell>
        </row>
        <row r="457">
          <cell r="AT457">
            <v>457</v>
          </cell>
        </row>
        <row r="458">
          <cell r="AT458">
            <v>458</v>
          </cell>
        </row>
        <row r="459">
          <cell r="AT459">
            <v>459</v>
          </cell>
        </row>
        <row r="460">
          <cell r="AT460">
            <v>460</v>
          </cell>
        </row>
        <row r="461">
          <cell r="AT461">
            <v>461</v>
          </cell>
        </row>
        <row r="462">
          <cell r="AT462">
            <v>462</v>
          </cell>
        </row>
        <row r="463">
          <cell r="AT463">
            <v>463</v>
          </cell>
        </row>
        <row r="464">
          <cell r="AT464">
            <v>464</v>
          </cell>
        </row>
        <row r="465">
          <cell r="AT465">
            <v>465</v>
          </cell>
        </row>
        <row r="466">
          <cell r="AT466">
            <v>466</v>
          </cell>
        </row>
        <row r="467">
          <cell r="AT467">
            <v>467</v>
          </cell>
        </row>
        <row r="468">
          <cell r="AT468">
            <v>468</v>
          </cell>
        </row>
        <row r="469">
          <cell r="AT469">
            <v>469</v>
          </cell>
        </row>
        <row r="470">
          <cell r="AT470">
            <v>470</v>
          </cell>
        </row>
        <row r="471">
          <cell r="AT471">
            <v>471</v>
          </cell>
        </row>
        <row r="472">
          <cell r="AT472">
            <v>472</v>
          </cell>
        </row>
        <row r="473">
          <cell r="AT473">
            <v>473</v>
          </cell>
        </row>
        <row r="474">
          <cell r="AT474">
            <v>474</v>
          </cell>
        </row>
        <row r="475">
          <cell r="AT475">
            <v>475</v>
          </cell>
        </row>
        <row r="476">
          <cell r="AT476">
            <v>476</v>
          </cell>
        </row>
        <row r="477">
          <cell r="AT477">
            <v>477</v>
          </cell>
        </row>
        <row r="478">
          <cell r="AT478">
            <v>478</v>
          </cell>
        </row>
        <row r="479">
          <cell r="AT479">
            <v>479</v>
          </cell>
        </row>
        <row r="480">
          <cell r="AT480">
            <v>480</v>
          </cell>
        </row>
        <row r="481">
          <cell r="AT481">
            <v>481</v>
          </cell>
        </row>
        <row r="482">
          <cell r="AT482">
            <v>482</v>
          </cell>
        </row>
        <row r="483">
          <cell r="AT483">
            <v>483</v>
          </cell>
        </row>
        <row r="484">
          <cell r="AT484">
            <v>484</v>
          </cell>
        </row>
        <row r="485">
          <cell r="AT485">
            <v>485</v>
          </cell>
        </row>
        <row r="486">
          <cell r="AT486">
            <v>486</v>
          </cell>
        </row>
        <row r="487">
          <cell r="AT487">
            <v>487</v>
          </cell>
        </row>
        <row r="488">
          <cell r="AT488">
            <v>488</v>
          </cell>
        </row>
        <row r="489">
          <cell r="AT489">
            <v>489</v>
          </cell>
        </row>
        <row r="490">
          <cell r="AT490">
            <v>490</v>
          </cell>
        </row>
        <row r="491">
          <cell r="AT491">
            <v>491</v>
          </cell>
        </row>
        <row r="492">
          <cell r="AT492">
            <v>492</v>
          </cell>
        </row>
        <row r="493">
          <cell r="AT493">
            <v>493</v>
          </cell>
        </row>
        <row r="494">
          <cell r="AT494">
            <v>494</v>
          </cell>
        </row>
        <row r="495">
          <cell r="AT495">
            <v>495</v>
          </cell>
        </row>
        <row r="496">
          <cell r="AT496">
            <v>496</v>
          </cell>
        </row>
        <row r="497">
          <cell r="AT497">
            <v>497</v>
          </cell>
        </row>
        <row r="498">
          <cell r="AT498">
            <v>498</v>
          </cell>
        </row>
        <row r="499">
          <cell r="AT499">
            <v>499</v>
          </cell>
        </row>
        <row r="500">
          <cell r="AT500">
            <v>500</v>
          </cell>
        </row>
        <row r="501">
          <cell r="AT501">
            <v>501</v>
          </cell>
        </row>
        <row r="502">
          <cell r="AT502">
            <v>502</v>
          </cell>
        </row>
        <row r="503">
          <cell r="AT503">
            <v>503</v>
          </cell>
        </row>
        <row r="504">
          <cell r="AT504">
            <v>504</v>
          </cell>
        </row>
        <row r="505">
          <cell r="AT505">
            <v>505</v>
          </cell>
        </row>
        <row r="506">
          <cell r="AT506">
            <v>506</v>
          </cell>
        </row>
        <row r="507">
          <cell r="AT507">
            <v>507</v>
          </cell>
        </row>
        <row r="508">
          <cell r="AT508">
            <v>508</v>
          </cell>
        </row>
        <row r="509">
          <cell r="AT509">
            <v>509</v>
          </cell>
        </row>
        <row r="510">
          <cell r="AT510">
            <v>510</v>
          </cell>
        </row>
        <row r="511">
          <cell r="AT511">
            <v>511</v>
          </cell>
        </row>
        <row r="512">
          <cell r="AT512">
            <v>512</v>
          </cell>
        </row>
        <row r="513">
          <cell r="AT513">
            <v>513</v>
          </cell>
        </row>
        <row r="514">
          <cell r="AT514">
            <v>514</v>
          </cell>
        </row>
        <row r="515">
          <cell r="AT515">
            <v>515</v>
          </cell>
        </row>
        <row r="516">
          <cell r="AT516">
            <v>516</v>
          </cell>
        </row>
        <row r="517">
          <cell r="AT517">
            <v>517</v>
          </cell>
        </row>
        <row r="518">
          <cell r="AT518">
            <v>518</v>
          </cell>
        </row>
        <row r="519">
          <cell r="AT519">
            <v>519</v>
          </cell>
        </row>
        <row r="520">
          <cell r="AT520">
            <v>520</v>
          </cell>
        </row>
        <row r="521">
          <cell r="AT521">
            <v>521</v>
          </cell>
        </row>
        <row r="522">
          <cell r="AT522">
            <v>522</v>
          </cell>
        </row>
        <row r="523">
          <cell r="AT523">
            <v>523</v>
          </cell>
        </row>
        <row r="524">
          <cell r="AT524">
            <v>524</v>
          </cell>
        </row>
        <row r="525">
          <cell r="AT525">
            <v>525</v>
          </cell>
        </row>
        <row r="526">
          <cell r="AT526">
            <v>526</v>
          </cell>
        </row>
        <row r="527">
          <cell r="AT527">
            <v>527</v>
          </cell>
        </row>
        <row r="528">
          <cell r="AT528">
            <v>528</v>
          </cell>
        </row>
        <row r="529">
          <cell r="AT529">
            <v>529</v>
          </cell>
        </row>
        <row r="530">
          <cell r="AT530">
            <v>530</v>
          </cell>
        </row>
        <row r="531">
          <cell r="AT531">
            <v>531</v>
          </cell>
        </row>
        <row r="532">
          <cell r="AT532">
            <v>532</v>
          </cell>
        </row>
        <row r="533">
          <cell r="AT533">
            <v>533</v>
          </cell>
        </row>
        <row r="534">
          <cell r="AT534">
            <v>534</v>
          </cell>
        </row>
        <row r="535">
          <cell r="AT535">
            <v>535</v>
          </cell>
        </row>
        <row r="536">
          <cell r="AT536">
            <v>536</v>
          </cell>
        </row>
        <row r="537">
          <cell r="AT537">
            <v>537</v>
          </cell>
        </row>
        <row r="538">
          <cell r="AT538">
            <v>538</v>
          </cell>
        </row>
        <row r="539">
          <cell r="AT539">
            <v>539</v>
          </cell>
        </row>
        <row r="540">
          <cell r="AT540">
            <v>540</v>
          </cell>
        </row>
        <row r="541">
          <cell r="AT541">
            <v>541</v>
          </cell>
        </row>
        <row r="542">
          <cell r="AT542">
            <v>542</v>
          </cell>
        </row>
        <row r="543">
          <cell r="AT543">
            <v>543</v>
          </cell>
        </row>
        <row r="544">
          <cell r="AT544">
            <v>544</v>
          </cell>
        </row>
        <row r="545">
          <cell r="AT545">
            <v>545</v>
          </cell>
        </row>
        <row r="546">
          <cell r="AT546">
            <v>546</v>
          </cell>
        </row>
        <row r="547">
          <cell r="AT547">
            <v>547</v>
          </cell>
        </row>
        <row r="548">
          <cell r="AT548">
            <v>548</v>
          </cell>
        </row>
        <row r="549">
          <cell r="AT549">
            <v>549</v>
          </cell>
        </row>
        <row r="550">
          <cell r="AT550">
            <v>550</v>
          </cell>
        </row>
        <row r="551">
          <cell r="AT551">
            <v>551</v>
          </cell>
        </row>
        <row r="552">
          <cell r="AT552">
            <v>552</v>
          </cell>
        </row>
        <row r="553">
          <cell r="AT553">
            <v>553</v>
          </cell>
        </row>
        <row r="554">
          <cell r="AT554">
            <v>554</v>
          </cell>
        </row>
        <row r="555">
          <cell r="AT555">
            <v>555</v>
          </cell>
        </row>
        <row r="556">
          <cell r="AT556">
            <v>556</v>
          </cell>
        </row>
        <row r="557">
          <cell r="AT557">
            <v>557</v>
          </cell>
        </row>
        <row r="558">
          <cell r="AT558">
            <v>558</v>
          </cell>
        </row>
        <row r="559">
          <cell r="AT559">
            <v>559</v>
          </cell>
        </row>
        <row r="560">
          <cell r="AT560">
            <v>560</v>
          </cell>
        </row>
        <row r="561">
          <cell r="AT561">
            <v>561</v>
          </cell>
        </row>
        <row r="562">
          <cell r="AT562">
            <v>562</v>
          </cell>
        </row>
        <row r="563">
          <cell r="AT563">
            <v>563</v>
          </cell>
        </row>
        <row r="564">
          <cell r="AT564">
            <v>564</v>
          </cell>
        </row>
        <row r="565">
          <cell r="AT565">
            <v>565</v>
          </cell>
        </row>
        <row r="566">
          <cell r="AT566">
            <v>566</v>
          </cell>
        </row>
        <row r="567">
          <cell r="AT567">
            <v>567</v>
          </cell>
        </row>
        <row r="568">
          <cell r="AT568">
            <v>568</v>
          </cell>
        </row>
        <row r="569">
          <cell r="AT569">
            <v>569</v>
          </cell>
        </row>
        <row r="570">
          <cell r="AT570">
            <v>570</v>
          </cell>
        </row>
        <row r="571">
          <cell r="AT571">
            <v>571</v>
          </cell>
        </row>
        <row r="572">
          <cell r="AT572">
            <v>572</v>
          </cell>
        </row>
        <row r="573">
          <cell r="AT573">
            <v>573</v>
          </cell>
        </row>
        <row r="574">
          <cell r="AT574">
            <v>574</v>
          </cell>
        </row>
        <row r="575">
          <cell r="AT575">
            <v>575</v>
          </cell>
        </row>
        <row r="576">
          <cell r="AT576">
            <v>576</v>
          </cell>
        </row>
        <row r="577">
          <cell r="AT577">
            <v>577</v>
          </cell>
        </row>
        <row r="578">
          <cell r="AT578">
            <v>578</v>
          </cell>
        </row>
        <row r="579">
          <cell r="AT579">
            <v>579</v>
          </cell>
        </row>
        <row r="580">
          <cell r="AT580">
            <v>580</v>
          </cell>
        </row>
        <row r="581">
          <cell r="AT581">
            <v>581</v>
          </cell>
        </row>
        <row r="582">
          <cell r="AT582">
            <v>582</v>
          </cell>
        </row>
        <row r="583">
          <cell r="AT583">
            <v>583</v>
          </cell>
        </row>
        <row r="584">
          <cell r="AT584">
            <v>584</v>
          </cell>
        </row>
        <row r="585">
          <cell r="AT585">
            <v>585</v>
          </cell>
        </row>
        <row r="586">
          <cell r="AT586">
            <v>586</v>
          </cell>
        </row>
        <row r="587">
          <cell r="AT587">
            <v>587</v>
          </cell>
        </row>
        <row r="588">
          <cell r="AT588">
            <v>588</v>
          </cell>
        </row>
        <row r="589">
          <cell r="AT589">
            <v>589</v>
          </cell>
        </row>
        <row r="590">
          <cell r="AT590">
            <v>590</v>
          </cell>
        </row>
        <row r="591">
          <cell r="AT591">
            <v>591</v>
          </cell>
        </row>
        <row r="592">
          <cell r="AT592">
            <v>592</v>
          </cell>
        </row>
        <row r="593">
          <cell r="AT593">
            <v>593</v>
          </cell>
        </row>
        <row r="594">
          <cell r="AT594">
            <v>594</v>
          </cell>
        </row>
        <row r="595">
          <cell r="AT595">
            <v>595</v>
          </cell>
        </row>
        <row r="596">
          <cell r="AT596">
            <v>596</v>
          </cell>
        </row>
        <row r="597">
          <cell r="AT597">
            <v>597</v>
          </cell>
        </row>
        <row r="598">
          <cell r="AT598">
            <v>598</v>
          </cell>
        </row>
        <row r="599">
          <cell r="AT599">
            <v>599</v>
          </cell>
        </row>
        <row r="600">
          <cell r="AT600">
            <v>600</v>
          </cell>
        </row>
        <row r="601">
          <cell r="AT601">
            <v>601</v>
          </cell>
        </row>
        <row r="602">
          <cell r="AT602">
            <v>602</v>
          </cell>
        </row>
        <row r="603">
          <cell r="AT603">
            <v>603</v>
          </cell>
        </row>
        <row r="604">
          <cell r="AT604">
            <v>604</v>
          </cell>
        </row>
        <row r="605">
          <cell r="AT605">
            <v>605</v>
          </cell>
        </row>
        <row r="606">
          <cell r="AT606">
            <v>606</v>
          </cell>
        </row>
        <row r="607">
          <cell r="AT607">
            <v>607</v>
          </cell>
        </row>
        <row r="608">
          <cell r="AT608">
            <v>608</v>
          </cell>
        </row>
        <row r="609">
          <cell r="AT609">
            <v>609</v>
          </cell>
        </row>
        <row r="610">
          <cell r="AT610">
            <v>610</v>
          </cell>
        </row>
        <row r="611">
          <cell r="AT611">
            <v>611</v>
          </cell>
        </row>
        <row r="612">
          <cell r="AT612">
            <v>612</v>
          </cell>
        </row>
        <row r="613">
          <cell r="AT613">
            <v>613</v>
          </cell>
        </row>
        <row r="614">
          <cell r="AT614">
            <v>614</v>
          </cell>
        </row>
        <row r="615">
          <cell r="AT615">
            <v>615</v>
          </cell>
        </row>
        <row r="616">
          <cell r="AT616">
            <v>616</v>
          </cell>
        </row>
        <row r="617">
          <cell r="AT617">
            <v>617</v>
          </cell>
        </row>
        <row r="618">
          <cell r="AT618">
            <v>618</v>
          </cell>
        </row>
        <row r="619">
          <cell r="AT619">
            <v>619</v>
          </cell>
        </row>
        <row r="620">
          <cell r="AT620">
            <v>620</v>
          </cell>
        </row>
        <row r="621">
          <cell r="AT621">
            <v>621</v>
          </cell>
        </row>
        <row r="622">
          <cell r="AT622">
            <v>622</v>
          </cell>
        </row>
        <row r="623">
          <cell r="AT623">
            <v>623</v>
          </cell>
        </row>
        <row r="624">
          <cell r="AT624">
            <v>624</v>
          </cell>
        </row>
        <row r="625">
          <cell r="AT625">
            <v>625</v>
          </cell>
        </row>
        <row r="626">
          <cell r="AT626">
            <v>626</v>
          </cell>
        </row>
        <row r="627">
          <cell r="AT627">
            <v>627</v>
          </cell>
        </row>
        <row r="628">
          <cell r="AT628">
            <v>628</v>
          </cell>
        </row>
        <row r="629">
          <cell r="AT629">
            <v>629</v>
          </cell>
        </row>
        <row r="630">
          <cell r="AT630">
            <v>630</v>
          </cell>
        </row>
        <row r="631">
          <cell r="AT631">
            <v>631</v>
          </cell>
        </row>
        <row r="632">
          <cell r="AT632">
            <v>632</v>
          </cell>
        </row>
        <row r="633">
          <cell r="AT633">
            <v>633</v>
          </cell>
        </row>
        <row r="634">
          <cell r="AT634">
            <v>634</v>
          </cell>
        </row>
        <row r="635">
          <cell r="AT635">
            <v>635</v>
          </cell>
        </row>
        <row r="636">
          <cell r="AT636">
            <v>636</v>
          </cell>
        </row>
        <row r="637">
          <cell r="AT637">
            <v>637</v>
          </cell>
        </row>
        <row r="638">
          <cell r="AT638">
            <v>638</v>
          </cell>
        </row>
        <row r="639">
          <cell r="AT639">
            <v>639</v>
          </cell>
        </row>
        <row r="640">
          <cell r="AT640">
            <v>640</v>
          </cell>
        </row>
        <row r="641">
          <cell r="AT641">
            <v>641</v>
          </cell>
        </row>
        <row r="642">
          <cell r="AT642">
            <v>642</v>
          </cell>
        </row>
        <row r="643">
          <cell r="AT643">
            <v>643</v>
          </cell>
        </row>
        <row r="644">
          <cell r="AT644">
            <v>644</v>
          </cell>
        </row>
        <row r="645">
          <cell r="AT645">
            <v>645</v>
          </cell>
        </row>
        <row r="646">
          <cell r="AT646">
            <v>646</v>
          </cell>
        </row>
        <row r="647">
          <cell r="AT647">
            <v>647</v>
          </cell>
        </row>
        <row r="648">
          <cell r="AT648">
            <v>648</v>
          </cell>
        </row>
        <row r="649">
          <cell r="AT649">
            <v>649</v>
          </cell>
        </row>
        <row r="650">
          <cell r="AT650">
            <v>650</v>
          </cell>
        </row>
        <row r="651">
          <cell r="AT651">
            <v>651</v>
          </cell>
        </row>
        <row r="652">
          <cell r="AT652">
            <v>652</v>
          </cell>
        </row>
        <row r="653">
          <cell r="AT653">
            <v>653</v>
          </cell>
        </row>
        <row r="654">
          <cell r="AT654">
            <v>654</v>
          </cell>
        </row>
        <row r="655">
          <cell r="AT655">
            <v>655</v>
          </cell>
        </row>
        <row r="656">
          <cell r="AT656">
            <v>656</v>
          </cell>
        </row>
        <row r="657">
          <cell r="AT657">
            <v>657</v>
          </cell>
        </row>
        <row r="658">
          <cell r="AT658">
            <v>658</v>
          </cell>
        </row>
        <row r="659">
          <cell r="AT659">
            <v>659</v>
          </cell>
        </row>
        <row r="660">
          <cell r="AT660">
            <v>660</v>
          </cell>
        </row>
        <row r="661">
          <cell r="AT661">
            <v>661</v>
          </cell>
        </row>
        <row r="662">
          <cell r="AT662">
            <v>662</v>
          </cell>
        </row>
        <row r="663">
          <cell r="AT663">
            <v>663</v>
          </cell>
        </row>
        <row r="664">
          <cell r="AT664">
            <v>664</v>
          </cell>
        </row>
        <row r="665">
          <cell r="AT665">
            <v>665</v>
          </cell>
        </row>
        <row r="666">
          <cell r="AT666">
            <v>666</v>
          </cell>
        </row>
        <row r="667">
          <cell r="AT667">
            <v>667</v>
          </cell>
        </row>
        <row r="668">
          <cell r="AT668">
            <v>668</v>
          </cell>
        </row>
        <row r="669">
          <cell r="AT669">
            <v>669</v>
          </cell>
        </row>
        <row r="670">
          <cell r="AT670">
            <v>670</v>
          </cell>
        </row>
        <row r="671">
          <cell r="AT671">
            <v>671</v>
          </cell>
        </row>
        <row r="672">
          <cell r="AT672">
            <v>672</v>
          </cell>
        </row>
        <row r="673">
          <cell r="AT673">
            <v>673</v>
          </cell>
        </row>
        <row r="674">
          <cell r="AT674">
            <v>674</v>
          </cell>
        </row>
        <row r="675">
          <cell r="AT675">
            <v>675</v>
          </cell>
        </row>
        <row r="676">
          <cell r="AT676">
            <v>676</v>
          </cell>
        </row>
        <row r="677">
          <cell r="AT677">
            <v>677</v>
          </cell>
        </row>
        <row r="678">
          <cell r="AT678">
            <v>678</v>
          </cell>
        </row>
        <row r="679">
          <cell r="AT679">
            <v>679</v>
          </cell>
        </row>
        <row r="680">
          <cell r="AT680">
            <v>680</v>
          </cell>
        </row>
        <row r="681">
          <cell r="AT681">
            <v>681</v>
          </cell>
        </row>
        <row r="682">
          <cell r="AT682">
            <v>682</v>
          </cell>
        </row>
        <row r="683">
          <cell r="AT683">
            <v>683</v>
          </cell>
        </row>
        <row r="684">
          <cell r="AT684">
            <v>684</v>
          </cell>
        </row>
        <row r="685">
          <cell r="AT685">
            <v>685</v>
          </cell>
        </row>
        <row r="686">
          <cell r="AT686">
            <v>686</v>
          </cell>
        </row>
        <row r="687">
          <cell r="AT687">
            <v>687</v>
          </cell>
        </row>
        <row r="688">
          <cell r="AT688">
            <v>688</v>
          </cell>
        </row>
        <row r="689">
          <cell r="AT689">
            <v>689</v>
          </cell>
        </row>
        <row r="690">
          <cell r="AT690">
            <v>690</v>
          </cell>
        </row>
        <row r="691">
          <cell r="AT691">
            <v>691</v>
          </cell>
        </row>
        <row r="692">
          <cell r="AT692">
            <v>692</v>
          </cell>
        </row>
        <row r="693">
          <cell r="AT693">
            <v>693</v>
          </cell>
        </row>
        <row r="694">
          <cell r="AT694">
            <v>694</v>
          </cell>
        </row>
        <row r="695">
          <cell r="AT695">
            <v>695</v>
          </cell>
        </row>
        <row r="696">
          <cell r="AT696">
            <v>696</v>
          </cell>
        </row>
        <row r="697">
          <cell r="AT697">
            <v>697</v>
          </cell>
        </row>
        <row r="698">
          <cell r="AT698">
            <v>698</v>
          </cell>
        </row>
        <row r="699">
          <cell r="AT699">
            <v>699</v>
          </cell>
        </row>
        <row r="700">
          <cell r="AT700">
            <v>700</v>
          </cell>
        </row>
        <row r="701">
          <cell r="AT701">
            <v>701</v>
          </cell>
        </row>
        <row r="702">
          <cell r="AT702">
            <v>702</v>
          </cell>
        </row>
        <row r="703">
          <cell r="AT703">
            <v>703</v>
          </cell>
        </row>
        <row r="704">
          <cell r="AT704">
            <v>704</v>
          </cell>
        </row>
        <row r="705">
          <cell r="AT705">
            <v>705</v>
          </cell>
        </row>
        <row r="706">
          <cell r="AT706">
            <v>706</v>
          </cell>
        </row>
        <row r="707">
          <cell r="AT707">
            <v>707</v>
          </cell>
        </row>
        <row r="708">
          <cell r="AT708">
            <v>708</v>
          </cell>
        </row>
        <row r="709">
          <cell r="AT709">
            <v>709</v>
          </cell>
        </row>
        <row r="710">
          <cell r="AT710">
            <v>710</v>
          </cell>
        </row>
        <row r="711">
          <cell r="AT711">
            <v>711</v>
          </cell>
        </row>
        <row r="712">
          <cell r="AT712">
            <v>712</v>
          </cell>
        </row>
        <row r="713">
          <cell r="AT713">
            <v>713</v>
          </cell>
        </row>
        <row r="714">
          <cell r="AT714">
            <v>714</v>
          </cell>
        </row>
        <row r="715">
          <cell r="AT715">
            <v>715</v>
          </cell>
        </row>
        <row r="716">
          <cell r="AT716">
            <v>716</v>
          </cell>
        </row>
        <row r="717">
          <cell r="AT717">
            <v>717</v>
          </cell>
        </row>
        <row r="718">
          <cell r="AT718">
            <v>718</v>
          </cell>
        </row>
        <row r="719">
          <cell r="AT719">
            <v>719</v>
          </cell>
        </row>
        <row r="720">
          <cell r="AT720">
            <v>720</v>
          </cell>
        </row>
        <row r="721">
          <cell r="AT721">
            <v>721</v>
          </cell>
        </row>
        <row r="722">
          <cell r="AT722">
            <v>722</v>
          </cell>
        </row>
        <row r="723">
          <cell r="AT723">
            <v>723</v>
          </cell>
        </row>
        <row r="724">
          <cell r="AT724">
            <v>724</v>
          </cell>
        </row>
        <row r="725">
          <cell r="AT725">
            <v>725</v>
          </cell>
        </row>
        <row r="726">
          <cell r="AT726">
            <v>726</v>
          </cell>
        </row>
        <row r="727">
          <cell r="AT727">
            <v>727</v>
          </cell>
        </row>
        <row r="728">
          <cell r="AT728">
            <v>728</v>
          </cell>
        </row>
        <row r="729">
          <cell r="AT729">
            <v>729</v>
          </cell>
        </row>
        <row r="730">
          <cell r="AT730">
            <v>730</v>
          </cell>
        </row>
        <row r="731">
          <cell r="AT731">
            <v>731</v>
          </cell>
        </row>
        <row r="732">
          <cell r="AT732">
            <v>732</v>
          </cell>
        </row>
        <row r="733">
          <cell r="AT733">
            <v>733</v>
          </cell>
        </row>
        <row r="734">
          <cell r="AT734">
            <v>734</v>
          </cell>
        </row>
        <row r="735">
          <cell r="AT735">
            <v>735</v>
          </cell>
        </row>
        <row r="736">
          <cell r="AT736">
            <v>736</v>
          </cell>
        </row>
        <row r="737">
          <cell r="AT737">
            <v>737</v>
          </cell>
        </row>
        <row r="738">
          <cell r="AT738">
            <v>738</v>
          </cell>
        </row>
        <row r="739">
          <cell r="AT739">
            <v>739</v>
          </cell>
        </row>
        <row r="740">
          <cell r="AT740">
            <v>740</v>
          </cell>
        </row>
        <row r="741">
          <cell r="AT741">
            <v>741</v>
          </cell>
        </row>
        <row r="742">
          <cell r="AT742">
            <v>742</v>
          </cell>
        </row>
        <row r="743">
          <cell r="AT743">
            <v>743</v>
          </cell>
        </row>
        <row r="744">
          <cell r="AT744">
            <v>744</v>
          </cell>
        </row>
        <row r="745">
          <cell r="AT745">
            <v>745</v>
          </cell>
        </row>
        <row r="746">
          <cell r="AT746">
            <v>746</v>
          </cell>
        </row>
        <row r="747">
          <cell r="AT747">
            <v>747</v>
          </cell>
        </row>
        <row r="748">
          <cell r="AT748">
            <v>748</v>
          </cell>
        </row>
        <row r="749">
          <cell r="AT749">
            <v>749</v>
          </cell>
        </row>
        <row r="750">
          <cell r="AT750">
            <v>750</v>
          </cell>
        </row>
        <row r="751">
          <cell r="AT751">
            <v>751</v>
          </cell>
        </row>
        <row r="752">
          <cell r="AT752">
            <v>752</v>
          </cell>
        </row>
        <row r="753">
          <cell r="AT753">
            <v>753</v>
          </cell>
        </row>
        <row r="754">
          <cell r="AT754">
            <v>754</v>
          </cell>
        </row>
        <row r="755">
          <cell r="AT755">
            <v>755</v>
          </cell>
        </row>
        <row r="756">
          <cell r="AT756">
            <v>756</v>
          </cell>
        </row>
        <row r="757">
          <cell r="AT757">
            <v>757</v>
          </cell>
        </row>
        <row r="758">
          <cell r="AT758">
            <v>758</v>
          </cell>
        </row>
        <row r="759">
          <cell r="AT759">
            <v>759</v>
          </cell>
        </row>
        <row r="760">
          <cell r="AT760">
            <v>760</v>
          </cell>
        </row>
        <row r="761">
          <cell r="AT761">
            <v>761</v>
          </cell>
        </row>
        <row r="762">
          <cell r="AT762">
            <v>762</v>
          </cell>
        </row>
        <row r="763">
          <cell r="AT763">
            <v>763</v>
          </cell>
        </row>
        <row r="764">
          <cell r="AT764">
            <v>764</v>
          </cell>
        </row>
        <row r="765">
          <cell r="AT765">
            <v>765</v>
          </cell>
        </row>
        <row r="766">
          <cell r="AT766">
            <v>766</v>
          </cell>
        </row>
        <row r="767">
          <cell r="AT767">
            <v>767</v>
          </cell>
        </row>
        <row r="768">
          <cell r="AT768">
            <v>768</v>
          </cell>
        </row>
        <row r="769">
          <cell r="AT769">
            <v>769</v>
          </cell>
        </row>
        <row r="770">
          <cell r="AT770">
            <v>770</v>
          </cell>
        </row>
        <row r="771">
          <cell r="AT771">
            <v>771</v>
          </cell>
        </row>
        <row r="772">
          <cell r="AT772">
            <v>772</v>
          </cell>
        </row>
        <row r="773">
          <cell r="AT773">
            <v>773</v>
          </cell>
        </row>
        <row r="774">
          <cell r="AT774">
            <v>774</v>
          </cell>
        </row>
        <row r="775">
          <cell r="AT775">
            <v>775</v>
          </cell>
        </row>
        <row r="776">
          <cell r="AT776">
            <v>776</v>
          </cell>
        </row>
        <row r="777">
          <cell r="AT777">
            <v>777</v>
          </cell>
        </row>
        <row r="778">
          <cell r="AT778">
            <v>778</v>
          </cell>
        </row>
        <row r="779">
          <cell r="AT779">
            <v>779</v>
          </cell>
        </row>
        <row r="780">
          <cell r="AT780">
            <v>780</v>
          </cell>
        </row>
        <row r="781">
          <cell r="AT781">
            <v>781</v>
          </cell>
        </row>
        <row r="782">
          <cell r="AT782">
            <v>782</v>
          </cell>
        </row>
        <row r="783">
          <cell r="AT783">
            <v>783</v>
          </cell>
        </row>
        <row r="784">
          <cell r="AT784">
            <v>784</v>
          </cell>
        </row>
        <row r="785">
          <cell r="AT785">
            <v>785</v>
          </cell>
        </row>
        <row r="786">
          <cell r="AT786">
            <v>786</v>
          </cell>
        </row>
        <row r="787">
          <cell r="AT787">
            <v>787</v>
          </cell>
        </row>
        <row r="788">
          <cell r="AT788">
            <v>788</v>
          </cell>
        </row>
        <row r="789">
          <cell r="AT789">
            <v>789</v>
          </cell>
        </row>
        <row r="790">
          <cell r="AT790">
            <v>790</v>
          </cell>
        </row>
        <row r="791">
          <cell r="AT791">
            <v>791</v>
          </cell>
        </row>
        <row r="792">
          <cell r="AT792">
            <v>792</v>
          </cell>
        </row>
        <row r="793">
          <cell r="AT793">
            <v>793</v>
          </cell>
        </row>
        <row r="794">
          <cell r="AT794">
            <v>794</v>
          </cell>
        </row>
        <row r="795">
          <cell r="AT795">
            <v>795</v>
          </cell>
        </row>
        <row r="796">
          <cell r="AT796">
            <v>796</v>
          </cell>
        </row>
        <row r="797">
          <cell r="AT797">
            <v>797</v>
          </cell>
        </row>
        <row r="798">
          <cell r="AT798">
            <v>798</v>
          </cell>
        </row>
        <row r="799">
          <cell r="AT799">
            <v>799</v>
          </cell>
        </row>
        <row r="800">
          <cell r="AT800">
            <v>800</v>
          </cell>
        </row>
        <row r="801">
          <cell r="AT801">
            <v>801</v>
          </cell>
        </row>
        <row r="802">
          <cell r="AT802">
            <v>802</v>
          </cell>
        </row>
        <row r="803">
          <cell r="AT803">
            <v>803</v>
          </cell>
        </row>
        <row r="804">
          <cell r="AT804">
            <v>804</v>
          </cell>
        </row>
        <row r="805">
          <cell r="AT805">
            <v>805</v>
          </cell>
        </row>
        <row r="806">
          <cell r="AT806">
            <v>806</v>
          </cell>
        </row>
        <row r="807">
          <cell r="AT807">
            <v>807</v>
          </cell>
        </row>
        <row r="808">
          <cell r="AT808">
            <v>808</v>
          </cell>
        </row>
        <row r="809">
          <cell r="AT809">
            <v>809</v>
          </cell>
        </row>
        <row r="810">
          <cell r="AT810">
            <v>810</v>
          </cell>
        </row>
        <row r="811">
          <cell r="AT811">
            <v>811</v>
          </cell>
        </row>
        <row r="812">
          <cell r="AT812">
            <v>812</v>
          </cell>
        </row>
        <row r="813">
          <cell r="AT813">
            <v>813</v>
          </cell>
        </row>
        <row r="814">
          <cell r="AT814">
            <v>814</v>
          </cell>
        </row>
        <row r="815">
          <cell r="AT815">
            <v>815</v>
          </cell>
        </row>
        <row r="816">
          <cell r="AT816">
            <v>816</v>
          </cell>
        </row>
        <row r="817">
          <cell r="AT817">
            <v>817</v>
          </cell>
        </row>
        <row r="818">
          <cell r="AT818">
            <v>818</v>
          </cell>
        </row>
        <row r="819">
          <cell r="AT819">
            <v>819</v>
          </cell>
        </row>
        <row r="820">
          <cell r="AT820">
            <v>820</v>
          </cell>
        </row>
        <row r="821">
          <cell r="AT821">
            <v>821</v>
          </cell>
        </row>
        <row r="822">
          <cell r="AT822">
            <v>822</v>
          </cell>
        </row>
        <row r="823">
          <cell r="AT823">
            <v>823</v>
          </cell>
        </row>
        <row r="824">
          <cell r="AT824">
            <v>824</v>
          </cell>
        </row>
        <row r="825">
          <cell r="AT825">
            <v>825</v>
          </cell>
        </row>
        <row r="826">
          <cell r="AT826">
            <v>826</v>
          </cell>
        </row>
        <row r="827">
          <cell r="AT827">
            <v>827</v>
          </cell>
        </row>
        <row r="828">
          <cell r="AT828">
            <v>828</v>
          </cell>
        </row>
        <row r="829">
          <cell r="AT829">
            <v>829</v>
          </cell>
        </row>
        <row r="830">
          <cell r="AT830">
            <v>830</v>
          </cell>
        </row>
        <row r="831">
          <cell r="AT831">
            <v>831</v>
          </cell>
        </row>
        <row r="832">
          <cell r="AT832">
            <v>832</v>
          </cell>
        </row>
        <row r="833">
          <cell r="AT833">
            <v>833</v>
          </cell>
        </row>
        <row r="834">
          <cell r="AT834">
            <v>834</v>
          </cell>
        </row>
        <row r="835">
          <cell r="AT835">
            <v>835</v>
          </cell>
        </row>
        <row r="836">
          <cell r="AT836">
            <v>836</v>
          </cell>
        </row>
        <row r="837">
          <cell r="AT837">
            <v>837</v>
          </cell>
        </row>
        <row r="838">
          <cell r="AT838">
            <v>838</v>
          </cell>
        </row>
        <row r="839">
          <cell r="AT839">
            <v>839</v>
          </cell>
        </row>
        <row r="840">
          <cell r="AT840">
            <v>840</v>
          </cell>
        </row>
        <row r="841">
          <cell r="AT841">
            <v>841</v>
          </cell>
        </row>
        <row r="842">
          <cell r="AT842">
            <v>842</v>
          </cell>
        </row>
        <row r="843">
          <cell r="AT843">
            <v>843</v>
          </cell>
        </row>
        <row r="844">
          <cell r="AT844">
            <v>844</v>
          </cell>
        </row>
        <row r="845">
          <cell r="AT845">
            <v>845</v>
          </cell>
        </row>
        <row r="846">
          <cell r="AT846">
            <v>846</v>
          </cell>
        </row>
        <row r="847">
          <cell r="AT847">
            <v>847</v>
          </cell>
        </row>
        <row r="848">
          <cell r="AT848">
            <v>848</v>
          </cell>
        </row>
        <row r="849">
          <cell r="AT849">
            <v>849</v>
          </cell>
        </row>
        <row r="850">
          <cell r="AT850">
            <v>850</v>
          </cell>
        </row>
        <row r="851">
          <cell r="AT851">
            <v>851</v>
          </cell>
        </row>
        <row r="852">
          <cell r="AT852">
            <v>852</v>
          </cell>
        </row>
        <row r="853">
          <cell r="AT853">
            <v>853</v>
          </cell>
        </row>
        <row r="854">
          <cell r="AT854">
            <v>854</v>
          </cell>
        </row>
        <row r="855">
          <cell r="AT855">
            <v>855</v>
          </cell>
        </row>
        <row r="856">
          <cell r="AT856">
            <v>856</v>
          </cell>
        </row>
        <row r="857">
          <cell r="AT857">
            <v>857</v>
          </cell>
        </row>
        <row r="858">
          <cell r="AT858">
            <v>858</v>
          </cell>
        </row>
        <row r="859">
          <cell r="AT859">
            <v>859</v>
          </cell>
        </row>
        <row r="860">
          <cell r="AT860">
            <v>860</v>
          </cell>
        </row>
        <row r="861">
          <cell r="AT861">
            <v>861</v>
          </cell>
        </row>
        <row r="862">
          <cell r="AT862">
            <v>862</v>
          </cell>
        </row>
        <row r="863">
          <cell r="AT863">
            <v>863</v>
          </cell>
        </row>
        <row r="864">
          <cell r="AT864">
            <v>864</v>
          </cell>
        </row>
        <row r="865">
          <cell r="AT865">
            <v>865</v>
          </cell>
        </row>
        <row r="866">
          <cell r="AT866">
            <v>866</v>
          </cell>
        </row>
        <row r="867">
          <cell r="AT867">
            <v>867</v>
          </cell>
        </row>
        <row r="868">
          <cell r="AT868">
            <v>868</v>
          </cell>
        </row>
        <row r="869">
          <cell r="AT869">
            <v>869</v>
          </cell>
        </row>
        <row r="870">
          <cell r="AT870">
            <v>870</v>
          </cell>
        </row>
        <row r="871">
          <cell r="AT871">
            <v>871</v>
          </cell>
        </row>
        <row r="872">
          <cell r="AT872">
            <v>872</v>
          </cell>
        </row>
        <row r="873">
          <cell r="AT873">
            <v>873</v>
          </cell>
        </row>
        <row r="874">
          <cell r="AT874">
            <v>874</v>
          </cell>
        </row>
        <row r="875">
          <cell r="AT875">
            <v>875</v>
          </cell>
        </row>
        <row r="876">
          <cell r="AT876">
            <v>876</v>
          </cell>
        </row>
        <row r="877">
          <cell r="AT877">
            <v>877</v>
          </cell>
        </row>
        <row r="878">
          <cell r="AT878">
            <v>878</v>
          </cell>
        </row>
        <row r="879">
          <cell r="AT879">
            <v>879</v>
          </cell>
        </row>
        <row r="880">
          <cell r="AT880">
            <v>880</v>
          </cell>
        </row>
        <row r="881">
          <cell r="AT881">
            <v>881</v>
          </cell>
        </row>
        <row r="882">
          <cell r="AT882">
            <v>882</v>
          </cell>
        </row>
        <row r="883">
          <cell r="AT883">
            <v>883</v>
          </cell>
        </row>
        <row r="884">
          <cell r="AT884">
            <v>884</v>
          </cell>
        </row>
        <row r="885">
          <cell r="AT885">
            <v>885</v>
          </cell>
        </row>
        <row r="886">
          <cell r="AT886">
            <v>886</v>
          </cell>
        </row>
        <row r="887">
          <cell r="AT887">
            <v>887</v>
          </cell>
        </row>
        <row r="888">
          <cell r="AT888">
            <v>888</v>
          </cell>
        </row>
        <row r="889">
          <cell r="AT889">
            <v>889</v>
          </cell>
        </row>
        <row r="890">
          <cell r="AT890">
            <v>890</v>
          </cell>
        </row>
        <row r="891">
          <cell r="AT891">
            <v>891</v>
          </cell>
        </row>
        <row r="892">
          <cell r="AT892">
            <v>892</v>
          </cell>
        </row>
        <row r="893">
          <cell r="AT893">
            <v>893</v>
          </cell>
        </row>
        <row r="894">
          <cell r="AT894">
            <v>894</v>
          </cell>
        </row>
        <row r="895">
          <cell r="AT895">
            <v>895</v>
          </cell>
        </row>
        <row r="896">
          <cell r="AT896">
            <v>896</v>
          </cell>
        </row>
        <row r="897">
          <cell r="AT897">
            <v>897</v>
          </cell>
        </row>
        <row r="898">
          <cell r="AT898">
            <v>898</v>
          </cell>
        </row>
        <row r="899">
          <cell r="AT899">
            <v>899</v>
          </cell>
        </row>
        <row r="900">
          <cell r="AT900">
            <v>900</v>
          </cell>
        </row>
        <row r="901">
          <cell r="AT901">
            <v>901</v>
          </cell>
        </row>
        <row r="902">
          <cell r="AT902">
            <v>902</v>
          </cell>
        </row>
        <row r="903">
          <cell r="AT903">
            <v>903</v>
          </cell>
        </row>
        <row r="904">
          <cell r="AT904">
            <v>904</v>
          </cell>
        </row>
        <row r="905">
          <cell r="AT905">
            <v>905</v>
          </cell>
        </row>
        <row r="906">
          <cell r="AT906">
            <v>906</v>
          </cell>
        </row>
        <row r="907">
          <cell r="AT907">
            <v>907</v>
          </cell>
        </row>
        <row r="908">
          <cell r="AT908">
            <v>908</v>
          </cell>
        </row>
        <row r="909">
          <cell r="AT909">
            <v>909</v>
          </cell>
        </row>
        <row r="910">
          <cell r="AT910">
            <v>910</v>
          </cell>
        </row>
        <row r="911">
          <cell r="AT911">
            <v>911</v>
          </cell>
        </row>
        <row r="912">
          <cell r="AT912">
            <v>912</v>
          </cell>
        </row>
        <row r="913">
          <cell r="AT913">
            <v>913</v>
          </cell>
        </row>
        <row r="914">
          <cell r="AT914">
            <v>914</v>
          </cell>
        </row>
        <row r="915">
          <cell r="AT915">
            <v>915</v>
          </cell>
        </row>
        <row r="916">
          <cell r="AT916">
            <v>916</v>
          </cell>
        </row>
        <row r="917">
          <cell r="AT917">
            <v>917</v>
          </cell>
        </row>
        <row r="918">
          <cell r="AT918">
            <v>918</v>
          </cell>
        </row>
        <row r="919">
          <cell r="AT919">
            <v>919</v>
          </cell>
        </row>
        <row r="920">
          <cell r="AT920">
            <v>920</v>
          </cell>
        </row>
        <row r="921">
          <cell r="AT921">
            <v>921</v>
          </cell>
        </row>
        <row r="922">
          <cell r="AT922">
            <v>922</v>
          </cell>
        </row>
        <row r="923">
          <cell r="AT923">
            <v>923</v>
          </cell>
        </row>
        <row r="924">
          <cell r="AT924">
            <v>924</v>
          </cell>
        </row>
        <row r="925">
          <cell r="AT925">
            <v>925</v>
          </cell>
        </row>
        <row r="926">
          <cell r="AT926">
            <v>926</v>
          </cell>
        </row>
        <row r="927">
          <cell r="AT927">
            <v>927</v>
          </cell>
        </row>
        <row r="928">
          <cell r="AT928">
            <v>928</v>
          </cell>
        </row>
        <row r="929">
          <cell r="AT929">
            <v>929</v>
          </cell>
        </row>
        <row r="930">
          <cell r="AT930">
            <v>930</v>
          </cell>
        </row>
        <row r="931">
          <cell r="AT931">
            <v>931</v>
          </cell>
        </row>
        <row r="932">
          <cell r="AT932">
            <v>932</v>
          </cell>
        </row>
        <row r="933">
          <cell r="AT933">
            <v>933</v>
          </cell>
        </row>
        <row r="934">
          <cell r="AT934">
            <v>934</v>
          </cell>
        </row>
        <row r="935">
          <cell r="AT935">
            <v>935</v>
          </cell>
        </row>
        <row r="936">
          <cell r="AT936">
            <v>936</v>
          </cell>
        </row>
        <row r="937">
          <cell r="AT937">
            <v>937</v>
          </cell>
        </row>
        <row r="938">
          <cell r="AT938">
            <v>938</v>
          </cell>
        </row>
        <row r="939">
          <cell r="AT939">
            <v>939</v>
          </cell>
        </row>
        <row r="940">
          <cell r="AT940">
            <v>940</v>
          </cell>
        </row>
        <row r="941">
          <cell r="AT941">
            <v>941</v>
          </cell>
        </row>
        <row r="942">
          <cell r="AT942">
            <v>942</v>
          </cell>
        </row>
        <row r="943">
          <cell r="AT943">
            <v>943</v>
          </cell>
        </row>
        <row r="944">
          <cell r="AT944">
            <v>944</v>
          </cell>
        </row>
        <row r="945">
          <cell r="AT945">
            <v>945</v>
          </cell>
        </row>
        <row r="946">
          <cell r="AT946">
            <v>946</v>
          </cell>
        </row>
        <row r="947">
          <cell r="AT947">
            <v>947</v>
          </cell>
        </row>
        <row r="948">
          <cell r="AT948">
            <v>948</v>
          </cell>
        </row>
        <row r="949">
          <cell r="AT949">
            <v>949</v>
          </cell>
        </row>
        <row r="950">
          <cell r="AT950">
            <v>950</v>
          </cell>
        </row>
        <row r="951">
          <cell r="AT951">
            <v>951</v>
          </cell>
        </row>
        <row r="952">
          <cell r="AT952">
            <v>952</v>
          </cell>
        </row>
        <row r="953">
          <cell r="AT953">
            <v>953</v>
          </cell>
        </row>
        <row r="954">
          <cell r="AT954">
            <v>954</v>
          </cell>
        </row>
        <row r="955">
          <cell r="AT955">
            <v>955</v>
          </cell>
        </row>
        <row r="956">
          <cell r="AT956">
            <v>956</v>
          </cell>
        </row>
        <row r="957">
          <cell r="AT957">
            <v>957</v>
          </cell>
        </row>
        <row r="958">
          <cell r="AT958">
            <v>958</v>
          </cell>
        </row>
        <row r="959">
          <cell r="AT959">
            <v>959</v>
          </cell>
        </row>
        <row r="960">
          <cell r="AT960">
            <v>960</v>
          </cell>
        </row>
        <row r="961">
          <cell r="AT961">
            <v>961</v>
          </cell>
        </row>
        <row r="962">
          <cell r="AT962">
            <v>962</v>
          </cell>
        </row>
        <row r="963">
          <cell r="AT963">
            <v>963</v>
          </cell>
        </row>
        <row r="964">
          <cell r="AT964">
            <v>964</v>
          </cell>
        </row>
        <row r="965">
          <cell r="AT965">
            <v>965</v>
          </cell>
        </row>
        <row r="966">
          <cell r="AT966">
            <v>966</v>
          </cell>
        </row>
        <row r="967">
          <cell r="AT967">
            <v>967</v>
          </cell>
        </row>
        <row r="968">
          <cell r="AT968">
            <v>968</v>
          </cell>
        </row>
        <row r="969">
          <cell r="AT969">
            <v>969</v>
          </cell>
        </row>
        <row r="970">
          <cell r="AT970">
            <v>970</v>
          </cell>
        </row>
        <row r="971">
          <cell r="AT971">
            <v>971</v>
          </cell>
        </row>
        <row r="972">
          <cell r="AT972">
            <v>972</v>
          </cell>
        </row>
        <row r="973">
          <cell r="AT973">
            <v>973</v>
          </cell>
        </row>
        <row r="974">
          <cell r="AT974">
            <v>974</v>
          </cell>
        </row>
        <row r="975">
          <cell r="AT975">
            <v>975</v>
          </cell>
        </row>
        <row r="976">
          <cell r="AT976">
            <v>976</v>
          </cell>
        </row>
        <row r="977">
          <cell r="AT977">
            <v>977</v>
          </cell>
        </row>
        <row r="978">
          <cell r="AT978">
            <v>978</v>
          </cell>
        </row>
        <row r="979">
          <cell r="AT979">
            <v>979</v>
          </cell>
        </row>
        <row r="980">
          <cell r="AT980">
            <v>980</v>
          </cell>
        </row>
        <row r="981">
          <cell r="AT981">
            <v>981</v>
          </cell>
        </row>
        <row r="982">
          <cell r="AT982">
            <v>982</v>
          </cell>
        </row>
        <row r="983">
          <cell r="AT983">
            <v>983</v>
          </cell>
        </row>
        <row r="984">
          <cell r="AT984">
            <v>984</v>
          </cell>
        </row>
        <row r="985">
          <cell r="AT985">
            <v>985</v>
          </cell>
        </row>
        <row r="986">
          <cell r="AT986">
            <v>986</v>
          </cell>
        </row>
        <row r="987">
          <cell r="AT987">
            <v>987</v>
          </cell>
        </row>
        <row r="988">
          <cell r="AT988">
            <v>988</v>
          </cell>
        </row>
        <row r="989">
          <cell r="AT989">
            <v>989</v>
          </cell>
        </row>
        <row r="990">
          <cell r="AT990">
            <v>990</v>
          </cell>
        </row>
        <row r="991">
          <cell r="AT991">
            <v>991</v>
          </cell>
        </row>
        <row r="992">
          <cell r="AT992">
            <v>992</v>
          </cell>
        </row>
        <row r="993">
          <cell r="AT993">
            <v>993</v>
          </cell>
        </row>
        <row r="994">
          <cell r="AT994">
            <v>994</v>
          </cell>
        </row>
        <row r="995">
          <cell r="AT995">
            <v>995</v>
          </cell>
        </row>
        <row r="996">
          <cell r="AT996">
            <v>996</v>
          </cell>
        </row>
        <row r="997">
          <cell r="AT997">
            <v>997</v>
          </cell>
        </row>
        <row r="998">
          <cell r="AT998">
            <v>998</v>
          </cell>
        </row>
        <row r="999">
          <cell r="AT999">
            <v>999</v>
          </cell>
        </row>
        <row r="1000">
          <cell r="AT1000">
            <v>1000</v>
          </cell>
        </row>
        <row r="1001">
          <cell r="AT1001">
            <v>1001</v>
          </cell>
        </row>
        <row r="1002">
          <cell r="AT1002">
            <v>1002</v>
          </cell>
        </row>
        <row r="1003">
          <cell r="AT1003">
            <v>1003</v>
          </cell>
        </row>
        <row r="1004">
          <cell r="AT1004">
            <v>1004</v>
          </cell>
        </row>
        <row r="1005">
          <cell r="AT1005">
            <v>1005</v>
          </cell>
        </row>
        <row r="1006">
          <cell r="AT1006">
            <v>1006</v>
          </cell>
        </row>
        <row r="1007">
          <cell r="AT1007">
            <v>1007</v>
          </cell>
        </row>
        <row r="1008">
          <cell r="AT1008">
            <v>1008</v>
          </cell>
        </row>
        <row r="1009">
          <cell r="AT1009">
            <v>1009</v>
          </cell>
        </row>
        <row r="1010">
          <cell r="AT1010">
            <v>1010</v>
          </cell>
        </row>
        <row r="1011">
          <cell r="AT1011">
            <v>1011</v>
          </cell>
        </row>
        <row r="1012">
          <cell r="AT1012">
            <v>1012</v>
          </cell>
        </row>
        <row r="1013">
          <cell r="AT1013">
            <v>1013</v>
          </cell>
        </row>
        <row r="1014">
          <cell r="AT1014">
            <v>1014</v>
          </cell>
        </row>
        <row r="1015">
          <cell r="AT1015">
            <v>1015</v>
          </cell>
        </row>
        <row r="1016">
          <cell r="AT1016">
            <v>1016</v>
          </cell>
        </row>
        <row r="1017">
          <cell r="AT1017">
            <v>1017</v>
          </cell>
        </row>
        <row r="1018">
          <cell r="AT1018">
            <v>1018</v>
          </cell>
        </row>
        <row r="1019">
          <cell r="AT1019">
            <v>1019</v>
          </cell>
        </row>
        <row r="1020">
          <cell r="AT1020">
            <v>1020</v>
          </cell>
        </row>
        <row r="1021">
          <cell r="AT1021">
            <v>1021</v>
          </cell>
        </row>
        <row r="1022">
          <cell r="AT1022">
            <v>1022</v>
          </cell>
        </row>
        <row r="1023">
          <cell r="AT1023">
            <v>1023</v>
          </cell>
        </row>
        <row r="1024">
          <cell r="AT1024">
            <v>1024</v>
          </cell>
        </row>
        <row r="1025">
          <cell r="AT1025">
            <v>1025</v>
          </cell>
        </row>
        <row r="1026">
          <cell r="AT1026">
            <v>1026</v>
          </cell>
        </row>
        <row r="1027">
          <cell r="AT1027">
            <v>1027</v>
          </cell>
        </row>
        <row r="1028">
          <cell r="AT1028">
            <v>1028</v>
          </cell>
        </row>
        <row r="1029">
          <cell r="AT1029">
            <v>1029</v>
          </cell>
        </row>
        <row r="1030">
          <cell r="AT1030">
            <v>1030</v>
          </cell>
        </row>
        <row r="1031">
          <cell r="AT1031">
            <v>1031</v>
          </cell>
        </row>
        <row r="1032">
          <cell r="AT1032">
            <v>1032</v>
          </cell>
        </row>
        <row r="1033">
          <cell r="AT1033">
            <v>1033</v>
          </cell>
        </row>
        <row r="1034">
          <cell r="AT1034">
            <v>1034</v>
          </cell>
        </row>
        <row r="1035">
          <cell r="AT1035">
            <v>1035</v>
          </cell>
        </row>
        <row r="1036">
          <cell r="AT1036">
            <v>1036</v>
          </cell>
        </row>
        <row r="1037">
          <cell r="AT1037">
            <v>1037</v>
          </cell>
        </row>
        <row r="1038">
          <cell r="AT1038">
            <v>1038</v>
          </cell>
        </row>
        <row r="1039">
          <cell r="AT1039">
            <v>1039</v>
          </cell>
        </row>
        <row r="1040">
          <cell r="AT1040">
            <v>1040</v>
          </cell>
        </row>
        <row r="1041">
          <cell r="AT1041">
            <v>1041</v>
          </cell>
        </row>
        <row r="1042">
          <cell r="AT1042">
            <v>1042</v>
          </cell>
        </row>
        <row r="1043">
          <cell r="AT1043">
            <v>1043</v>
          </cell>
        </row>
        <row r="1044">
          <cell r="AT1044">
            <v>1044</v>
          </cell>
        </row>
        <row r="1045">
          <cell r="AT1045">
            <v>1045</v>
          </cell>
        </row>
        <row r="1046">
          <cell r="AT1046">
            <v>1046</v>
          </cell>
        </row>
        <row r="1047">
          <cell r="AT1047">
            <v>1047</v>
          </cell>
        </row>
        <row r="1048">
          <cell r="AT1048">
            <v>1048</v>
          </cell>
        </row>
        <row r="1049">
          <cell r="AT1049">
            <v>1049</v>
          </cell>
        </row>
        <row r="1050">
          <cell r="AT1050">
            <v>1050</v>
          </cell>
        </row>
        <row r="1051">
          <cell r="AT1051">
            <v>1051</v>
          </cell>
        </row>
        <row r="1052">
          <cell r="AT1052">
            <v>1052</v>
          </cell>
        </row>
        <row r="1053">
          <cell r="AT1053">
            <v>1053</v>
          </cell>
        </row>
        <row r="1054">
          <cell r="AT1054">
            <v>1054</v>
          </cell>
        </row>
        <row r="1055">
          <cell r="AT1055">
            <v>1055</v>
          </cell>
        </row>
        <row r="1056">
          <cell r="AT1056">
            <v>1056</v>
          </cell>
        </row>
        <row r="1057">
          <cell r="AT1057">
            <v>1057</v>
          </cell>
        </row>
        <row r="1058">
          <cell r="AT1058">
            <v>1058</v>
          </cell>
        </row>
        <row r="1059">
          <cell r="AT1059">
            <v>1059</v>
          </cell>
        </row>
        <row r="1060">
          <cell r="AT1060">
            <v>1060</v>
          </cell>
        </row>
        <row r="1061">
          <cell r="AT1061">
            <v>1061</v>
          </cell>
        </row>
        <row r="1062">
          <cell r="AT1062">
            <v>1062</v>
          </cell>
        </row>
        <row r="1063">
          <cell r="AT1063">
            <v>1063</v>
          </cell>
        </row>
        <row r="1064">
          <cell r="AT1064">
            <v>1064</v>
          </cell>
        </row>
        <row r="1065">
          <cell r="AT1065">
            <v>1065</v>
          </cell>
        </row>
        <row r="1066">
          <cell r="AT1066">
            <v>1066</v>
          </cell>
        </row>
        <row r="1067">
          <cell r="AT1067">
            <v>1067</v>
          </cell>
        </row>
        <row r="1068">
          <cell r="AT1068">
            <v>1068</v>
          </cell>
        </row>
        <row r="1069">
          <cell r="AT1069">
            <v>1069</v>
          </cell>
        </row>
        <row r="1070">
          <cell r="AT1070">
            <v>1070</v>
          </cell>
        </row>
        <row r="1071">
          <cell r="AT1071">
            <v>1071</v>
          </cell>
        </row>
        <row r="1072">
          <cell r="AT1072">
            <v>1072</v>
          </cell>
        </row>
        <row r="1073">
          <cell r="AT1073">
            <v>1073</v>
          </cell>
        </row>
        <row r="1074">
          <cell r="AT1074">
            <v>1074</v>
          </cell>
        </row>
        <row r="1075">
          <cell r="AT1075">
            <v>1075</v>
          </cell>
        </row>
        <row r="1076">
          <cell r="AT1076">
            <v>1076</v>
          </cell>
        </row>
        <row r="1077">
          <cell r="AT1077">
            <v>1077</v>
          </cell>
        </row>
        <row r="1078">
          <cell r="AT1078">
            <v>1078</v>
          </cell>
        </row>
        <row r="1079">
          <cell r="AT1079">
            <v>1079</v>
          </cell>
        </row>
        <row r="1080">
          <cell r="AT1080">
            <v>1080</v>
          </cell>
        </row>
        <row r="1081">
          <cell r="AT1081">
            <v>1081</v>
          </cell>
        </row>
        <row r="1082">
          <cell r="AT1082">
            <v>1082</v>
          </cell>
        </row>
        <row r="1083">
          <cell r="AT1083">
            <v>1083</v>
          </cell>
        </row>
        <row r="1084">
          <cell r="AT1084">
            <v>1084</v>
          </cell>
        </row>
        <row r="1085">
          <cell r="AT1085">
            <v>1085</v>
          </cell>
        </row>
        <row r="1086">
          <cell r="AT1086">
            <v>1086</v>
          </cell>
        </row>
        <row r="1087">
          <cell r="AT1087">
            <v>1087</v>
          </cell>
        </row>
        <row r="1088">
          <cell r="AT1088">
            <v>1088</v>
          </cell>
        </row>
        <row r="1089">
          <cell r="AT1089">
            <v>1089</v>
          </cell>
        </row>
        <row r="1090">
          <cell r="AT1090">
            <v>1090</v>
          </cell>
        </row>
        <row r="1091">
          <cell r="AT1091">
            <v>1091</v>
          </cell>
        </row>
        <row r="1092">
          <cell r="AT1092">
            <v>1092</v>
          </cell>
        </row>
        <row r="1093">
          <cell r="AT1093">
            <v>1093</v>
          </cell>
        </row>
        <row r="1094">
          <cell r="AT1094">
            <v>1094</v>
          </cell>
        </row>
        <row r="1095">
          <cell r="AT1095">
            <v>1095</v>
          </cell>
        </row>
        <row r="1096">
          <cell r="AT1096">
            <v>1096</v>
          </cell>
        </row>
        <row r="1097">
          <cell r="AT1097">
            <v>1097</v>
          </cell>
        </row>
        <row r="1098">
          <cell r="AT1098">
            <v>1098</v>
          </cell>
        </row>
        <row r="1099">
          <cell r="AT1099">
            <v>1099</v>
          </cell>
        </row>
        <row r="1100">
          <cell r="AT1100">
            <v>1100</v>
          </cell>
        </row>
        <row r="1101">
          <cell r="AT1101">
            <v>1101</v>
          </cell>
        </row>
        <row r="1102">
          <cell r="AT1102">
            <v>1102</v>
          </cell>
        </row>
        <row r="1103">
          <cell r="AT1103">
            <v>1103</v>
          </cell>
        </row>
        <row r="1104">
          <cell r="AT1104">
            <v>1104</v>
          </cell>
        </row>
        <row r="1105">
          <cell r="AT1105">
            <v>1105</v>
          </cell>
        </row>
        <row r="1106">
          <cell r="AT1106">
            <v>1106</v>
          </cell>
        </row>
        <row r="1107">
          <cell r="AT1107">
            <v>1107</v>
          </cell>
        </row>
        <row r="1108">
          <cell r="AT1108">
            <v>1108</v>
          </cell>
        </row>
        <row r="1109">
          <cell r="AT1109">
            <v>1109</v>
          </cell>
        </row>
        <row r="1110">
          <cell r="AT1110">
            <v>1110</v>
          </cell>
        </row>
        <row r="1111">
          <cell r="AT1111">
            <v>1111</v>
          </cell>
        </row>
        <row r="1112">
          <cell r="AT1112">
            <v>1112</v>
          </cell>
        </row>
        <row r="1113">
          <cell r="AT1113">
            <v>1113</v>
          </cell>
        </row>
        <row r="1114">
          <cell r="AT1114">
            <v>1114</v>
          </cell>
        </row>
        <row r="1115">
          <cell r="AT1115">
            <v>1115</v>
          </cell>
        </row>
        <row r="1116">
          <cell r="AT1116">
            <v>1116</v>
          </cell>
        </row>
        <row r="1117">
          <cell r="AT1117">
            <v>1117</v>
          </cell>
        </row>
        <row r="1118">
          <cell r="AT1118">
            <v>1118</v>
          </cell>
        </row>
        <row r="1119">
          <cell r="AT1119">
            <v>1119</v>
          </cell>
        </row>
        <row r="1120">
          <cell r="AT1120">
            <v>1120</v>
          </cell>
        </row>
        <row r="1121">
          <cell r="AT1121">
            <v>1121</v>
          </cell>
        </row>
        <row r="1122">
          <cell r="AT1122">
            <v>1122</v>
          </cell>
        </row>
        <row r="1123">
          <cell r="AT1123">
            <v>1123</v>
          </cell>
        </row>
        <row r="1124">
          <cell r="AT1124">
            <v>1124</v>
          </cell>
        </row>
        <row r="1125">
          <cell r="AT1125">
            <v>1125</v>
          </cell>
        </row>
        <row r="1126">
          <cell r="AT1126">
            <v>1126</v>
          </cell>
        </row>
        <row r="1127">
          <cell r="AT1127">
            <v>1127</v>
          </cell>
        </row>
        <row r="1128">
          <cell r="AT1128">
            <v>1128</v>
          </cell>
        </row>
        <row r="1129">
          <cell r="AT1129">
            <v>1129</v>
          </cell>
        </row>
        <row r="1130">
          <cell r="AT1130">
            <v>1130</v>
          </cell>
        </row>
        <row r="1131">
          <cell r="AT1131">
            <v>1131</v>
          </cell>
        </row>
        <row r="1132">
          <cell r="AT1132">
            <v>1132</v>
          </cell>
        </row>
        <row r="1133">
          <cell r="AT1133">
            <v>1133</v>
          </cell>
        </row>
        <row r="1134">
          <cell r="AT1134">
            <v>1134</v>
          </cell>
        </row>
        <row r="1135">
          <cell r="AT1135">
            <v>1135</v>
          </cell>
        </row>
        <row r="1136">
          <cell r="AT1136">
            <v>1136</v>
          </cell>
        </row>
        <row r="1137">
          <cell r="AT1137">
            <v>1137</v>
          </cell>
        </row>
        <row r="1138">
          <cell r="AT1138">
            <v>1138</v>
          </cell>
        </row>
        <row r="1139">
          <cell r="AT1139">
            <v>1139</v>
          </cell>
        </row>
        <row r="1140">
          <cell r="AT1140">
            <v>1140</v>
          </cell>
        </row>
        <row r="1141">
          <cell r="AT1141">
            <v>1141</v>
          </cell>
        </row>
        <row r="1142">
          <cell r="AT1142">
            <v>1142</v>
          </cell>
        </row>
        <row r="1143">
          <cell r="AT1143">
            <v>1143</v>
          </cell>
        </row>
        <row r="1144">
          <cell r="AT1144">
            <v>1144</v>
          </cell>
        </row>
        <row r="1145">
          <cell r="AT1145">
            <v>1145</v>
          </cell>
        </row>
        <row r="1146">
          <cell r="AT1146">
            <v>1146</v>
          </cell>
        </row>
        <row r="1147">
          <cell r="AT1147">
            <v>1147</v>
          </cell>
        </row>
        <row r="1148">
          <cell r="AT1148">
            <v>1148</v>
          </cell>
        </row>
        <row r="1149">
          <cell r="AT1149">
            <v>1149</v>
          </cell>
        </row>
        <row r="1150">
          <cell r="AT1150">
            <v>1150</v>
          </cell>
        </row>
        <row r="1151">
          <cell r="AT1151">
            <v>1151</v>
          </cell>
        </row>
        <row r="1152">
          <cell r="AT1152">
            <v>1152</v>
          </cell>
        </row>
        <row r="1153">
          <cell r="AT1153">
            <v>1153</v>
          </cell>
        </row>
        <row r="1154">
          <cell r="AT1154">
            <v>1154</v>
          </cell>
        </row>
        <row r="1155">
          <cell r="AT1155">
            <v>1155</v>
          </cell>
        </row>
        <row r="1156">
          <cell r="AT1156">
            <v>1156</v>
          </cell>
        </row>
        <row r="1157">
          <cell r="AT1157">
            <v>1157</v>
          </cell>
        </row>
        <row r="1158">
          <cell r="AT1158">
            <v>1158</v>
          </cell>
        </row>
        <row r="1159">
          <cell r="AT1159">
            <v>1159</v>
          </cell>
        </row>
        <row r="1160">
          <cell r="AT1160">
            <v>1160</v>
          </cell>
        </row>
        <row r="1161">
          <cell r="AT1161">
            <v>1161</v>
          </cell>
        </row>
        <row r="1162">
          <cell r="AT1162">
            <v>1162</v>
          </cell>
        </row>
        <row r="1163">
          <cell r="AT1163">
            <v>1163</v>
          </cell>
        </row>
        <row r="1164">
          <cell r="AT1164">
            <v>1164</v>
          </cell>
        </row>
        <row r="1165">
          <cell r="AT1165">
            <v>1165</v>
          </cell>
        </row>
        <row r="1166">
          <cell r="AT1166">
            <v>1166</v>
          </cell>
        </row>
        <row r="1167">
          <cell r="AT1167">
            <v>1167</v>
          </cell>
        </row>
        <row r="1168">
          <cell r="AT1168">
            <v>1168</v>
          </cell>
        </row>
        <row r="1169">
          <cell r="AT1169">
            <v>1169</v>
          </cell>
        </row>
        <row r="1170">
          <cell r="AT1170">
            <v>1170</v>
          </cell>
        </row>
        <row r="1171">
          <cell r="AT1171">
            <v>1171</v>
          </cell>
        </row>
        <row r="1172">
          <cell r="AT1172">
            <v>1172</v>
          </cell>
        </row>
        <row r="1173">
          <cell r="AT1173">
            <v>1173</v>
          </cell>
        </row>
        <row r="1174">
          <cell r="AT1174">
            <v>1174</v>
          </cell>
        </row>
        <row r="1175">
          <cell r="AT1175">
            <v>1175</v>
          </cell>
        </row>
        <row r="1176">
          <cell r="AT1176">
            <v>1176</v>
          </cell>
        </row>
        <row r="1177">
          <cell r="AT1177">
            <v>1177</v>
          </cell>
        </row>
        <row r="1178">
          <cell r="AT1178">
            <v>1178</v>
          </cell>
        </row>
        <row r="1179">
          <cell r="AT1179">
            <v>1179</v>
          </cell>
        </row>
        <row r="1180">
          <cell r="AT1180">
            <v>1180</v>
          </cell>
        </row>
        <row r="1181">
          <cell r="AT1181">
            <v>1181</v>
          </cell>
        </row>
        <row r="1182">
          <cell r="AT1182">
            <v>1182</v>
          </cell>
        </row>
        <row r="1183">
          <cell r="AT1183">
            <v>1183</v>
          </cell>
        </row>
        <row r="1184">
          <cell r="AT1184">
            <v>1184</v>
          </cell>
        </row>
        <row r="1185">
          <cell r="AT1185">
            <v>1185</v>
          </cell>
        </row>
        <row r="1186">
          <cell r="AT1186">
            <v>1186</v>
          </cell>
        </row>
        <row r="1187">
          <cell r="AT1187">
            <v>1187</v>
          </cell>
        </row>
        <row r="1188">
          <cell r="AT1188">
            <v>1188</v>
          </cell>
        </row>
        <row r="1189">
          <cell r="AT1189">
            <v>1189</v>
          </cell>
        </row>
        <row r="1190">
          <cell r="AT1190">
            <v>1190</v>
          </cell>
        </row>
        <row r="1191">
          <cell r="AT1191">
            <v>1191</v>
          </cell>
        </row>
        <row r="1192">
          <cell r="AT1192">
            <v>1192</v>
          </cell>
        </row>
        <row r="1193">
          <cell r="AT1193">
            <v>1193</v>
          </cell>
        </row>
        <row r="1194">
          <cell r="AT1194">
            <v>1194</v>
          </cell>
        </row>
        <row r="1195">
          <cell r="AT1195">
            <v>1195</v>
          </cell>
        </row>
        <row r="1196">
          <cell r="AT1196">
            <v>1196</v>
          </cell>
        </row>
        <row r="1197">
          <cell r="AT1197">
            <v>1197</v>
          </cell>
        </row>
        <row r="1198">
          <cell r="AT1198">
            <v>1198</v>
          </cell>
        </row>
        <row r="1199">
          <cell r="AT1199">
            <v>1199</v>
          </cell>
        </row>
        <row r="1200">
          <cell r="AT1200">
            <v>1200</v>
          </cell>
        </row>
        <row r="1201">
          <cell r="AT1201">
            <v>1201</v>
          </cell>
        </row>
        <row r="1202">
          <cell r="AT1202">
            <v>1202</v>
          </cell>
        </row>
        <row r="1203">
          <cell r="AT1203">
            <v>1203</v>
          </cell>
        </row>
        <row r="1204">
          <cell r="AT1204">
            <v>1204</v>
          </cell>
        </row>
        <row r="1205">
          <cell r="AT1205">
            <v>1205</v>
          </cell>
        </row>
        <row r="1206">
          <cell r="AT1206">
            <v>1206</v>
          </cell>
        </row>
        <row r="1207">
          <cell r="AT1207">
            <v>1207</v>
          </cell>
        </row>
        <row r="1208">
          <cell r="AT1208">
            <v>1208</v>
          </cell>
        </row>
        <row r="1209">
          <cell r="AT1209">
            <v>1209</v>
          </cell>
        </row>
        <row r="1210">
          <cell r="AT1210">
            <v>1210</v>
          </cell>
        </row>
        <row r="1211">
          <cell r="AT1211">
            <v>1211</v>
          </cell>
        </row>
        <row r="1212">
          <cell r="AT1212">
            <v>1212</v>
          </cell>
        </row>
        <row r="1213">
          <cell r="AT1213">
            <v>1213</v>
          </cell>
        </row>
        <row r="1214">
          <cell r="AT1214">
            <v>1214</v>
          </cell>
        </row>
        <row r="1215">
          <cell r="AT1215">
            <v>1215</v>
          </cell>
        </row>
        <row r="1216">
          <cell r="AT1216">
            <v>1216</v>
          </cell>
        </row>
        <row r="1217">
          <cell r="AT1217">
            <v>1217</v>
          </cell>
        </row>
        <row r="1218">
          <cell r="AT1218">
            <v>1218</v>
          </cell>
        </row>
        <row r="1219">
          <cell r="AT1219">
            <v>1219</v>
          </cell>
        </row>
        <row r="1220">
          <cell r="AT1220">
            <v>1220</v>
          </cell>
        </row>
        <row r="1221">
          <cell r="AT1221">
            <v>1221</v>
          </cell>
        </row>
        <row r="1222">
          <cell r="AT1222">
            <v>1222</v>
          </cell>
        </row>
        <row r="1223">
          <cell r="AT1223">
            <v>1223</v>
          </cell>
        </row>
        <row r="1224">
          <cell r="AT1224">
            <v>1224</v>
          </cell>
        </row>
        <row r="1225">
          <cell r="AT1225">
            <v>1225</v>
          </cell>
        </row>
        <row r="1226">
          <cell r="AT1226">
            <v>1226</v>
          </cell>
        </row>
        <row r="1227">
          <cell r="AT1227">
            <v>1227</v>
          </cell>
        </row>
        <row r="1228">
          <cell r="AT1228">
            <v>1228</v>
          </cell>
        </row>
        <row r="1229">
          <cell r="AT1229">
            <v>1229</v>
          </cell>
        </row>
        <row r="1230">
          <cell r="AT1230">
            <v>1230</v>
          </cell>
        </row>
        <row r="1231">
          <cell r="AT1231">
            <v>1231</v>
          </cell>
        </row>
        <row r="1232">
          <cell r="AT1232">
            <v>1232</v>
          </cell>
        </row>
        <row r="1233">
          <cell r="AT1233">
            <v>1233</v>
          </cell>
        </row>
        <row r="1234">
          <cell r="AT1234">
            <v>1234</v>
          </cell>
        </row>
        <row r="1235">
          <cell r="AT1235">
            <v>1235</v>
          </cell>
        </row>
        <row r="1236">
          <cell r="AT1236">
            <v>1236</v>
          </cell>
        </row>
        <row r="1237">
          <cell r="AT1237">
            <v>1237</v>
          </cell>
        </row>
        <row r="1238">
          <cell r="AT1238">
            <v>1238</v>
          </cell>
        </row>
        <row r="1239">
          <cell r="AT1239">
            <v>1239</v>
          </cell>
        </row>
        <row r="1240">
          <cell r="AT1240">
            <v>1240</v>
          </cell>
        </row>
        <row r="1241">
          <cell r="AT1241">
            <v>1241</v>
          </cell>
        </row>
        <row r="1242">
          <cell r="AT1242">
            <v>1242</v>
          </cell>
        </row>
        <row r="1243">
          <cell r="AT1243">
            <v>1243</v>
          </cell>
        </row>
        <row r="1244">
          <cell r="AT1244">
            <v>1244</v>
          </cell>
        </row>
        <row r="1245">
          <cell r="AT1245">
            <v>1245</v>
          </cell>
        </row>
        <row r="1246">
          <cell r="AT1246">
            <v>1246</v>
          </cell>
        </row>
        <row r="1247">
          <cell r="AT1247">
            <v>1247</v>
          </cell>
        </row>
        <row r="1248">
          <cell r="AT1248">
            <v>1248</v>
          </cell>
        </row>
        <row r="1249">
          <cell r="AT1249">
            <v>1249</v>
          </cell>
        </row>
        <row r="1250">
          <cell r="AT1250">
            <v>1250</v>
          </cell>
        </row>
        <row r="1251">
          <cell r="AT1251">
            <v>1251</v>
          </cell>
        </row>
        <row r="1252">
          <cell r="AT1252">
            <v>1252</v>
          </cell>
        </row>
        <row r="1253">
          <cell r="AT1253">
            <v>1253</v>
          </cell>
        </row>
        <row r="1254">
          <cell r="AT1254">
            <v>1254</v>
          </cell>
        </row>
        <row r="1255">
          <cell r="AT1255">
            <v>1255</v>
          </cell>
        </row>
        <row r="1256">
          <cell r="AT1256">
            <v>1256</v>
          </cell>
        </row>
        <row r="1257">
          <cell r="AT1257">
            <v>1257</v>
          </cell>
        </row>
        <row r="1258">
          <cell r="AT1258">
            <v>1258</v>
          </cell>
        </row>
        <row r="1259">
          <cell r="AT1259">
            <v>1259</v>
          </cell>
        </row>
        <row r="1260">
          <cell r="AT1260">
            <v>1260</v>
          </cell>
        </row>
        <row r="1261">
          <cell r="AT1261">
            <v>1261</v>
          </cell>
        </row>
        <row r="1262">
          <cell r="AT1262">
            <v>1262</v>
          </cell>
        </row>
        <row r="1263">
          <cell r="AT1263">
            <v>1263</v>
          </cell>
        </row>
        <row r="1264">
          <cell r="AT1264">
            <v>1264</v>
          </cell>
        </row>
        <row r="1265">
          <cell r="AT1265">
            <v>1265</v>
          </cell>
        </row>
        <row r="1266">
          <cell r="AT1266">
            <v>1266</v>
          </cell>
        </row>
        <row r="1267">
          <cell r="AT1267">
            <v>1267</v>
          </cell>
        </row>
        <row r="1268">
          <cell r="AT1268">
            <v>1268</v>
          </cell>
        </row>
        <row r="1269">
          <cell r="AT1269">
            <v>1269</v>
          </cell>
        </row>
        <row r="1270">
          <cell r="AT1270">
            <v>1270</v>
          </cell>
        </row>
        <row r="1271">
          <cell r="AT1271">
            <v>1271</v>
          </cell>
        </row>
        <row r="1272">
          <cell r="AT1272">
            <v>1272</v>
          </cell>
        </row>
        <row r="1273">
          <cell r="AT1273">
            <v>1273</v>
          </cell>
        </row>
        <row r="1274">
          <cell r="AT1274">
            <v>1274</v>
          </cell>
        </row>
        <row r="1275">
          <cell r="AT1275">
            <v>1275</v>
          </cell>
        </row>
        <row r="1276">
          <cell r="AT1276">
            <v>1276</v>
          </cell>
        </row>
        <row r="1277">
          <cell r="AT1277">
            <v>1277</v>
          </cell>
        </row>
        <row r="1278">
          <cell r="AT1278">
            <v>1278</v>
          </cell>
        </row>
        <row r="1279">
          <cell r="AT1279">
            <v>1279</v>
          </cell>
        </row>
        <row r="1280">
          <cell r="AT1280">
            <v>1280</v>
          </cell>
        </row>
        <row r="1281">
          <cell r="AT1281">
            <v>1281</v>
          </cell>
        </row>
        <row r="1282">
          <cell r="AT1282">
            <v>1282</v>
          </cell>
        </row>
        <row r="1283">
          <cell r="AT1283">
            <v>1283</v>
          </cell>
        </row>
        <row r="1284">
          <cell r="AT1284">
            <v>1284</v>
          </cell>
        </row>
        <row r="1285">
          <cell r="AT1285">
            <v>1285</v>
          </cell>
        </row>
        <row r="1286">
          <cell r="AT1286">
            <v>1286</v>
          </cell>
        </row>
        <row r="1287">
          <cell r="AT1287">
            <v>1287</v>
          </cell>
        </row>
        <row r="1288">
          <cell r="AT1288">
            <v>1288</v>
          </cell>
        </row>
        <row r="1289">
          <cell r="AT1289">
            <v>1289</v>
          </cell>
        </row>
        <row r="1290">
          <cell r="AT1290">
            <v>1290</v>
          </cell>
        </row>
        <row r="1291">
          <cell r="AT1291">
            <v>1291</v>
          </cell>
        </row>
        <row r="1292">
          <cell r="AT1292">
            <v>1292</v>
          </cell>
        </row>
        <row r="1293">
          <cell r="AT1293">
            <v>1293</v>
          </cell>
        </row>
        <row r="1294">
          <cell r="AT1294">
            <v>1294</v>
          </cell>
        </row>
        <row r="1295">
          <cell r="AT1295">
            <v>1295</v>
          </cell>
        </row>
        <row r="1296">
          <cell r="AT1296">
            <v>1296</v>
          </cell>
        </row>
        <row r="1297">
          <cell r="AT1297">
            <v>1297</v>
          </cell>
        </row>
        <row r="1298">
          <cell r="AT1298">
            <v>1298</v>
          </cell>
        </row>
        <row r="1299">
          <cell r="AT1299">
            <v>1299</v>
          </cell>
        </row>
        <row r="1300">
          <cell r="AT1300">
            <v>1300</v>
          </cell>
        </row>
        <row r="1301">
          <cell r="AT1301">
            <v>1301</v>
          </cell>
        </row>
        <row r="1302">
          <cell r="AT1302">
            <v>1302</v>
          </cell>
        </row>
        <row r="1303">
          <cell r="AT1303">
            <v>1303</v>
          </cell>
        </row>
        <row r="1304">
          <cell r="AT1304">
            <v>1304</v>
          </cell>
        </row>
        <row r="1305">
          <cell r="AT1305">
            <v>1305</v>
          </cell>
        </row>
        <row r="1306">
          <cell r="AT1306">
            <v>1306</v>
          </cell>
        </row>
        <row r="1307">
          <cell r="AT1307">
            <v>1307</v>
          </cell>
        </row>
        <row r="1308">
          <cell r="AT1308">
            <v>1308</v>
          </cell>
        </row>
        <row r="1309">
          <cell r="AT1309">
            <v>1309</v>
          </cell>
        </row>
        <row r="1310">
          <cell r="AT1310">
            <v>1310</v>
          </cell>
        </row>
        <row r="1311">
          <cell r="AT1311">
            <v>1311</v>
          </cell>
        </row>
        <row r="1312">
          <cell r="AT1312">
            <v>1312</v>
          </cell>
        </row>
        <row r="1313">
          <cell r="AT1313">
            <v>1313</v>
          </cell>
        </row>
        <row r="1314">
          <cell r="AT1314">
            <v>1314</v>
          </cell>
        </row>
        <row r="1315">
          <cell r="AT1315">
            <v>1315</v>
          </cell>
        </row>
        <row r="1316">
          <cell r="AT1316">
            <v>1316</v>
          </cell>
        </row>
        <row r="1317">
          <cell r="AT1317">
            <v>1317</v>
          </cell>
        </row>
        <row r="1318">
          <cell r="AT1318">
            <v>1318</v>
          </cell>
        </row>
        <row r="1319">
          <cell r="AT1319">
            <v>1319</v>
          </cell>
        </row>
        <row r="1320">
          <cell r="AT1320">
            <v>1320</v>
          </cell>
        </row>
        <row r="1321">
          <cell r="AT1321">
            <v>1321</v>
          </cell>
        </row>
        <row r="1322">
          <cell r="AT1322">
            <v>1322</v>
          </cell>
        </row>
        <row r="1323">
          <cell r="AT1323">
            <v>1323</v>
          </cell>
        </row>
        <row r="1324">
          <cell r="AT1324">
            <v>1324</v>
          </cell>
        </row>
        <row r="1325">
          <cell r="AT1325">
            <v>1325</v>
          </cell>
        </row>
        <row r="1326">
          <cell r="AT1326">
            <v>1326</v>
          </cell>
        </row>
        <row r="1327">
          <cell r="AT1327">
            <v>1327</v>
          </cell>
        </row>
        <row r="1328">
          <cell r="AT1328">
            <v>1328</v>
          </cell>
        </row>
        <row r="1329">
          <cell r="AT1329">
            <v>1329</v>
          </cell>
        </row>
        <row r="1330">
          <cell r="AT1330">
            <v>1330</v>
          </cell>
        </row>
        <row r="1331">
          <cell r="AT1331">
            <v>1331</v>
          </cell>
        </row>
        <row r="1332">
          <cell r="AT1332">
            <v>1332</v>
          </cell>
        </row>
        <row r="1333">
          <cell r="AT1333">
            <v>1333</v>
          </cell>
        </row>
        <row r="1334">
          <cell r="AT1334">
            <v>1334</v>
          </cell>
        </row>
        <row r="1335">
          <cell r="AT1335">
            <v>1335</v>
          </cell>
        </row>
        <row r="1336">
          <cell r="AT1336">
            <v>1336</v>
          </cell>
        </row>
        <row r="1337">
          <cell r="AT1337">
            <v>1337</v>
          </cell>
        </row>
        <row r="1338">
          <cell r="AT1338">
            <v>1338</v>
          </cell>
        </row>
        <row r="1339">
          <cell r="AT1339">
            <v>1339</v>
          </cell>
        </row>
        <row r="1340">
          <cell r="AT1340">
            <v>1340</v>
          </cell>
        </row>
        <row r="1341">
          <cell r="AT1341">
            <v>1341</v>
          </cell>
        </row>
        <row r="1342">
          <cell r="AT1342">
            <v>1342</v>
          </cell>
        </row>
        <row r="1343">
          <cell r="AT1343">
            <v>1343</v>
          </cell>
        </row>
        <row r="1344">
          <cell r="AT1344">
            <v>1344</v>
          </cell>
        </row>
        <row r="1345">
          <cell r="AT1345">
            <v>1345</v>
          </cell>
        </row>
        <row r="1346">
          <cell r="AT1346">
            <v>1346</v>
          </cell>
        </row>
        <row r="1347">
          <cell r="AT1347">
            <v>1347</v>
          </cell>
        </row>
        <row r="1348">
          <cell r="AT1348">
            <v>1348</v>
          </cell>
        </row>
        <row r="1349">
          <cell r="AT1349">
            <v>1349</v>
          </cell>
        </row>
        <row r="1350">
          <cell r="AT1350">
            <v>1350</v>
          </cell>
        </row>
        <row r="1351">
          <cell r="AT1351">
            <v>1351</v>
          </cell>
        </row>
        <row r="1352">
          <cell r="AT1352">
            <v>1352</v>
          </cell>
        </row>
        <row r="1353">
          <cell r="AT1353">
            <v>1353</v>
          </cell>
        </row>
        <row r="1354">
          <cell r="AT1354">
            <v>1354</v>
          </cell>
        </row>
        <row r="1355">
          <cell r="AT1355">
            <v>1355</v>
          </cell>
        </row>
        <row r="1356">
          <cell r="AT1356">
            <v>1356</v>
          </cell>
        </row>
        <row r="1357">
          <cell r="AT1357">
            <v>1357</v>
          </cell>
        </row>
        <row r="1358">
          <cell r="AT1358">
            <v>1358</v>
          </cell>
        </row>
        <row r="1359">
          <cell r="AT1359">
            <v>1359</v>
          </cell>
        </row>
        <row r="1360">
          <cell r="AT1360">
            <v>1360</v>
          </cell>
        </row>
        <row r="1361">
          <cell r="AT1361">
            <v>1361</v>
          </cell>
        </row>
        <row r="1362">
          <cell r="AT1362">
            <v>1362</v>
          </cell>
        </row>
        <row r="1363">
          <cell r="AT1363">
            <v>1363</v>
          </cell>
        </row>
        <row r="1364">
          <cell r="AT1364">
            <v>1364</v>
          </cell>
        </row>
        <row r="1365">
          <cell r="AT1365">
            <v>1365</v>
          </cell>
        </row>
        <row r="1366">
          <cell r="AT1366">
            <v>1366</v>
          </cell>
        </row>
        <row r="1367">
          <cell r="AT1367">
            <v>1367</v>
          </cell>
        </row>
        <row r="1368">
          <cell r="AT1368">
            <v>1368</v>
          </cell>
        </row>
        <row r="1369">
          <cell r="AT1369">
            <v>1369</v>
          </cell>
        </row>
        <row r="1370">
          <cell r="AT1370">
            <v>1370</v>
          </cell>
        </row>
        <row r="1371">
          <cell r="AT1371">
            <v>1371</v>
          </cell>
        </row>
        <row r="1372">
          <cell r="AT1372">
            <v>1372</v>
          </cell>
        </row>
        <row r="1373">
          <cell r="AT1373">
            <v>1373</v>
          </cell>
        </row>
        <row r="1374">
          <cell r="AT1374">
            <v>1374</v>
          </cell>
        </row>
        <row r="1375">
          <cell r="AT1375">
            <v>1375</v>
          </cell>
        </row>
        <row r="1376">
          <cell r="AT1376">
            <v>1376</v>
          </cell>
        </row>
        <row r="1377">
          <cell r="AT1377">
            <v>1377</v>
          </cell>
        </row>
        <row r="1378">
          <cell r="AT1378">
            <v>1378</v>
          </cell>
        </row>
        <row r="1379">
          <cell r="AT1379">
            <v>1379</v>
          </cell>
        </row>
        <row r="1380">
          <cell r="AT1380">
            <v>1380</v>
          </cell>
        </row>
        <row r="1381">
          <cell r="AT1381">
            <v>1381</v>
          </cell>
        </row>
        <row r="1382">
          <cell r="AT1382">
            <v>1382</v>
          </cell>
        </row>
        <row r="1383">
          <cell r="AT1383">
            <v>1383</v>
          </cell>
        </row>
        <row r="1384">
          <cell r="AT1384">
            <v>1384</v>
          </cell>
        </row>
        <row r="1385">
          <cell r="AT1385">
            <v>1385</v>
          </cell>
        </row>
        <row r="1386">
          <cell r="AT1386">
            <v>1386</v>
          </cell>
        </row>
        <row r="1387">
          <cell r="AT1387">
            <v>1387</v>
          </cell>
        </row>
        <row r="1388">
          <cell r="AT1388">
            <v>1388</v>
          </cell>
        </row>
        <row r="1389">
          <cell r="AT1389">
            <v>1389</v>
          </cell>
        </row>
        <row r="1390">
          <cell r="AT1390">
            <v>1390</v>
          </cell>
        </row>
        <row r="1391">
          <cell r="AT1391">
            <v>1391</v>
          </cell>
        </row>
        <row r="1392">
          <cell r="AT1392">
            <v>1392</v>
          </cell>
        </row>
        <row r="1393">
          <cell r="AT1393">
            <v>1393</v>
          </cell>
        </row>
        <row r="1394">
          <cell r="AT1394">
            <v>1394</v>
          </cell>
        </row>
        <row r="1395">
          <cell r="AT1395">
            <v>1395</v>
          </cell>
        </row>
        <row r="1396">
          <cell r="AT1396">
            <v>1396</v>
          </cell>
        </row>
        <row r="1397">
          <cell r="AT1397">
            <v>1397</v>
          </cell>
        </row>
        <row r="1398">
          <cell r="AT1398">
            <v>1398</v>
          </cell>
        </row>
        <row r="1399">
          <cell r="AT1399">
            <v>1399</v>
          </cell>
        </row>
        <row r="1400">
          <cell r="AT1400">
            <v>1400</v>
          </cell>
        </row>
        <row r="1401">
          <cell r="AT1401">
            <v>1401</v>
          </cell>
        </row>
        <row r="1402">
          <cell r="AT1402">
            <v>1402</v>
          </cell>
        </row>
        <row r="1403">
          <cell r="AT1403">
            <v>1403</v>
          </cell>
        </row>
        <row r="1404">
          <cell r="AT1404">
            <v>1404</v>
          </cell>
        </row>
        <row r="1405">
          <cell r="AT1405">
            <v>1405</v>
          </cell>
        </row>
        <row r="1406">
          <cell r="AT1406">
            <v>1406</v>
          </cell>
        </row>
        <row r="1407">
          <cell r="AT1407">
            <v>1407</v>
          </cell>
        </row>
        <row r="1408">
          <cell r="AT1408">
            <v>1408</v>
          </cell>
        </row>
        <row r="1409">
          <cell r="AT1409">
            <v>1409</v>
          </cell>
        </row>
        <row r="1410">
          <cell r="AT1410">
            <v>1410</v>
          </cell>
        </row>
        <row r="1411">
          <cell r="AT1411">
            <v>1411</v>
          </cell>
        </row>
        <row r="1412">
          <cell r="AT1412">
            <v>1412</v>
          </cell>
        </row>
        <row r="1413">
          <cell r="AT1413">
            <v>1413</v>
          </cell>
        </row>
        <row r="1414">
          <cell r="AT1414">
            <v>1414</v>
          </cell>
        </row>
        <row r="1415">
          <cell r="AT1415">
            <v>1415</v>
          </cell>
        </row>
        <row r="1416">
          <cell r="AT1416">
            <v>1416</v>
          </cell>
        </row>
        <row r="1417">
          <cell r="AT1417">
            <v>1417</v>
          </cell>
        </row>
        <row r="1418">
          <cell r="AT1418">
            <v>1418</v>
          </cell>
        </row>
        <row r="1419">
          <cell r="AT1419">
            <v>1419</v>
          </cell>
        </row>
        <row r="1420">
          <cell r="AT1420">
            <v>1420</v>
          </cell>
        </row>
        <row r="1421">
          <cell r="AT1421">
            <v>1421</v>
          </cell>
        </row>
        <row r="1422">
          <cell r="AT1422">
            <v>1422</v>
          </cell>
        </row>
        <row r="1423">
          <cell r="AT1423">
            <v>1423</v>
          </cell>
        </row>
        <row r="1424">
          <cell r="AT1424">
            <v>1424</v>
          </cell>
        </row>
        <row r="1425">
          <cell r="AT1425">
            <v>1425</v>
          </cell>
        </row>
        <row r="1426">
          <cell r="AT1426">
            <v>1426</v>
          </cell>
        </row>
        <row r="1427">
          <cell r="AT1427">
            <v>1427</v>
          </cell>
        </row>
        <row r="1428">
          <cell r="AT1428">
            <v>1428</v>
          </cell>
        </row>
        <row r="1429">
          <cell r="AT1429">
            <v>1429</v>
          </cell>
        </row>
        <row r="1430">
          <cell r="AT1430">
            <v>1430</v>
          </cell>
        </row>
        <row r="1431">
          <cell r="AT1431">
            <v>1431</v>
          </cell>
        </row>
        <row r="1432">
          <cell r="AT1432">
            <v>1432</v>
          </cell>
        </row>
        <row r="1433">
          <cell r="AT1433">
            <v>1433</v>
          </cell>
        </row>
        <row r="1434">
          <cell r="AT1434">
            <v>1434</v>
          </cell>
        </row>
        <row r="1435">
          <cell r="AT1435">
            <v>1435</v>
          </cell>
        </row>
        <row r="1436">
          <cell r="AT1436">
            <v>1436</v>
          </cell>
        </row>
        <row r="1437">
          <cell r="AT1437">
            <v>1437</v>
          </cell>
        </row>
        <row r="1438">
          <cell r="AT1438">
            <v>1438</v>
          </cell>
        </row>
        <row r="1439">
          <cell r="AT1439">
            <v>1439</v>
          </cell>
        </row>
        <row r="1440">
          <cell r="AT1440">
            <v>1440</v>
          </cell>
        </row>
        <row r="1441">
          <cell r="AT1441">
            <v>1441</v>
          </cell>
        </row>
        <row r="1442">
          <cell r="AT1442">
            <v>1442</v>
          </cell>
        </row>
        <row r="1443">
          <cell r="AT1443">
            <v>1443</v>
          </cell>
        </row>
        <row r="1444">
          <cell r="AT1444">
            <v>1444</v>
          </cell>
        </row>
        <row r="1445">
          <cell r="AT1445">
            <v>1445</v>
          </cell>
        </row>
        <row r="1446">
          <cell r="AT1446">
            <v>1446</v>
          </cell>
        </row>
        <row r="1447">
          <cell r="AT1447">
            <v>1447</v>
          </cell>
        </row>
        <row r="1448">
          <cell r="AT1448">
            <v>1448</v>
          </cell>
        </row>
        <row r="1449">
          <cell r="AT1449">
            <v>1449</v>
          </cell>
        </row>
        <row r="1450">
          <cell r="AT1450">
            <v>1450</v>
          </cell>
        </row>
        <row r="1451">
          <cell r="AT1451">
            <v>1451</v>
          </cell>
        </row>
        <row r="1452">
          <cell r="AT1452">
            <v>1452</v>
          </cell>
        </row>
        <row r="1453">
          <cell r="AT1453">
            <v>1453</v>
          </cell>
        </row>
        <row r="1454">
          <cell r="AT1454">
            <v>1454</v>
          </cell>
        </row>
        <row r="1455">
          <cell r="AT1455">
            <v>1455</v>
          </cell>
        </row>
        <row r="1456">
          <cell r="AT1456">
            <v>1456</v>
          </cell>
        </row>
        <row r="1457">
          <cell r="AT1457">
            <v>1457</v>
          </cell>
        </row>
        <row r="1458">
          <cell r="AT1458">
            <v>1458</v>
          </cell>
        </row>
        <row r="1459">
          <cell r="AT1459">
            <v>1459</v>
          </cell>
        </row>
        <row r="1460">
          <cell r="AT1460">
            <v>1460</v>
          </cell>
        </row>
        <row r="1461">
          <cell r="AT1461">
            <v>1461</v>
          </cell>
        </row>
        <row r="1462">
          <cell r="AT1462">
            <v>1462</v>
          </cell>
        </row>
        <row r="1463">
          <cell r="AT1463">
            <v>1463</v>
          </cell>
        </row>
        <row r="1464">
          <cell r="AT1464">
            <v>1464</v>
          </cell>
        </row>
        <row r="1465">
          <cell r="AT1465">
            <v>1465</v>
          </cell>
        </row>
        <row r="1466">
          <cell r="AT1466">
            <v>1466</v>
          </cell>
        </row>
        <row r="1467">
          <cell r="AT1467">
            <v>1467</v>
          </cell>
        </row>
        <row r="1468">
          <cell r="AT1468">
            <v>1468</v>
          </cell>
        </row>
        <row r="1469">
          <cell r="AT1469">
            <v>1469</v>
          </cell>
        </row>
        <row r="1470">
          <cell r="AT1470">
            <v>1470</v>
          </cell>
        </row>
        <row r="1471">
          <cell r="AT1471">
            <v>1471</v>
          </cell>
        </row>
        <row r="1472">
          <cell r="AT1472">
            <v>1472</v>
          </cell>
        </row>
        <row r="1473">
          <cell r="AT1473">
            <v>1473</v>
          </cell>
        </row>
        <row r="1474">
          <cell r="AT1474">
            <v>1474</v>
          </cell>
        </row>
        <row r="1475">
          <cell r="AT1475">
            <v>1475</v>
          </cell>
        </row>
        <row r="1476">
          <cell r="AT1476">
            <v>1476</v>
          </cell>
        </row>
        <row r="1477">
          <cell r="AT1477">
            <v>1477</v>
          </cell>
        </row>
        <row r="1478">
          <cell r="AT1478">
            <v>1478</v>
          </cell>
        </row>
        <row r="1479">
          <cell r="AT1479">
            <v>1479</v>
          </cell>
        </row>
        <row r="1480">
          <cell r="AT1480">
            <v>1480</v>
          </cell>
        </row>
        <row r="1481">
          <cell r="AT1481">
            <v>1481</v>
          </cell>
        </row>
        <row r="1482">
          <cell r="AT1482">
            <v>1482</v>
          </cell>
        </row>
        <row r="1483">
          <cell r="AT1483">
            <v>1483</v>
          </cell>
        </row>
        <row r="1484">
          <cell r="AT1484">
            <v>1484</v>
          </cell>
        </row>
        <row r="1485">
          <cell r="AT1485">
            <v>1485</v>
          </cell>
        </row>
        <row r="1486">
          <cell r="AT1486">
            <v>1486</v>
          </cell>
        </row>
        <row r="1487">
          <cell r="AT1487">
            <v>1487</v>
          </cell>
        </row>
        <row r="1488">
          <cell r="AT1488">
            <v>1488</v>
          </cell>
        </row>
        <row r="1489">
          <cell r="AT1489">
            <v>1489</v>
          </cell>
        </row>
        <row r="1490">
          <cell r="AT1490">
            <v>1490</v>
          </cell>
        </row>
        <row r="1491">
          <cell r="AT1491">
            <v>1491</v>
          </cell>
        </row>
        <row r="1492">
          <cell r="AT1492">
            <v>1492</v>
          </cell>
        </row>
        <row r="1493">
          <cell r="AT1493">
            <v>1493</v>
          </cell>
        </row>
        <row r="1494">
          <cell r="AT1494">
            <v>1494</v>
          </cell>
        </row>
        <row r="1495">
          <cell r="AT1495">
            <v>1495</v>
          </cell>
        </row>
        <row r="1496">
          <cell r="AT1496">
            <v>1496</v>
          </cell>
        </row>
        <row r="1497">
          <cell r="AT1497">
            <v>1497</v>
          </cell>
        </row>
        <row r="1498">
          <cell r="AT1498">
            <v>1498</v>
          </cell>
        </row>
        <row r="1499">
          <cell r="AT1499">
            <v>1499</v>
          </cell>
        </row>
        <row r="1500">
          <cell r="AT1500">
            <v>1500</v>
          </cell>
        </row>
        <row r="1501">
          <cell r="AT1501">
            <v>1501</v>
          </cell>
        </row>
        <row r="1502">
          <cell r="AT1502">
            <v>1502</v>
          </cell>
        </row>
        <row r="1503">
          <cell r="AT1503">
            <v>1503</v>
          </cell>
        </row>
        <row r="1504">
          <cell r="AT1504">
            <v>1504</v>
          </cell>
        </row>
        <row r="1505">
          <cell r="AT1505">
            <v>1505</v>
          </cell>
        </row>
        <row r="1506">
          <cell r="AT1506">
            <v>1506</v>
          </cell>
        </row>
        <row r="1507">
          <cell r="AT1507">
            <v>1507</v>
          </cell>
        </row>
        <row r="1508">
          <cell r="AT1508">
            <v>1508</v>
          </cell>
        </row>
        <row r="1509">
          <cell r="AT1509">
            <v>1509</v>
          </cell>
        </row>
        <row r="1510">
          <cell r="AT1510">
            <v>1510</v>
          </cell>
        </row>
        <row r="1511">
          <cell r="AT1511">
            <v>1511</v>
          </cell>
        </row>
        <row r="1512">
          <cell r="AT1512">
            <v>1512</v>
          </cell>
        </row>
        <row r="1513">
          <cell r="AT1513">
            <v>1513</v>
          </cell>
        </row>
        <row r="1514">
          <cell r="AT1514">
            <v>1514</v>
          </cell>
        </row>
        <row r="1515">
          <cell r="AT1515">
            <v>1515</v>
          </cell>
        </row>
        <row r="1516">
          <cell r="AT1516">
            <v>1516</v>
          </cell>
        </row>
        <row r="1517">
          <cell r="AT1517">
            <v>1517</v>
          </cell>
        </row>
        <row r="1518">
          <cell r="AT1518">
            <v>1518</v>
          </cell>
        </row>
        <row r="1519">
          <cell r="AT1519">
            <v>1519</v>
          </cell>
        </row>
        <row r="1520">
          <cell r="AT1520">
            <v>1520</v>
          </cell>
        </row>
        <row r="1521">
          <cell r="AT1521">
            <v>1521</v>
          </cell>
        </row>
        <row r="1522">
          <cell r="AT1522">
            <v>1522</v>
          </cell>
        </row>
        <row r="1523">
          <cell r="AT1523">
            <v>1523</v>
          </cell>
        </row>
        <row r="1524">
          <cell r="AT1524">
            <v>1524</v>
          </cell>
        </row>
        <row r="1525">
          <cell r="AT1525">
            <v>1525</v>
          </cell>
        </row>
        <row r="1526">
          <cell r="AT1526">
            <v>1526</v>
          </cell>
        </row>
        <row r="1527">
          <cell r="AT1527">
            <v>1527</v>
          </cell>
        </row>
        <row r="1528">
          <cell r="AT1528">
            <v>1528</v>
          </cell>
        </row>
        <row r="1529">
          <cell r="AT1529">
            <v>1529</v>
          </cell>
        </row>
        <row r="1530">
          <cell r="AT1530">
            <v>1530</v>
          </cell>
        </row>
        <row r="1531">
          <cell r="AT1531">
            <v>1531</v>
          </cell>
        </row>
        <row r="1532">
          <cell r="AT1532">
            <v>1532</v>
          </cell>
        </row>
        <row r="1533">
          <cell r="AT1533">
            <v>1533</v>
          </cell>
        </row>
        <row r="1534">
          <cell r="AT1534">
            <v>1534</v>
          </cell>
        </row>
        <row r="1535">
          <cell r="AT1535">
            <v>1535</v>
          </cell>
        </row>
        <row r="1536">
          <cell r="AT1536">
            <v>1536</v>
          </cell>
        </row>
        <row r="1537">
          <cell r="AT1537">
            <v>1537</v>
          </cell>
        </row>
        <row r="1538">
          <cell r="AT1538">
            <v>1538</v>
          </cell>
        </row>
        <row r="1539">
          <cell r="AT1539">
            <v>1539</v>
          </cell>
        </row>
        <row r="1540">
          <cell r="AT1540">
            <v>1540</v>
          </cell>
        </row>
        <row r="1541">
          <cell r="AT1541">
            <v>1541</v>
          </cell>
        </row>
        <row r="1542">
          <cell r="AT1542">
            <v>1542</v>
          </cell>
        </row>
        <row r="1543">
          <cell r="AT1543">
            <v>1543</v>
          </cell>
        </row>
        <row r="1544">
          <cell r="AT1544">
            <v>1544</v>
          </cell>
        </row>
        <row r="1545">
          <cell r="AT1545">
            <v>1545</v>
          </cell>
        </row>
        <row r="1546">
          <cell r="AT1546">
            <v>1546</v>
          </cell>
        </row>
        <row r="1547">
          <cell r="AT1547">
            <v>1547</v>
          </cell>
        </row>
        <row r="1548">
          <cell r="AT1548">
            <v>1548</v>
          </cell>
        </row>
        <row r="1549">
          <cell r="AT1549">
            <v>1549</v>
          </cell>
        </row>
        <row r="1550">
          <cell r="AT1550">
            <v>1550</v>
          </cell>
        </row>
        <row r="1551">
          <cell r="AT1551">
            <v>1551</v>
          </cell>
        </row>
        <row r="1552">
          <cell r="AT1552">
            <v>1552</v>
          </cell>
        </row>
        <row r="1553">
          <cell r="AT1553">
            <v>1553</v>
          </cell>
        </row>
        <row r="1554">
          <cell r="AT1554">
            <v>1554</v>
          </cell>
        </row>
        <row r="1555">
          <cell r="AT1555">
            <v>1555</v>
          </cell>
        </row>
        <row r="1556">
          <cell r="AT1556">
            <v>1556</v>
          </cell>
        </row>
        <row r="1557">
          <cell r="AT1557">
            <v>1557</v>
          </cell>
        </row>
        <row r="1558">
          <cell r="AT1558">
            <v>1558</v>
          </cell>
        </row>
        <row r="1559">
          <cell r="AT1559">
            <v>1559</v>
          </cell>
        </row>
        <row r="1560">
          <cell r="AT1560">
            <v>1560</v>
          </cell>
        </row>
        <row r="1561">
          <cell r="AT1561">
            <v>1561</v>
          </cell>
        </row>
        <row r="1562">
          <cell r="AT1562">
            <v>1562</v>
          </cell>
        </row>
        <row r="1563">
          <cell r="AT1563">
            <v>1563</v>
          </cell>
        </row>
        <row r="1564">
          <cell r="AT1564">
            <v>1564</v>
          </cell>
        </row>
        <row r="1565">
          <cell r="AT1565">
            <v>1565</v>
          </cell>
        </row>
        <row r="1566">
          <cell r="AT1566">
            <v>1566</v>
          </cell>
        </row>
        <row r="1567">
          <cell r="AT1567">
            <v>1567</v>
          </cell>
        </row>
        <row r="1568">
          <cell r="AT1568">
            <v>1568</v>
          </cell>
        </row>
        <row r="1569">
          <cell r="AT1569">
            <v>1569</v>
          </cell>
        </row>
        <row r="1570">
          <cell r="AT1570">
            <v>1570</v>
          </cell>
        </row>
        <row r="1571">
          <cell r="AT1571">
            <v>1571</v>
          </cell>
        </row>
        <row r="1572">
          <cell r="AT1572">
            <v>1572</v>
          </cell>
        </row>
        <row r="1573">
          <cell r="AT1573">
            <v>1573</v>
          </cell>
        </row>
        <row r="1574">
          <cell r="AT1574">
            <v>1574</v>
          </cell>
        </row>
        <row r="1575">
          <cell r="AT1575">
            <v>1575</v>
          </cell>
        </row>
        <row r="1576">
          <cell r="AT1576">
            <v>1576</v>
          </cell>
        </row>
        <row r="1577">
          <cell r="AT1577">
            <v>1577</v>
          </cell>
        </row>
        <row r="1578">
          <cell r="AT1578">
            <v>1578</v>
          </cell>
        </row>
        <row r="1579">
          <cell r="AT1579">
            <v>1579</v>
          </cell>
        </row>
        <row r="1580">
          <cell r="AT1580">
            <v>1580</v>
          </cell>
        </row>
        <row r="1581">
          <cell r="AT1581">
            <v>1581</v>
          </cell>
        </row>
        <row r="1582">
          <cell r="AT1582">
            <v>1582</v>
          </cell>
        </row>
        <row r="1583">
          <cell r="AT1583">
            <v>1583</v>
          </cell>
        </row>
        <row r="1584">
          <cell r="AT1584">
            <v>1584</v>
          </cell>
        </row>
        <row r="1585">
          <cell r="AT1585">
            <v>1585</v>
          </cell>
        </row>
        <row r="1586">
          <cell r="AT1586">
            <v>1586</v>
          </cell>
        </row>
        <row r="1587">
          <cell r="AT1587">
            <v>1587</v>
          </cell>
        </row>
        <row r="1588">
          <cell r="AT1588">
            <v>1588</v>
          </cell>
        </row>
        <row r="1589">
          <cell r="AT1589">
            <v>1589</v>
          </cell>
        </row>
        <row r="1590">
          <cell r="AT1590">
            <v>1590</v>
          </cell>
        </row>
        <row r="1591">
          <cell r="AT1591">
            <v>1591</v>
          </cell>
        </row>
        <row r="1592">
          <cell r="AT1592">
            <v>1592</v>
          </cell>
        </row>
        <row r="1593">
          <cell r="AT1593">
            <v>1593</v>
          </cell>
        </row>
        <row r="1594">
          <cell r="AT1594">
            <v>1594</v>
          </cell>
        </row>
        <row r="1595">
          <cell r="AT1595">
            <v>1595</v>
          </cell>
        </row>
        <row r="1596">
          <cell r="AT1596">
            <v>1596</v>
          </cell>
        </row>
        <row r="1597">
          <cell r="AT1597">
            <v>1597</v>
          </cell>
        </row>
        <row r="1598">
          <cell r="AT1598">
            <v>1598</v>
          </cell>
        </row>
        <row r="1599">
          <cell r="AT1599">
            <v>1599</v>
          </cell>
        </row>
        <row r="1600">
          <cell r="AT1600">
            <v>1600</v>
          </cell>
        </row>
      </sheetData>
      <sheetData sheetId="16"/>
      <sheetData sheetId="17" refreshError="1"/>
      <sheetData sheetId="18">
        <row r="1">
          <cell r="A1" t="str">
            <v>begawan5060</v>
          </cell>
        </row>
        <row r="2">
          <cell r="A2" t="str">
            <v>Jl. Melampah No. 1000, Yogyakarta</v>
          </cell>
        </row>
        <row r="4">
          <cell r="A4" t="str">
            <v>LAPORAN GAJI TAHUN 2014</v>
          </cell>
        </row>
        <row r="6">
          <cell r="A6" t="str">
            <v>JANUARI</v>
          </cell>
          <cell r="C6" t="str">
            <v>JANUARI</v>
          </cell>
        </row>
        <row r="8">
          <cell r="A8" t="str">
            <v>No</v>
          </cell>
          <cell r="B8" t="str">
            <v>N A M A</v>
          </cell>
          <cell r="C8" t="str">
            <v>N P W P</v>
          </cell>
          <cell r="D8" t="str">
            <v>ALAMAT</v>
          </cell>
          <cell r="E8" t="str">
            <v>NO. KTP</v>
          </cell>
          <cell r="F8" t="str">
            <v>KODE NEGARA</v>
          </cell>
          <cell r="G8" t="str">
            <v>JABATAN</v>
          </cell>
          <cell r="H8" t="str">
            <v>L / P</v>
          </cell>
          <cell r="I8" t="str">
            <v>Status PTKP</v>
          </cell>
          <cell r="J8" t="str">
            <v>Mulai                          ber-              NPWP</v>
          </cell>
          <cell r="K8" t="str">
            <v>Masa Kerja</v>
          </cell>
          <cell r="M8" t="str">
            <v>Penghasilan Bruto</v>
          </cell>
          <cell r="X8" t="str">
            <v>Iuran Pensiun, THT/JHT dibayar sendiri</v>
          </cell>
          <cell r="Y8" t="str">
            <v>Biaya                     Jabatan</v>
          </cell>
          <cell r="Z8" t="str">
            <v>Ph Neto setahun</v>
          </cell>
          <cell r="AA8" t="str">
            <v>Ph Neto setahun (Berhenti Kerja)</v>
          </cell>
          <cell r="AB8" t="str">
            <v>PPh yang lebih dipotong</v>
          </cell>
          <cell r="AC8" t="str">
            <v>Ph Neto setahun</v>
          </cell>
          <cell r="AD8" t="str">
            <v>Ph Kena               Pajak</v>
          </cell>
          <cell r="AE8" t="str">
            <v>PPh 21              Terutang                       (Bulanan)</v>
          </cell>
          <cell r="AF8" t="str">
            <v>PPh 21              Terutang                       (Bulanan)</v>
          </cell>
          <cell r="AG8" t="str">
            <v>PPh                                 yang harus                   / (lebih)                                        dipotong</v>
          </cell>
          <cell r="AH8" t="str">
            <v>Kompensasi PPh Bln sebelumnya</v>
          </cell>
          <cell r="AI8" t="str">
            <v>PPh                                 yang harus / (lebih)                                        dipotong</v>
          </cell>
          <cell r="AJ8" t="str">
            <v>PPh atas               Uang                   Rapel</v>
          </cell>
          <cell r="AK8" t="str">
            <v>PPh 21              Terutang                      sd. Bln Lalu</v>
          </cell>
          <cell r="AL8" t="str">
            <v>PPh yang                            telah dipotong                                 sd. Bln Lalu</v>
          </cell>
          <cell r="AM8" t="str">
            <v>berNPWP</v>
          </cell>
          <cell r="AN8" t="str">
            <v>PPh masa sebelumnya</v>
          </cell>
          <cell r="AO8" t="str">
            <v>PPh 21              Terutang                       (Bulanan)</v>
          </cell>
          <cell r="AP8" t="str">
            <v>POTONGAN</v>
          </cell>
          <cell r="AV8" t="str">
            <v>Gaji                         Dibawa               Pulang</v>
          </cell>
        </row>
        <row r="9">
          <cell r="K9" t="str">
            <v>Mulai</v>
          </cell>
          <cell r="L9" t="str">
            <v>Sd.</v>
          </cell>
          <cell r="M9" t="str">
            <v xml:space="preserve">Gaji </v>
          </cell>
          <cell r="N9" t="str">
            <v>Asuransi Dibayar Pemberi Kerja</v>
          </cell>
          <cell r="O9" t="str">
            <v>Tunjangan PPh</v>
          </cell>
          <cell r="P9" t="str">
            <v>Tantiem, Bonus, Jasa Prod, THR</v>
          </cell>
          <cell r="Q9" t="str">
            <v>Honorarium, imbalan lain sejenisnya</v>
          </cell>
          <cell r="R9" t="str">
            <v>Tunjangan Transport</v>
          </cell>
          <cell r="S9" t="str">
            <v>Uang Makan</v>
          </cell>
          <cell r="T9" t="str">
            <v>Uang Lembur, dsb</v>
          </cell>
          <cell r="U9" t="str">
            <v>Jumlah Tunj lainnya, uang lembur, dsb</v>
          </cell>
          <cell r="V9" t="str">
            <v>Uang                         Rapel</v>
          </cell>
          <cell r="W9" t="str">
            <v>Jumlah</v>
          </cell>
          <cell r="AP9" t="str">
            <v>JHT/THT/Iuran Pensiun</v>
          </cell>
          <cell r="AQ9" t="str">
            <v>JKK, JKM, JPK</v>
          </cell>
          <cell r="AR9" t="str">
            <v>PPh                  Pasal 21</v>
          </cell>
          <cell r="AS9" t="str">
            <v>Iuran Koperasi</v>
          </cell>
          <cell r="AT9" t="str">
            <v>Pinjaman BRI</v>
          </cell>
          <cell r="AU9" t="str">
            <v>Lain-lain</v>
          </cell>
        </row>
        <row r="10">
          <cell r="A10">
            <v>-1</v>
          </cell>
          <cell r="B10">
            <v>-2</v>
          </cell>
          <cell r="C10">
            <v>-3</v>
          </cell>
          <cell r="E10">
            <v>-4</v>
          </cell>
          <cell r="F10">
            <v>-5</v>
          </cell>
          <cell r="G10">
            <v>-6</v>
          </cell>
          <cell r="I10">
            <v>-7</v>
          </cell>
          <cell r="M10">
            <v>-8</v>
          </cell>
          <cell r="N10">
            <v>-9</v>
          </cell>
          <cell r="O10">
            <v>-10</v>
          </cell>
          <cell r="P10">
            <v>-11</v>
          </cell>
          <cell r="Q10">
            <v>-12</v>
          </cell>
          <cell r="R10">
            <v>-13</v>
          </cell>
          <cell r="S10">
            <v>-14</v>
          </cell>
          <cell r="T10">
            <v>-15</v>
          </cell>
          <cell r="V10">
            <v>-16</v>
          </cell>
          <cell r="W10">
            <v>-17</v>
          </cell>
          <cell r="X10">
            <v>-18</v>
          </cell>
          <cell r="AF10">
            <v>-19</v>
          </cell>
          <cell r="AG10">
            <v>-20</v>
          </cell>
          <cell r="AH10">
            <v>-21</v>
          </cell>
          <cell r="AI10">
            <v>-22</v>
          </cell>
          <cell r="AP10">
            <v>-23</v>
          </cell>
          <cell r="AQ10">
            <v>-24</v>
          </cell>
          <cell r="AR10">
            <v>-25</v>
          </cell>
          <cell r="AS10">
            <v>-26</v>
          </cell>
          <cell r="AT10">
            <v>-27</v>
          </cell>
          <cell r="AU10">
            <v>-28</v>
          </cell>
          <cell r="AV10">
            <v>-29</v>
          </cell>
        </row>
        <row r="11">
          <cell r="A11">
            <v>1</v>
          </cell>
          <cell r="B11">
            <v>0</v>
          </cell>
          <cell r="C11">
            <v>0</v>
          </cell>
          <cell r="D11" t="str">
            <v>bantul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 t="str">
            <v/>
          </cell>
          <cell r="K11" t="str">
            <v>01</v>
          </cell>
          <cell r="L11">
            <v>12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57000000</v>
          </cell>
          <cell r="AB11">
            <v>1635000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</row>
        <row r="12">
          <cell r="A12">
            <v>2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/>
          </cell>
          <cell r="K12" t="str">
            <v>01</v>
          </cell>
          <cell r="L12">
            <v>12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</row>
        <row r="13">
          <cell r="A13">
            <v>3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/>
          </cell>
          <cell r="K13" t="str">
            <v>01</v>
          </cell>
          <cell r="L13">
            <v>12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</row>
        <row r="14">
          <cell r="A14">
            <v>4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/>
          </cell>
          <cell r="K14" t="str">
            <v>01</v>
          </cell>
          <cell r="L14">
            <v>12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</row>
        <row r="15">
          <cell r="A15">
            <v>5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/>
          </cell>
          <cell r="K15" t="str">
            <v>01</v>
          </cell>
          <cell r="L15">
            <v>12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</row>
        <row r="16">
          <cell r="A16">
            <v>6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/>
          </cell>
          <cell r="K16" t="str">
            <v>01</v>
          </cell>
          <cell r="L16">
            <v>12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</row>
        <row r="17">
          <cell r="A17">
            <v>7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/>
          </cell>
          <cell r="K17" t="str">
            <v>01</v>
          </cell>
          <cell r="L17">
            <v>12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</row>
        <row r="18">
          <cell r="A18">
            <v>8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/>
          </cell>
          <cell r="K18" t="str">
            <v>01</v>
          </cell>
          <cell r="L18">
            <v>12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</row>
        <row r="19">
          <cell r="A19">
            <v>9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/>
          </cell>
          <cell r="K19" t="str">
            <v>01</v>
          </cell>
          <cell r="L19">
            <v>12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</row>
        <row r="20">
          <cell r="A20">
            <v>10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/>
          </cell>
          <cell r="K20" t="str">
            <v>01</v>
          </cell>
          <cell r="L20">
            <v>12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</row>
        <row r="21">
          <cell r="A21">
            <v>11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/>
          </cell>
          <cell r="K21" t="str">
            <v>01</v>
          </cell>
          <cell r="L21">
            <v>12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</row>
        <row r="22">
          <cell r="A22">
            <v>12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/>
          </cell>
          <cell r="K22" t="str">
            <v>01</v>
          </cell>
          <cell r="L22">
            <v>12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</row>
        <row r="23">
          <cell r="A23">
            <v>13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/>
          </cell>
          <cell r="K23" t="str">
            <v>01</v>
          </cell>
          <cell r="L23">
            <v>12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</row>
        <row r="24">
          <cell r="A24">
            <v>14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/>
          </cell>
          <cell r="K24" t="str">
            <v>01</v>
          </cell>
          <cell r="L24">
            <v>12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</row>
        <row r="25">
          <cell r="A25">
            <v>15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/>
          </cell>
          <cell r="K25" t="str">
            <v>01</v>
          </cell>
          <cell r="L25">
            <v>12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</row>
        <row r="26">
          <cell r="A26">
            <v>16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/>
          </cell>
          <cell r="K26" t="str">
            <v>01</v>
          </cell>
          <cell r="L26">
            <v>12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</row>
        <row r="27">
          <cell r="A27">
            <v>17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/>
          </cell>
          <cell r="K27" t="str">
            <v>01</v>
          </cell>
          <cell r="L27">
            <v>12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</row>
        <row r="28">
          <cell r="A28">
            <v>18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/>
          </cell>
          <cell r="K28" t="str">
            <v>01</v>
          </cell>
          <cell r="L28">
            <v>12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</row>
        <row r="29">
          <cell r="A29">
            <v>19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/>
          </cell>
          <cell r="K29" t="str">
            <v>01</v>
          </cell>
          <cell r="L29">
            <v>12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</row>
        <row r="30">
          <cell r="A30">
            <v>20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/>
          </cell>
          <cell r="K30" t="str">
            <v>01</v>
          </cell>
          <cell r="L30">
            <v>12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</row>
        <row r="31">
          <cell r="A31">
            <v>21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/>
          </cell>
          <cell r="K31" t="str">
            <v>01</v>
          </cell>
          <cell r="L31">
            <v>12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</row>
        <row r="32">
          <cell r="A32">
            <v>22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/>
          </cell>
          <cell r="K32" t="str">
            <v>01</v>
          </cell>
          <cell r="L32">
            <v>12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</row>
        <row r="33">
          <cell r="A33">
            <v>23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/>
          </cell>
          <cell r="K33" t="str">
            <v>01</v>
          </cell>
          <cell r="L33">
            <v>12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</row>
        <row r="34">
          <cell r="A34">
            <v>24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 t="str">
            <v/>
          </cell>
          <cell r="K34" t="str">
            <v>01</v>
          </cell>
          <cell r="L34">
            <v>12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</row>
        <row r="35">
          <cell r="A35">
            <v>25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 t="str">
            <v/>
          </cell>
          <cell r="K35" t="str">
            <v>01</v>
          </cell>
          <cell r="L35">
            <v>12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</row>
        <row r="36">
          <cell r="A36">
            <v>26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 t="str">
            <v/>
          </cell>
          <cell r="K36" t="str">
            <v>01</v>
          </cell>
          <cell r="L36">
            <v>12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</row>
        <row r="37">
          <cell r="A37">
            <v>27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 t="str">
            <v/>
          </cell>
          <cell r="K37" t="str">
            <v>01</v>
          </cell>
          <cell r="L37">
            <v>12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</row>
        <row r="38">
          <cell r="A38">
            <v>28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 t="str">
            <v/>
          </cell>
          <cell r="K38" t="str">
            <v>01</v>
          </cell>
          <cell r="L38">
            <v>12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</row>
        <row r="39">
          <cell r="A39">
            <v>29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 t="str">
            <v/>
          </cell>
          <cell r="K39" t="str">
            <v>01</v>
          </cell>
          <cell r="L39">
            <v>12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</row>
        <row r="40">
          <cell r="A40">
            <v>30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 t="str">
            <v/>
          </cell>
          <cell r="K40" t="str">
            <v>01</v>
          </cell>
          <cell r="L40">
            <v>12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</row>
        <row r="41">
          <cell r="A41">
            <v>31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 t="str">
            <v/>
          </cell>
          <cell r="K41" t="str">
            <v>01</v>
          </cell>
          <cell r="L41">
            <v>12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</row>
        <row r="42">
          <cell r="A42">
            <v>32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 t="str">
            <v/>
          </cell>
          <cell r="K42" t="str">
            <v>01</v>
          </cell>
          <cell r="L42">
            <v>12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</row>
        <row r="43">
          <cell r="A43">
            <v>33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 t="str">
            <v/>
          </cell>
          <cell r="K43" t="str">
            <v>01</v>
          </cell>
          <cell r="L43">
            <v>12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</row>
        <row r="44">
          <cell r="A44">
            <v>34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 t="str">
            <v/>
          </cell>
          <cell r="K44" t="str">
            <v>01</v>
          </cell>
          <cell r="L44">
            <v>12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</row>
        <row r="45">
          <cell r="A45">
            <v>35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 t="str">
            <v/>
          </cell>
          <cell r="K45" t="str">
            <v>01</v>
          </cell>
          <cell r="L45">
            <v>12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</row>
        <row r="46">
          <cell r="A46">
            <v>36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 t="str">
            <v/>
          </cell>
          <cell r="K46" t="str">
            <v>01</v>
          </cell>
          <cell r="L46">
            <v>12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</row>
        <row r="47">
          <cell r="A47">
            <v>37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 t="str">
            <v/>
          </cell>
          <cell r="K47" t="str">
            <v>01</v>
          </cell>
          <cell r="L47">
            <v>12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</row>
        <row r="48">
          <cell r="A48">
            <v>38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 t="str">
            <v/>
          </cell>
          <cell r="K48" t="str">
            <v>01</v>
          </cell>
          <cell r="L48">
            <v>12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</row>
        <row r="49">
          <cell r="A49">
            <v>39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 t="str">
            <v/>
          </cell>
          <cell r="K49" t="str">
            <v>01</v>
          </cell>
          <cell r="L49">
            <v>12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</row>
        <row r="50">
          <cell r="A50">
            <v>40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 t="str">
            <v/>
          </cell>
          <cell r="K50" t="str">
            <v>01</v>
          </cell>
          <cell r="L50">
            <v>12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</row>
        <row r="51">
          <cell r="A51">
            <v>41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 t="str">
            <v/>
          </cell>
          <cell r="K51" t="str">
            <v>01</v>
          </cell>
          <cell r="L51">
            <v>12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</row>
        <row r="52">
          <cell r="A52">
            <v>42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 t="str">
            <v/>
          </cell>
          <cell r="K52" t="str">
            <v>01</v>
          </cell>
          <cell r="L52">
            <v>12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</row>
        <row r="53">
          <cell r="A53">
            <v>43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/>
          </cell>
          <cell r="K53" t="str">
            <v>01</v>
          </cell>
          <cell r="L53">
            <v>12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</row>
        <row r="54">
          <cell r="A54">
            <v>44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/>
          </cell>
          <cell r="K54" t="str">
            <v>01</v>
          </cell>
          <cell r="L54">
            <v>12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</row>
        <row r="55">
          <cell r="A55">
            <v>45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/>
          </cell>
          <cell r="K55" t="str">
            <v>01</v>
          </cell>
          <cell r="L55">
            <v>12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</row>
        <row r="56">
          <cell r="A56">
            <v>46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/>
          </cell>
          <cell r="K56" t="str">
            <v>01</v>
          </cell>
          <cell r="L56">
            <v>12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</row>
        <row r="57">
          <cell r="A57">
            <v>47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/>
          </cell>
          <cell r="K57" t="str">
            <v>01</v>
          </cell>
          <cell r="L57">
            <v>12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</row>
        <row r="58">
          <cell r="A58">
            <v>48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/>
          </cell>
          <cell r="K58" t="str">
            <v>01</v>
          </cell>
          <cell r="L58">
            <v>12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</row>
        <row r="59">
          <cell r="A59">
            <v>49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/>
          </cell>
          <cell r="K59" t="str">
            <v>01</v>
          </cell>
          <cell r="L59">
            <v>12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</row>
        <row r="60">
          <cell r="A60">
            <v>50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/>
          </cell>
          <cell r="K60" t="str">
            <v>01</v>
          </cell>
          <cell r="L60">
            <v>12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</row>
        <row r="61">
          <cell r="A61">
            <v>51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/>
          </cell>
          <cell r="K61" t="str">
            <v>01</v>
          </cell>
          <cell r="L61">
            <v>12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</row>
        <row r="62">
          <cell r="A62">
            <v>52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/>
          </cell>
          <cell r="K62" t="str">
            <v>01</v>
          </cell>
          <cell r="L62">
            <v>12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</row>
        <row r="63">
          <cell r="A63">
            <v>53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 t="str">
            <v/>
          </cell>
          <cell r="K63" t="str">
            <v>01</v>
          </cell>
          <cell r="L63">
            <v>12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</row>
        <row r="64">
          <cell r="A64">
            <v>54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 t="str">
            <v/>
          </cell>
          <cell r="K64" t="str">
            <v>01</v>
          </cell>
          <cell r="L64">
            <v>12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</row>
        <row r="65">
          <cell r="A65">
            <v>55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 t="str">
            <v/>
          </cell>
          <cell r="K65" t="str">
            <v>01</v>
          </cell>
          <cell r="L65">
            <v>12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</row>
        <row r="66">
          <cell r="A66">
            <v>56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 t="str">
            <v/>
          </cell>
          <cell r="K66" t="str">
            <v>01</v>
          </cell>
          <cell r="L66">
            <v>12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</row>
        <row r="67">
          <cell r="A67">
            <v>57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 t="str">
            <v/>
          </cell>
          <cell r="K67" t="str">
            <v>01</v>
          </cell>
          <cell r="L67">
            <v>12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</row>
        <row r="68">
          <cell r="A68">
            <v>58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 t="str">
            <v/>
          </cell>
          <cell r="K68" t="str">
            <v>01</v>
          </cell>
          <cell r="L68">
            <v>12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</row>
        <row r="69">
          <cell r="A69">
            <v>59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 t="str">
            <v/>
          </cell>
          <cell r="K69" t="str">
            <v>01</v>
          </cell>
          <cell r="L69">
            <v>12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</row>
        <row r="70">
          <cell r="A70">
            <v>60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 t="str">
            <v/>
          </cell>
          <cell r="K70" t="str">
            <v>01</v>
          </cell>
          <cell r="L70">
            <v>12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</row>
        <row r="71">
          <cell r="A71">
            <v>61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 t="str">
            <v/>
          </cell>
          <cell r="K71" t="str">
            <v>01</v>
          </cell>
          <cell r="L71">
            <v>12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</row>
        <row r="72">
          <cell r="A72">
            <v>62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 t="str">
            <v/>
          </cell>
          <cell r="K72" t="str">
            <v>01</v>
          </cell>
          <cell r="L72">
            <v>12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</row>
        <row r="73">
          <cell r="A73">
            <v>63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 t="str">
            <v/>
          </cell>
          <cell r="K73" t="str">
            <v>01</v>
          </cell>
          <cell r="L73">
            <v>12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</row>
        <row r="74">
          <cell r="A74">
            <v>64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 t="str">
            <v/>
          </cell>
          <cell r="K74" t="str">
            <v>01</v>
          </cell>
          <cell r="L74">
            <v>12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</row>
        <row r="75">
          <cell r="A75">
            <v>65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 t="str">
            <v/>
          </cell>
          <cell r="K75" t="str">
            <v>01</v>
          </cell>
          <cell r="L75">
            <v>12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</row>
        <row r="76">
          <cell r="A76">
            <v>66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 t="str">
            <v/>
          </cell>
          <cell r="K76" t="str">
            <v>01</v>
          </cell>
          <cell r="L76">
            <v>12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</row>
        <row r="77">
          <cell r="A77">
            <v>67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 t="str">
            <v/>
          </cell>
          <cell r="K77" t="str">
            <v>01</v>
          </cell>
          <cell r="L77">
            <v>12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</row>
        <row r="78">
          <cell r="A78">
            <v>68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 t="str">
            <v/>
          </cell>
          <cell r="K78" t="str">
            <v>01</v>
          </cell>
          <cell r="L78">
            <v>12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</row>
        <row r="79">
          <cell r="A79">
            <v>69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 t="str">
            <v/>
          </cell>
          <cell r="K79" t="str">
            <v>01</v>
          </cell>
          <cell r="L79">
            <v>12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</row>
        <row r="80">
          <cell r="A80">
            <v>70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 t="str">
            <v/>
          </cell>
          <cell r="K80" t="str">
            <v>01</v>
          </cell>
          <cell r="L80">
            <v>12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</row>
        <row r="81">
          <cell r="A81">
            <v>71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 t="str">
            <v/>
          </cell>
          <cell r="K81" t="str">
            <v>01</v>
          </cell>
          <cell r="L81">
            <v>12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</row>
        <row r="82">
          <cell r="A82">
            <v>72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 t="str">
            <v/>
          </cell>
          <cell r="K82" t="str">
            <v>01</v>
          </cell>
          <cell r="L82">
            <v>12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</row>
        <row r="83">
          <cell r="A83">
            <v>73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 t="str">
            <v/>
          </cell>
          <cell r="K83" t="str">
            <v>01</v>
          </cell>
          <cell r="L83">
            <v>12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</row>
        <row r="84">
          <cell r="A84">
            <v>74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 t="str">
            <v/>
          </cell>
          <cell r="K84" t="str">
            <v>01</v>
          </cell>
          <cell r="L84">
            <v>12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</row>
        <row r="85">
          <cell r="A85">
            <v>75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 t="str">
            <v/>
          </cell>
          <cell r="K85" t="str">
            <v>01</v>
          </cell>
          <cell r="L85">
            <v>12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</row>
        <row r="86">
          <cell r="A86">
            <v>76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 t="str">
            <v/>
          </cell>
          <cell r="K86" t="str">
            <v>01</v>
          </cell>
          <cell r="L86">
            <v>12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</row>
        <row r="87">
          <cell r="A87">
            <v>77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 t="str">
            <v/>
          </cell>
          <cell r="K87" t="str">
            <v>01</v>
          </cell>
          <cell r="L87">
            <v>12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</row>
        <row r="88">
          <cell r="A88">
            <v>78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 t="str">
            <v/>
          </cell>
          <cell r="K88" t="str">
            <v>01</v>
          </cell>
          <cell r="L88">
            <v>12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</row>
        <row r="89">
          <cell r="A89">
            <v>79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 t="str">
            <v/>
          </cell>
          <cell r="K89" t="str">
            <v>01</v>
          </cell>
          <cell r="L89">
            <v>12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</row>
        <row r="90">
          <cell r="A90">
            <v>80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 t="str">
            <v/>
          </cell>
          <cell r="K90" t="str">
            <v>01</v>
          </cell>
          <cell r="L90">
            <v>12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</row>
        <row r="91">
          <cell r="A91">
            <v>81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 t="str">
            <v/>
          </cell>
          <cell r="K91" t="str">
            <v>01</v>
          </cell>
          <cell r="L91">
            <v>12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</row>
        <row r="92">
          <cell r="A92">
            <v>82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 t="str">
            <v/>
          </cell>
          <cell r="K92" t="str">
            <v>01</v>
          </cell>
          <cell r="L92">
            <v>12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</row>
        <row r="93">
          <cell r="A93">
            <v>83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 t="str">
            <v/>
          </cell>
          <cell r="K93" t="str">
            <v>01</v>
          </cell>
          <cell r="L93">
            <v>12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</row>
        <row r="94">
          <cell r="A94">
            <v>84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 t="str">
            <v/>
          </cell>
          <cell r="K94" t="str">
            <v>01</v>
          </cell>
          <cell r="L94">
            <v>12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</row>
        <row r="95">
          <cell r="A95">
            <v>85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 t="str">
            <v/>
          </cell>
          <cell r="K95" t="str">
            <v>01</v>
          </cell>
          <cell r="L95">
            <v>12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</row>
        <row r="96">
          <cell r="A96">
            <v>86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 t="str">
            <v/>
          </cell>
          <cell r="K96" t="str">
            <v>01</v>
          </cell>
          <cell r="L96">
            <v>12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</row>
        <row r="97">
          <cell r="A97">
            <v>87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 t="str">
            <v/>
          </cell>
          <cell r="K97" t="str">
            <v>01</v>
          </cell>
          <cell r="L97">
            <v>12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</row>
        <row r="98">
          <cell r="A98">
            <v>88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 t="str">
            <v/>
          </cell>
          <cell r="K98" t="str">
            <v>01</v>
          </cell>
          <cell r="L98">
            <v>12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</row>
        <row r="99">
          <cell r="A99">
            <v>89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 t="str">
            <v/>
          </cell>
          <cell r="K99" t="str">
            <v>01</v>
          </cell>
          <cell r="L99">
            <v>12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</row>
        <row r="100">
          <cell r="A100">
            <v>90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 t="str">
            <v/>
          </cell>
          <cell r="K100" t="str">
            <v>01</v>
          </cell>
          <cell r="L100">
            <v>12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</row>
        <row r="101">
          <cell r="A101">
            <v>91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 t="str">
            <v/>
          </cell>
          <cell r="K101" t="str">
            <v>01</v>
          </cell>
          <cell r="L101">
            <v>12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</row>
        <row r="102">
          <cell r="A102">
            <v>92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 t="str">
            <v/>
          </cell>
          <cell r="K102" t="str">
            <v>01</v>
          </cell>
          <cell r="L102">
            <v>12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</row>
        <row r="103">
          <cell r="A103">
            <v>93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 t="str">
            <v/>
          </cell>
          <cell r="K103" t="str">
            <v>01</v>
          </cell>
          <cell r="L103">
            <v>12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</row>
        <row r="104">
          <cell r="A104">
            <v>94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 t="str">
            <v/>
          </cell>
          <cell r="K104" t="str">
            <v>01</v>
          </cell>
          <cell r="L104">
            <v>12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</row>
        <row r="105">
          <cell r="A105">
            <v>95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 t="str">
            <v/>
          </cell>
          <cell r="K105" t="str">
            <v>01</v>
          </cell>
          <cell r="L105">
            <v>12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</row>
        <row r="106">
          <cell r="A106">
            <v>96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 t="str">
            <v/>
          </cell>
          <cell r="K106" t="str">
            <v>01</v>
          </cell>
          <cell r="L106">
            <v>12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</row>
        <row r="107">
          <cell r="A107">
            <v>97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 t="str">
            <v/>
          </cell>
          <cell r="K107" t="str">
            <v>01</v>
          </cell>
          <cell r="L107">
            <v>12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</row>
        <row r="108">
          <cell r="A108">
            <v>98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 t="str">
            <v/>
          </cell>
          <cell r="K108" t="str">
            <v>01</v>
          </cell>
          <cell r="L108">
            <v>12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</row>
        <row r="109">
          <cell r="A109">
            <v>99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 t="str">
            <v/>
          </cell>
          <cell r="K109" t="str">
            <v>01</v>
          </cell>
          <cell r="L109">
            <v>12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</row>
        <row r="110">
          <cell r="A110">
            <v>100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 t="str">
            <v/>
          </cell>
          <cell r="K110" t="str">
            <v>01</v>
          </cell>
          <cell r="L110">
            <v>12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</row>
        <row r="111">
          <cell r="A111">
            <v>101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 t="str">
            <v/>
          </cell>
          <cell r="K111" t="str">
            <v>01</v>
          </cell>
          <cell r="L111">
            <v>12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</row>
        <row r="112">
          <cell r="A112">
            <v>102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 t="str">
            <v/>
          </cell>
          <cell r="K112" t="str">
            <v>01</v>
          </cell>
          <cell r="L112">
            <v>12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</row>
        <row r="113">
          <cell r="A113">
            <v>103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 t="str">
            <v/>
          </cell>
          <cell r="K113" t="str">
            <v>01</v>
          </cell>
          <cell r="L113">
            <v>12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</row>
        <row r="114">
          <cell r="A114">
            <v>104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 t="str">
            <v/>
          </cell>
          <cell r="K114" t="str">
            <v>01</v>
          </cell>
          <cell r="L114">
            <v>12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</row>
        <row r="115">
          <cell r="A115">
            <v>105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 t="str">
            <v/>
          </cell>
          <cell r="K115" t="str">
            <v>01</v>
          </cell>
          <cell r="L115">
            <v>12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</row>
        <row r="116">
          <cell r="A116">
            <v>106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 t="str">
            <v/>
          </cell>
          <cell r="K116" t="str">
            <v>01</v>
          </cell>
          <cell r="L116">
            <v>12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</row>
        <row r="117">
          <cell r="A117">
            <v>107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 t="str">
            <v/>
          </cell>
          <cell r="K117" t="str">
            <v>01</v>
          </cell>
          <cell r="L117">
            <v>12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</row>
        <row r="118">
          <cell r="A118">
            <v>108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 t="str">
            <v/>
          </cell>
          <cell r="K118" t="str">
            <v>01</v>
          </cell>
          <cell r="L118">
            <v>12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</row>
        <row r="119">
          <cell r="A119">
            <v>109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 t="str">
            <v/>
          </cell>
          <cell r="K119" t="str">
            <v>01</v>
          </cell>
          <cell r="L119">
            <v>12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</row>
        <row r="120">
          <cell r="A120">
            <v>110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 t="str">
            <v/>
          </cell>
          <cell r="K120" t="str">
            <v>01</v>
          </cell>
          <cell r="L120">
            <v>12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</row>
        <row r="121">
          <cell r="A121">
            <v>111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 t="str">
            <v/>
          </cell>
          <cell r="K121" t="str">
            <v>01</v>
          </cell>
          <cell r="L121">
            <v>12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</row>
        <row r="122">
          <cell r="A122">
            <v>112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 t="str">
            <v/>
          </cell>
          <cell r="K122" t="str">
            <v>01</v>
          </cell>
          <cell r="L122">
            <v>12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</row>
        <row r="123">
          <cell r="A123">
            <v>113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 t="str">
            <v/>
          </cell>
          <cell r="K123" t="str">
            <v>01</v>
          </cell>
          <cell r="L123">
            <v>12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</row>
        <row r="124">
          <cell r="A124">
            <v>114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 t="str">
            <v/>
          </cell>
          <cell r="K124" t="str">
            <v>01</v>
          </cell>
          <cell r="L124">
            <v>12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</row>
        <row r="125">
          <cell r="A125">
            <v>115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 t="str">
            <v/>
          </cell>
          <cell r="K125" t="str">
            <v>01</v>
          </cell>
          <cell r="L125">
            <v>12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</row>
        <row r="126">
          <cell r="A126">
            <v>116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 t="str">
            <v/>
          </cell>
          <cell r="K126" t="str">
            <v>01</v>
          </cell>
          <cell r="L126">
            <v>12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</row>
        <row r="127">
          <cell r="A127">
            <v>117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 t="str">
            <v/>
          </cell>
          <cell r="K127" t="str">
            <v>01</v>
          </cell>
          <cell r="L127">
            <v>12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</row>
        <row r="128">
          <cell r="A128">
            <v>118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 t="str">
            <v/>
          </cell>
          <cell r="K128" t="str">
            <v>01</v>
          </cell>
          <cell r="L128">
            <v>12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</row>
        <row r="129">
          <cell r="A129">
            <v>119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 t="str">
            <v/>
          </cell>
          <cell r="K129" t="str">
            <v>01</v>
          </cell>
          <cell r="L129">
            <v>12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</row>
        <row r="130">
          <cell r="A130">
            <v>120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 t="str">
            <v/>
          </cell>
          <cell r="K130" t="str">
            <v>01</v>
          </cell>
          <cell r="L130">
            <v>12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</row>
        <row r="131">
          <cell r="A131">
            <v>121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 t="str">
            <v/>
          </cell>
          <cell r="K131" t="str">
            <v>01</v>
          </cell>
          <cell r="L131">
            <v>12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</row>
        <row r="132">
          <cell r="A132">
            <v>122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 t="str">
            <v/>
          </cell>
          <cell r="K132" t="str">
            <v>01</v>
          </cell>
          <cell r="L132">
            <v>12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</row>
        <row r="133">
          <cell r="A133">
            <v>123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 t="str">
            <v/>
          </cell>
          <cell r="K133" t="str">
            <v>01</v>
          </cell>
          <cell r="L133">
            <v>12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</row>
        <row r="134">
          <cell r="A134">
            <v>124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 t="str">
            <v/>
          </cell>
          <cell r="K134" t="str">
            <v>01</v>
          </cell>
          <cell r="L134">
            <v>12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</row>
        <row r="135">
          <cell r="A135">
            <v>125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 t="str">
            <v/>
          </cell>
          <cell r="K135" t="str">
            <v>01</v>
          </cell>
          <cell r="L135">
            <v>12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</row>
        <row r="136">
          <cell r="A136">
            <v>126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 t="str">
            <v/>
          </cell>
          <cell r="K136" t="str">
            <v>01</v>
          </cell>
          <cell r="L136">
            <v>12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</row>
        <row r="137">
          <cell r="A137">
            <v>127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 t="str">
            <v/>
          </cell>
          <cell r="K137" t="str">
            <v>01</v>
          </cell>
          <cell r="L137">
            <v>12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</row>
        <row r="138">
          <cell r="A138">
            <v>128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 t="str">
            <v/>
          </cell>
          <cell r="K138" t="str">
            <v>01</v>
          </cell>
          <cell r="L138">
            <v>12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</row>
        <row r="139">
          <cell r="A139">
            <v>129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 t="str">
            <v/>
          </cell>
          <cell r="K139" t="str">
            <v>01</v>
          </cell>
          <cell r="L139">
            <v>12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</row>
        <row r="140">
          <cell r="A140">
            <v>130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 t="str">
            <v/>
          </cell>
          <cell r="K140" t="str">
            <v>01</v>
          </cell>
          <cell r="L140">
            <v>12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</row>
        <row r="141">
          <cell r="A141">
            <v>131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 t="str">
            <v/>
          </cell>
          <cell r="K141" t="str">
            <v>01</v>
          </cell>
          <cell r="L141">
            <v>12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</row>
        <row r="142">
          <cell r="A142">
            <v>132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 t="str">
            <v/>
          </cell>
          <cell r="K142" t="str">
            <v>01</v>
          </cell>
          <cell r="L142">
            <v>12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</row>
        <row r="143">
          <cell r="A143">
            <v>133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 t="str">
            <v/>
          </cell>
          <cell r="K143" t="str">
            <v>01</v>
          </cell>
          <cell r="L143">
            <v>12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</row>
        <row r="144">
          <cell r="A144">
            <v>134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 t="str">
            <v/>
          </cell>
          <cell r="K144" t="str">
            <v>01</v>
          </cell>
          <cell r="L144">
            <v>12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</row>
        <row r="145">
          <cell r="A145">
            <v>135</v>
          </cell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 t="str">
            <v/>
          </cell>
          <cell r="K145" t="str">
            <v>01</v>
          </cell>
          <cell r="L145">
            <v>12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</row>
        <row r="146">
          <cell r="A146">
            <v>136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 t="str">
            <v/>
          </cell>
          <cell r="K146" t="str">
            <v>01</v>
          </cell>
          <cell r="L146">
            <v>12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</row>
        <row r="147">
          <cell r="A147">
            <v>137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 t="str">
            <v/>
          </cell>
          <cell r="K147" t="str">
            <v>01</v>
          </cell>
          <cell r="L147">
            <v>12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</row>
        <row r="148">
          <cell r="A148">
            <v>138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 t="str">
            <v/>
          </cell>
          <cell r="K148" t="str">
            <v>01</v>
          </cell>
          <cell r="L148">
            <v>12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</row>
        <row r="149">
          <cell r="A149">
            <v>139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 t="str">
            <v/>
          </cell>
          <cell r="K149" t="str">
            <v>01</v>
          </cell>
          <cell r="L149">
            <v>12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</row>
        <row r="150">
          <cell r="A150">
            <v>140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 t="str">
            <v/>
          </cell>
          <cell r="K150" t="str">
            <v>01</v>
          </cell>
          <cell r="L150">
            <v>12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</row>
        <row r="151">
          <cell r="A151">
            <v>141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 t="str">
            <v/>
          </cell>
          <cell r="K151" t="str">
            <v>01</v>
          </cell>
          <cell r="L151">
            <v>12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</row>
        <row r="152">
          <cell r="A152">
            <v>142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 t="str">
            <v/>
          </cell>
          <cell r="K152" t="str">
            <v>01</v>
          </cell>
          <cell r="L152">
            <v>12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</row>
        <row r="153">
          <cell r="A153">
            <v>143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 t="str">
            <v/>
          </cell>
          <cell r="K153" t="str">
            <v>01</v>
          </cell>
          <cell r="L153">
            <v>12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</row>
        <row r="154">
          <cell r="A154">
            <v>144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 t="str">
            <v/>
          </cell>
          <cell r="K154" t="str">
            <v>01</v>
          </cell>
          <cell r="L154">
            <v>12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</row>
        <row r="155">
          <cell r="A155">
            <v>145</v>
          </cell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 t="str">
            <v/>
          </cell>
          <cell r="K155" t="str">
            <v>01</v>
          </cell>
          <cell r="L155">
            <v>12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</row>
        <row r="156">
          <cell r="A156">
            <v>146</v>
          </cell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 t="str">
            <v/>
          </cell>
          <cell r="K156" t="str">
            <v>01</v>
          </cell>
          <cell r="L156">
            <v>12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</row>
        <row r="157">
          <cell r="A157">
            <v>147</v>
          </cell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 t="str">
            <v/>
          </cell>
          <cell r="K157" t="str">
            <v>01</v>
          </cell>
          <cell r="L157">
            <v>12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</row>
        <row r="158">
          <cell r="A158">
            <v>148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 t="str">
            <v/>
          </cell>
          <cell r="K158" t="str">
            <v>01</v>
          </cell>
          <cell r="L158">
            <v>12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</row>
        <row r="159">
          <cell r="A159">
            <v>149</v>
          </cell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 t="str">
            <v/>
          </cell>
          <cell r="K159" t="str">
            <v>01</v>
          </cell>
          <cell r="L159">
            <v>12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</row>
        <row r="160">
          <cell r="A160">
            <v>150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 t="str">
            <v/>
          </cell>
          <cell r="K160" t="str">
            <v>01</v>
          </cell>
          <cell r="L160">
            <v>12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</row>
        <row r="161">
          <cell r="A161">
            <v>151</v>
          </cell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 t="str">
            <v/>
          </cell>
          <cell r="K161" t="str">
            <v>01</v>
          </cell>
          <cell r="L161">
            <v>12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</row>
        <row r="162">
          <cell r="A162">
            <v>152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 t="str">
            <v/>
          </cell>
          <cell r="K162" t="str">
            <v>01</v>
          </cell>
          <cell r="L162">
            <v>12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</row>
        <row r="163">
          <cell r="A163">
            <v>153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/>
          </cell>
          <cell r="K163" t="str">
            <v>01</v>
          </cell>
          <cell r="L163">
            <v>12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</row>
        <row r="164">
          <cell r="A164">
            <v>154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/>
          </cell>
          <cell r="K164" t="str">
            <v>01</v>
          </cell>
          <cell r="L164">
            <v>12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</row>
        <row r="165">
          <cell r="A165">
            <v>155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/>
          </cell>
          <cell r="K165" t="str">
            <v>01</v>
          </cell>
          <cell r="L165">
            <v>12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</row>
        <row r="166">
          <cell r="A166">
            <v>156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/>
          </cell>
          <cell r="K166" t="str">
            <v>01</v>
          </cell>
          <cell r="L166">
            <v>12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</row>
        <row r="167">
          <cell r="A167">
            <v>157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/>
          </cell>
          <cell r="K167" t="str">
            <v>01</v>
          </cell>
          <cell r="L167">
            <v>12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</row>
        <row r="168">
          <cell r="A168">
            <v>158</v>
          </cell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/>
          </cell>
          <cell r="K168" t="str">
            <v>01</v>
          </cell>
          <cell r="L168">
            <v>12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</row>
        <row r="169">
          <cell r="A169">
            <v>159</v>
          </cell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/>
          </cell>
          <cell r="K169" t="str">
            <v>01</v>
          </cell>
          <cell r="L169">
            <v>12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</row>
        <row r="170">
          <cell r="A170">
            <v>160</v>
          </cell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/>
          </cell>
          <cell r="K170" t="str">
            <v>01</v>
          </cell>
          <cell r="L170">
            <v>12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</row>
        <row r="171">
          <cell r="A171">
            <v>161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 t="str">
            <v/>
          </cell>
          <cell r="K171" t="str">
            <v>01</v>
          </cell>
          <cell r="L171">
            <v>12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</row>
        <row r="172">
          <cell r="A172">
            <v>162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 t="str">
            <v/>
          </cell>
          <cell r="K172" t="str">
            <v>01</v>
          </cell>
          <cell r="L172">
            <v>12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</row>
        <row r="173">
          <cell r="A173">
            <v>163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 t="str">
            <v/>
          </cell>
          <cell r="K173" t="str">
            <v>01</v>
          </cell>
          <cell r="L173">
            <v>12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</row>
        <row r="174">
          <cell r="A174">
            <v>164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 t="str">
            <v/>
          </cell>
          <cell r="K174" t="str">
            <v>01</v>
          </cell>
          <cell r="L174">
            <v>12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</row>
        <row r="175">
          <cell r="A175">
            <v>165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/>
          </cell>
          <cell r="K175" t="str">
            <v>01</v>
          </cell>
          <cell r="L175">
            <v>12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</row>
        <row r="176">
          <cell r="A176">
            <v>166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/>
          </cell>
          <cell r="K176" t="str">
            <v>01</v>
          </cell>
          <cell r="L176">
            <v>12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</row>
        <row r="177">
          <cell r="A177">
            <v>167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/>
          </cell>
          <cell r="K177" t="str">
            <v>01</v>
          </cell>
          <cell r="L177">
            <v>12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</row>
        <row r="178">
          <cell r="A178">
            <v>168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 t="str">
            <v/>
          </cell>
          <cell r="K178" t="str">
            <v>01</v>
          </cell>
          <cell r="L178">
            <v>12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</row>
        <row r="179">
          <cell r="A179">
            <v>169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/>
          </cell>
          <cell r="K179" t="str">
            <v>01</v>
          </cell>
          <cell r="L179">
            <v>12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</row>
        <row r="180">
          <cell r="A180">
            <v>170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/>
          </cell>
          <cell r="K180" t="str">
            <v>01</v>
          </cell>
          <cell r="L180">
            <v>12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</row>
        <row r="181">
          <cell r="A181">
            <v>171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/>
          </cell>
          <cell r="K181" t="str">
            <v>01</v>
          </cell>
          <cell r="L181">
            <v>12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</row>
        <row r="182">
          <cell r="A182">
            <v>172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 t="str">
            <v/>
          </cell>
          <cell r="K182" t="str">
            <v>01</v>
          </cell>
          <cell r="L182">
            <v>12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</row>
        <row r="183">
          <cell r="A183">
            <v>173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/>
          </cell>
          <cell r="K183" t="str">
            <v>01</v>
          </cell>
          <cell r="L183">
            <v>12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</row>
        <row r="184">
          <cell r="A184">
            <v>174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/>
          </cell>
          <cell r="K184" t="str">
            <v>01</v>
          </cell>
          <cell r="L184">
            <v>12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</row>
        <row r="185">
          <cell r="A185">
            <v>175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/>
          </cell>
          <cell r="K185" t="str">
            <v>01</v>
          </cell>
          <cell r="L185">
            <v>12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</row>
        <row r="186">
          <cell r="A186">
            <v>176</v>
          </cell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/>
          </cell>
          <cell r="K186" t="str">
            <v>01</v>
          </cell>
          <cell r="L186">
            <v>12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</row>
        <row r="187">
          <cell r="A187">
            <v>177</v>
          </cell>
          <cell r="B187">
            <v>0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/>
          </cell>
          <cell r="K187" t="str">
            <v>01</v>
          </cell>
          <cell r="L187">
            <v>12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</row>
        <row r="188">
          <cell r="A188">
            <v>178</v>
          </cell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/>
          </cell>
          <cell r="K188" t="str">
            <v>01</v>
          </cell>
          <cell r="L188">
            <v>12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</row>
        <row r="189">
          <cell r="A189">
            <v>179</v>
          </cell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/>
          </cell>
          <cell r="K189" t="str">
            <v>01</v>
          </cell>
          <cell r="L189">
            <v>12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</row>
        <row r="190">
          <cell r="A190">
            <v>180</v>
          </cell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 t="str">
            <v/>
          </cell>
          <cell r="K190" t="str">
            <v>01</v>
          </cell>
          <cell r="L190">
            <v>12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</row>
        <row r="191">
          <cell r="A191">
            <v>181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 t="str">
            <v/>
          </cell>
          <cell r="K191" t="str">
            <v>01</v>
          </cell>
          <cell r="L191">
            <v>12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</row>
        <row r="192">
          <cell r="A192">
            <v>182</v>
          </cell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 t="str">
            <v/>
          </cell>
          <cell r="K192" t="str">
            <v>01</v>
          </cell>
          <cell r="L192">
            <v>12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</row>
        <row r="193">
          <cell r="A193">
            <v>183</v>
          </cell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 t="str">
            <v/>
          </cell>
          <cell r="K193" t="str">
            <v>01</v>
          </cell>
          <cell r="L193">
            <v>12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</row>
        <row r="194">
          <cell r="A194">
            <v>184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 t="str">
            <v/>
          </cell>
          <cell r="K194" t="str">
            <v>01</v>
          </cell>
          <cell r="L194">
            <v>12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</row>
        <row r="195">
          <cell r="A195">
            <v>185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 t="str">
            <v/>
          </cell>
          <cell r="K195" t="str">
            <v>01</v>
          </cell>
          <cell r="L195">
            <v>12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</row>
        <row r="196">
          <cell r="A196">
            <v>186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 t="str">
            <v/>
          </cell>
          <cell r="K196" t="str">
            <v>01</v>
          </cell>
          <cell r="L196">
            <v>12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</row>
        <row r="197">
          <cell r="A197">
            <v>187</v>
          </cell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 t="str">
            <v/>
          </cell>
          <cell r="K197" t="str">
            <v>01</v>
          </cell>
          <cell r="L197">
            <v>12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</row>
        <row r="198">
          <cell r="A198">
            <v>188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 t="str">
            <v/>
          </cell>
          <cell r="K198" t="str">
            <v>01</v>
          </cell>
          <cell r="L198">
            <v>12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</row>
        <row r="199">
          <cell r="A199">
            <v>189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/>
          </cell>
          <cell r="K199" t="str">
            <v>01</v>
          </cell>
          <cell r="L199">
            <v>12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</row>
        <row r="200">
          <cell r="A200">
            <v>190</v>
          </cell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 t="str">
            <v/>
          </cell>
          <cell r="K200" t="str">
            <v>01</v>
          </cell>
          <cell r="L200">
            <v>12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</row>
        <row r="201">
          <cell r="A201">
            <v>191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 t="str">
            <v/>
          </cell>
          <cell r="K201" t="str">
            <v>01</v>
          </cell>
          <cell r="L201">
            <v>12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</row>
        <row r="202">
          <cell r="A202">
            <v>192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 t="str">
            <v/>
          </cell>
          <cell r="K202" t="str">
            <v>01</v>
          </cell>
          <cell r="L202">
            <v>12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</row>
        <row r="203">
          <cell r="A203">
            <v>193</v>
          </cell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 t="str">
            <v/>
          </cell>
          <cell r="K203" t="str">
            <v>01</v>
          </cell>
          <cell r="L203">
            <v>12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</row>
        <row r="204">
          <cell r="A204">
            <v>194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 t="str">
            <v/>
          </cell>
          <cell r="K204" t="str">
            <v>01</v>
          </cell>
          <cell r="L204">
            <v>12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</row>
        <row r="205">
          <cell r="A205">
            <v>195</v>
          </cell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 t="str">
            <v/>
          </cell>
          <cell r="K205" t="str">
            <v>01</v>
          </cell>
          <cell r="L205">
            <v>12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</row>
        <row r="206">
          <cell r="A206">
            <v>196</v>
          </cell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 t="str">
            <v/>
          </cell>
          <cell r="K206" t="str">
            <v>01</v>
          </cell>
          <cell r="L206">
            <v>12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</row>
        <row r="207">
          <cell r="A207">
            <v>197</v>
          </cell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 t="str">
            <v/>
          </cell>
          <cell r="K207" t="str">
            <v>01</v>
          </cell>
          <cell r="L207">
            <v>12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</row>
        <row r="208">
          <cell r="A208">
            <v>198</v>
          </cell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/>
          </cell>
          <cell r="K208" t="str">
            <v>01</v>
          </cell>
          <cell r="L208">
            <v>12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</row>
        <row r="209">
          <cell r="A209">
            <v>199</v>
          </cell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/>
          </cell>
          <cell r="K209" t="str">
            <v>01</v>
          </cell>
          <cell r="L209">
            <v>12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</row>
        <row r="210">
          <cell r="A210">
            <v>200</v>
          </cell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/>
          </cell>
          <cell r="K210" t="str">
            <v>01</v>
          </cell>
          <cell r="L210">
            <v>12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</row>
        <row r="211">
          <cell r="A211">
            <v>201</v>
          </cell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/>
          </cell>
          <cell r="K211" t="str">
            <v>01</v>
          </cell>
          <cell r="L211">
            <v>12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</row>
        <row r="212">
          <cell r="A212">
            <v>202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/>
          </cell>
          <cell r="K212" t="str">
            <v>01</v>
          </cell>
          <cell r="L212">
            <v>12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</row>
        <row r="213">
          <cell r="A213">
            <v>203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/>
          </cell>
          <cell r="K213" t="str">
            <v>01</v>
          </cell>
          <cell r="L213">
            <v>12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</row>
        <row r="214">
          <cell r="A214">
            <v>204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/>
          </cell>
          <cell r="K214" t="str">
            <v>01</v>
          </cell>
          <cell r="L214">
            <v>12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</row>
        <row r="215">
          <cell r="A215">
            <v>205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 t="str">
            <v/>
          </cell>
          <cell r="K215" t="str">
            <v>01</v>
          </cell>
          <cell r="L215">
            <v>12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</row>
        <row r="216">
          <cell r="A216">
            <v>206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/>
          </cell>
          <cell r="K216" t="str">
            <v>01</v>
          </cell>
          <cell r="L216">
            <v>12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</row>
        <row r="217">
          <cell r="A217">
            <v>207</v>
          </cell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 t="str">
            <v/>
          </cell>
          <cell r="K217" t="str">
            <v>01</v>
          </cell>
          <cell r="L217">
            <v>12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</row>
        <row r="218">
          <cell r="A218">
            <v>208</v>
          </cell>
          <cell r="B218">
            <v>0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 t="str">
            <v/>
          </cell>
          <cell r="K218" t="str">
            <v>01</v>
          </cell>
          <cell r="L218">
            <v>12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</row>
        <row r="219">
          <cell r="A219">
            <v>209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 t="str">
            <v/>
          </cell>
          <cell r="K219" t="str">
            <v>01</v>
          </cell>
          <cell r="L219">
            <v>12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</row>
        <row r="220">
          <cell r="A220">
            <v>210</v>
          </cell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 t="str">
            <v/>
          </cell>
          <cell r="K220" t="str">
            <v>01</v>
          </cell>
          <cell r="L220">
            <v>12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</row>
        <row r="221">
          <cell r="A221">
            <v>211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 t="str">
            <v/>
          </cell>
          <cell r="K221" t="str">
            <v>01</v>
          </cell>
          <cell r="L221">
            <v>12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</row>
        <row r="222">
          <cell r="A222">
            <v>212</v>
          </cell>
          <cell r="B222">
            <v>0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 t="str">
            <v/>
          </cell>
          <cell r="K222" t="str">
            <v>01</v>
          </cell>
          <cell r="L222">
            <v>12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</row>
        <row r="223">
          <cell r="A223">
            <v>213</v>
          </cell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 t="str">
            <v/>
          </cell>
          <cell r="K223" t="str">
            <v>01</v>
          </cell>
          <cell r="L223">
            <v>12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</row>
        <row r="224">
          <cell r="A224">
            <v>214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 t="str">
            <v/>
          </cell>
          <cell r="K224" t="str">
            <v>01</v>
          </cell>
          <cell r="L224">
            <v>12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</row>
        <row r="225">
          <cell r="A225">
            <v>215</v>
          </cell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 t="str">
            <v/>
          </cell>
          <cell r="K225" t="str">
            <v>01</v>
          </cell>
          <cell r="L225">
            <v>12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</row>
        <row r="226">
          <cell r="A226">
            <v>216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 t="str">
            <v/>
          </cell>
          <cell r="K226" t="str">
            <v>01</v>
          </cell>
          <cell r="L226">
            <v>12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</row>
        <row r="227">
          <cell r="A227">
            <v>217</v>
          </cell>
          <cell r="B227">
            <v>0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 t="str">
            <v/>
          </cell>
          <cell r="K227" t="str">
            <v>01</v>
          </cell>
          <cell r="L227">
            <v>12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</row>
        <row r="228">
          <cell r="A228">
            <v>218</v>
          </cell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 t="str">
            <v/>
          </cell>
          <cell r="K228" t="str">
            <v>01</v>
          </cell>
          <cell r="L228">
            <v>12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</row>
        <row r="229">
          <cell r="A229">
            <v>219</v>
          </cell>
          <cell r="B229">
            <v>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 t="str">
            <v/>
          </cell>
          <cell r="K229" t="str">
            <v>01</v>
          </cell>
          <cell r="L229">
            <v>12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</row>
        <row r="230">
          <cell r="A230">
            <v>220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 t="str">
            <v/>
          </cell>
          <cell r="K230" t="str">
            <v>01</v>
          </cell>
          <cell r="L230">
            <v>12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</row>
        <row r="231">
          <cell r="A231">
            <v>221</v>
          </cell>
          <cell r="B231">
            <v>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 t="str">
            <v/>
          </cell>
          <cell r="K231" t="str">
            <v>01</v>
          </cell>
          <cell r="L231">
            <v>12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</row>
        <row r="232">
          <cell r="A232">
            <v>222</v>
          </cell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 t="str">
            <v/>
          </cell>
          <cell r="K232" t="str">
            <v>01</v>
          </cell>
          <cell r="L232">
            <v>12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</row>
        <row r="233">
          <cell r="A233">
            <v>223</v>
          </cell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 t="str">
            <v/>
          </cell>
          <cell r="K233" t="str">
            <v>01</v>
          </cell>
          <cell r="L233">
            <v>12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</row>
        <row r="234">
          <cell r="A234">
            <v>224</v>
          </cell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 t="str">
            <v/>
          </cell>
          <cell r="K234" t="str">
            <v>01</v>
          </cell>
          <cell r="L234">
            <v>12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</row>
        <row r="235">
          <cell r="A235">
            <v>225</v>
          </cell>
          <cell r="B235">
            <v>0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 t="str">
            <v/>
          </cell>
          <cell r="K235" t="str">
            <v>01</v>
          </cell>
          <cell r="L235">
            <v>12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</row>
        <row r="236">
          <cell r="A236">
            <v>226</v>
          </cell>
          <cell r="B236">
            <v>0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 t="str">
            <v/>
          </cell>
          <cell r="K236" t="str">
            <v>01</v>
          </cell>
          <cell r="L236">
            <v>12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</row>
        <row r="237">
          <cell r="A237">
            <v>227</v>
          </cell>
          <cell r="B237">
            <v>0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 t="str">
            <v/>
          </cell>
          <cell r="K237" t="str">
            <v>01</v>
          </cell>
          <cell r="L237">
            <v>12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</row>
        <row r="238">
          <cell r="A238">
            <v>228</v>
          </cell>
          <cell r="B238">
            <v>0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 t="str">
            <v/>
          </cell>
          <cell r="K238" t="str">
            <v>01</v>
          </cell>
          <cell r="L238">
            <v>12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</row>
        <row r="239">
          <cell r="A239">
            <v>229</v>
          </cell>
          <cell r="B239">
            <v>0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 t="str">
            <v/>
          </cell>
          <cell r="K239" t="str">
            <v>01</v>
          </cell>
          <cell r="L239">
            <v>12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</row>
        <row r="240">
          <cell r="A240">
            <v>230</v>
          </cell>
          <cell r="B240">
            <v>0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 t="str">
            <v/>
          </cell>
          <cell r="K240" t="str">
            <v>01</v>
          </cell>
          <cell r="L240">
            <v>12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</row>
        <row r="241">
          <cell r="A241">
            <v>231</v>
          </cell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 t="str">
            <v/>
          </cell>
          <cell r="K241" t="str">
            <v>01</v>
          </cell>
          <cell r="L241">
            <v>12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</row>
        <row r="242">
          <cell r="A242">
            <v>232</v>
          </cell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 t="str">
            <v/>
          </cell>
          <cell r="K242" t="str">
            <v>01</v>
          </cell>
          <cell r="L242">
            <v>12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</row>
        <row r="243">
          <cell r="A243">
            <v>233</v>
          </cell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 t="str">
            <v/>
          </cell>
          <cell r="K243" t="str">
            <v>01</v>
          </cell>
          <cell r="L243">
            <v>12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</row>
        <row r="244">
          <cell r="A244">
            <v>234</v>
          </cell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 t="str">
            <v/>
          </cell>
          <cell r="K244" t="str">
            <v>01</v>
          </cell>
          <cell r="L244">
            <v>12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</row>
        <row r="245">
          <cell r="A245">
            <v>235</v>
          </cell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 t="str">
            <v/>
          </cell>
          <cell r="K245" t="str">
            <v>01</v>
          </cell>
          <cell r="L245">
            <v>12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</row>
        <row r="246">
          <cell r="A246">
            <v>236</v>
          </cell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 t="str">
            <v/>
          </cell>
          <cell r="K246" t="str">
            <v>01</v>
          </cell>
          <cell r="L246">
            <v>12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</row>
        <row r="247">
          <cell r="A247">
            <v>237</v>
          </cell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 t="str">
            <v/>
          </cell>
          <cell r="K247" t="str">
            <v>01</v>
          </cell>
          <cell r="L247">
            <v>12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</row>
        <row r="248">
          <cell r="A248">
            <v>238</v>
          </cell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 t="str">
            <v/>
          </cell>
          <cell r="K248" t="str">
            <v>01</v>
          </cell>
          <cell r="L248">
            <v>12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</row>
        <row r="249">
          <cell r="A249">
            <v>239</v>
          </cell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 t="str">
            <v/>
          </cell>
          <cell r="K249" t="str">
            <v>01</v>
          </cell>
          <cell r="L249">
            <v>12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</row>
        <row r="250">
          <cell r="A250">
            <v>240</v>
          </cell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 t="str">
            <v/>
          </cell>
          <cell r="K250" t="str">
            <v>01</v>
          </cell>
          <cell r="L250">
            <v>12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</row>
        <row r="251">
          <cell r="A251">
            <v>241</v>
          </cell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 t="str">
            <v/>
          </cell>
          <cell r="K251" t="str">
            <v>01</v>
          </cell>
          <cell r="L251">
            <v>12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</row>
        <row r="252">
          <cell r="A252">
            <v>242</v>
          </cell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 t="str">
            <v/>
          </cell>
          <cell r="K252" t="str">
            <v>01</v>
          </cell>
          <cell r="L252">
            <v>12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</row>
        <row r="253">
          <cell r="A253">
            <v>243</v>
          </cell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 t="str">
            <v/>
          </cell>
          <cell r="K253" t="str">
            <v>01</v>
          </cell>
          <cell r="L253">
            <v>12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</row>
        <row r="254">
          <cell r="A254">
            <v>244</v>
          </cell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 t="str">
            <v/>
          </cell>
          <cell r="K254" t="str">
            <v>01</v>
          </cell>
          <cell r="L254">
            <v>12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</row>
        <row r="255">
          <cell r="A255">
            <v>245</v>
          </cell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 t="str">
            <v/>
          </cell>
          <cell r="K255" t="str">
            <v>01</v>
          </cell>
          <cell r="L255">
            <v>12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</row>
        <row r="256">
          <cell r="A256">
            <v>246</v>
          </cell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 t="str">
            <v/>
          </cell>
          <cell r="K256" t="str">
            <v>01</v>
          </cell>
          <cell r="L256">
            <v>12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</row>
        <row r="257">
          <cell r="A257">
            <v>247</v>
          </cell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 t="str">
            <v/>
          </cell>
          <cell r="K257" t="str">
            <v>01</v>
          </cell>
          <cell r="L257">
            <v>12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</row>
        <row r="258">
          <cell r="A258">
            <v>248</v>
          </cell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 t="str">
            <v/>
          </cell>
          <cell r="K258" t="str">
            <v>01</v>
          </cell>
          <cell r="L258">
            <v>12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</row>
        <row r="259">
          <cell r="A259">
            <v>249</v>
          </cell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 t="str">
            <v/>
          </cell>
          <cell r="K259" t="str">
            <v>01</v>
          </cell>
          <cell r="L259">
            <v>12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</row>
        <row r="260">
          <cell r="A260">
            <v>250</v>
          </cell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 t="str">
            <v/>
          </cell>
          <cell r="K260" t="str">
            <v>01</v>
          </cell>
          <cell r="L260">
            <v>12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</row>
        <row r="261">
          <cell r="A261">
            <v>251</v>
          </cell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 t="str">
            <v/>
          </cell>
          <cell r="K261" t="str">
            <v>01</v>
          </cell>
          <cell r="L261">
            <v>12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</row>
        <row r="262">
          <cell r="A262">
            <v>252</v>
          </cell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 t="str">
            <v/>
          </cell>
          <cell r="K262" t="str">
            <v>01</v>
          </cell>
          <cell r="L262">
            <v>12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</row>
        <row r="263">
          <cell r="A263">
            <v>253</v>
          </cell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 t="str">
            <v/>
          </cell>
          <cell r="K263" t="str">
            <v>01</v>
          </cell>
          <cell r="L263">
            <v>12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</row>
        <row r="264">
          <cell r="A264">
            <v>254</v>
          </cell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 t="str">
            <v/>
          </cell>
          <cell r="K264" t="str">
            <v>01</v>
          </cell>
          <cell r="L264">
            <v>12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</row>
        <row r="265">
          <cell r="A265">
            <v>255</v>
          </cell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 t="str">
            <v/>
          </cell>
          <cell r="K265" t="str">
            <v>01</v>
          </cell>
          <cell r="L265">
            <v>12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</row>
        <row r="266">
          <cell r="A266">
            <v>256</v>
          </cell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 t="str">
            <v/>
          </cell>
          <cell r="K266" t="str">
            <v>01</v>
          </cell>
          <cell r="L266">
            <v>12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</row>
        <row r="267">
          <cell r="A267">
            <v>257</v>
          </cell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 t="str">
            <v/>
          </cell>
          <cell r="K267" t="str">
            <v>01</v>
          </cell>
          <cell r="L267">
            <v>12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</row>
        <row r="268">
          <cell r="A268">
            <v>258</v>
          </cell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 t="str">
            <v/>
          </cell>
          <cell r="K268" t="str">
            <v>01</v>
          </cell>
          <cell r="L268">
            <v>12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</row>
        <row r="269">
          <cell r="A269">
            <v>259</v>
          </cell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 t="str">
            <v/>
          </cell>
          <cell r="K269" t="str">
            <v>01</v>
          </cell>
          <cell r="L269">
            <v>12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</row>
        <row r="270">
          <cell r="A270">
            <v>260</v>
          </cell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 t="str">
            <v/>
          </cell>
          <cell r="K270" t="str">
            <v>01</v>
          </cell>
          <cell r="L270">
            <v>12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</row>
        <row r="271">
          <cell r="A271">
            <v>261</v>
          </cell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 t="str">
            <v/>
          </cell>
          <cell r="K271" t="str">
            <v>01</v>
          </cell>
          <cell r="L271">
            <v>12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</row>
        <row r="272">
          <cell r="A272">
            <v>262</v>
          </cell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 t="str">
            <v/>
          </cell>
          <cell r="K272" t="str">
            <v>01</v>
          </cell>
          <cell r="L272">
            <v>12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</row>
        <row r="273">
          <cell r="A273">
            <v>263</v>
          </cell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 t="str">
            <v/>
          </cell>
          <cell r="K273" t="str">
            <v>01</v>
          </cell>
          <cell r="L273">
            <v>12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</row>
        <row r="274">
          <cell r="A274">
            <v>264</v>
          </cell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 t="str">
            <v/>
          </cell>
          <cell r="K274" t="str">
            <v>01</v>
          </cell>
          <cell r="L274">
            <v>12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</row>
        <row r="275">
          <cell r="A275">
            <v>265</v>
          </cell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 t="str">
            <v/>
          </cell>
          <cell r="K275" t="str">
            <v>01</v>
          </cell>
          <cell r="L275">
            <v>12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</row>
        <row r="276">
          <cell r="A276">
            <v>266</v>
          </cell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 t="str">
            <v/>
          </cell>
          <cell r="K276" t="str">
            <v>01</v>
          </cell>
          <cell r="L276">
            <v>12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</row>
        <row r="277">
          <cell r="A277">
            <v>267</v>
          </cell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 t="str">
            <v/>
          </cell>
          <cell r="K277" t="str">
            <v>01</v>
          </cell>
          <cell r="L277">
            <v>12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</row>
        <row r="278">
          <cell r="A278">
            <v>268</v>
          </cell>
          <cell r="B278">
            <v>0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 t="str">
            <v/>
          </cell>
          <cell r="K278" t="str">
            <v>01</v>
          </cell>
          <cell r="L278">
            <v>12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</row>
        <row r="279">
          <cell r="A279">
            <v>269</v>
          </cell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 t="str">
            <v/>
          </cell>
          <cell r="K279" t="str">
            <v>01</v>
          </cell>
          <cell r="L279">
            <v>12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</row>
        <row r="280">
          <cell r="A280">
            <v>270</v>
          </cell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 t="str">
            <v/>
          </cell>
          <cell r="K280" t="str">
            <v>01</v>
          </cell>
          <cell r="L280">
            <v>12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</row>
        <row r="281">
          <cell r="A281">
            <v>271</v>
          </cell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 t="str">
            <v/>
          </cell>
          <cell r="K281" t="str">
            <v>01</v>
          </cell>
          <cell r="L281">
            <v>12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</row>
        <row r="282">
          <cell r="A282">
            <v>272</v>
          </cell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 t="str">
            <v/>
          </cell>
          <cell r="K282" t="str">
            <v>01</v>
          </cell>
          <cell r="L282">
            <v>12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</row>
        <row r="283">
          <cell r="A283">
            <v>273</v>
          </cell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 t="str">
            <v/>
          </cell>
          <cell r="K283" t="str">
            <v>01</v>
          </cell>
          <cell r="L283">
            <v>12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</row>
        <row r="284">
          <cell r="A284">
            <v>274</v>
          </cell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 t="str">
            <v/>
          </cell>
          <cell r="K284" t="str">
            <v>01</v>
          </cell>
          <cell r="L284">
            <v>12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</row>
        <row r="285">
          <cell r="A285">
            <v>275</v>
          </cell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 t="str">
            <v/>
          </cell>
          <cell r="K285" t="str">
            <v>01</v>
          </cell>
          <cell r="L285">
            <v>12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</row>
        <row r="286">
          <cell r="A286">
            <v>276</v>
          </cell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 t="str">
            <v/>
          </cell>
          <cell r="K286" t="str">
            <v>01</v>
          </cell>
          <cell r="L286">
            <v>12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</row>
        <row r="287">
          <cell r="A287">
            <v>277</v>
          </cell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 t="str">
            <v/>
          </cell>
          <cell r="K287" t="str">
            <v>01</v>
          </cell>
          <cell r="L287">
            <v>12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</row>
        <row r="288">
          <cell r="A288">
            <v>278</v>
          </cell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 t="str">
            <v/>
          </cell>
          <cell r="K288" t="str">
            <v>01</v>
          </cell>
          <cell r="L288">
            <v>12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</row>
        <row r="289">
          <cell r="A289">
            <v>279</v>
          </cell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 t="str">
            <v/>
          </cell>
          <cell r="K289" t="str">
            <v>01</v>
          </cell>
          <cell r="L289">
            <v>12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</row>
        <row r="290">
          <cell r="A290">
            <v>280</v>
          </cell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 t="str">
            <v/>
          </cell>
          <cell r="K290" t="str">
            <v>01</v>
          </cell>
          <cell r="L290">
            <v>12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</row>
        <row r="291">
          <cell r="A291">
            <v>281</v>
          </cell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 t="str">
            <v/>
          </cell>
          <cell r="K291" t="str">
            <v>01</v>
          </cell>
          <cell r="L291">
            <v>12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</row>
        <row r="292">
          <cell r="A292">
            <v>282</v>
          </cell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 t="str">
            <v/>
          </cell>
          <cell r="K292" t="str">
            <v>01</v>
          </cell>
          <cell r="L292">
            <v>12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</row>
        <row r="293">
          <cell r="A293">
            <v>283</v>
          </cell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 t="str">
            <v/>
          </cell>
          <cell r="K293" t="str">
            <v>01</v>
          </cell>
          <cell r="L293">
            <v>12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</row>
        <row r="294">
          <cell r="A294">
            <v>284</v>
          </cell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 t="str">
            <v/>
          </cell>
          <cell r="K294" t="str">
            <v>01</v>
          </cell>
          <cell r="L294">
            <v>12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</row>
        <row r="295">
          <cell r="A295">
            <v>285</v>
          </cell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 t="str">
            <v/>
          </cell>
          <cell r="K295" t="str">
            <v>01</v>
          </cell>
          <cell r="L295">
            <v>12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</row>
        <row r="296">
          <cell r="A296">
            <v>286</v>
          </cell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 t="str">
            <v/>
          </cell>
          <cell r="K296" t="str">
            <v>01</v>
          </cell>
          <cell r="L296">
            <v>12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</row>
        <row r="297">
          <cell r="A297">
            <v>287</v>
          </cell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 t="str">
            <v/>
          </cell>
          <cell r="K297" t="str">
            <v>01</v>
          </cell>
          <cell r="L297">
            <v>12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</row>
        <row r="298">
          <cell r="A298">
            <v>288</v>
          </cell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 t="str">
            <v/>
          </cell>
          <cell r="K298" t="str">
            <v>01</v>
          </cell>
          <cell r="L298">
            <v>12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</row>
        <row r="299">
          <cell r="A299">
            <v>289</v>
          </cell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 t="str">
            <v/>
          </cell>
          <cell r="K299" t="str">
            <v>01</v>
          </cell>
          <cell r="L299">
            <v>12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</row>
        <row r="300">
          <cell r="A300">
            <v>290</v>
          </cell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 t="str">
            <v/>
          </cell>
          <cell r="K300" t="str">
            <v>01</v>
          </cell>
          <cell r="L300">
            <v>12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</row>
        <row r="301">
          <cell r="A301">
            <v>291</v>
          </cell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 t="str">
            <v/>
          </cell>
          <cell r="K301" t="str">
            <v>01</v>
          </cell>
          <cell r="L301">
            <v>12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</row>
        <row r="302">
          <cell r="A302">
            <v>292</v>
          </cell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 t="str">
            <v/>
          </cell>
          <cell r="K302" t="str">
            <v>01</v>
          </cell>
          <cell r="L302">
            <v>12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</row>
        <row r="303">
          <cell r="A303">
            <v>293</v>
          </cell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 t="str">
            <v/>
          </cell>
          <cell r="K303" t="str">
            <v>01</v>
          </cell>
          <cell r="L303">
            <v>12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</row>
        <row r="304">
          <cell r="A304">
            <v>294</v>
          </cell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 t="str">
            <v/>
          </cell>
          <cell r="K304" t="str">
            <v>01</v>
          </cell>
          <cell r="L304">
            <v>12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</row>
        <row r="305">
          <cell r="A305">
            <v>295</v>
          </cell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 t="str">
            <v/>
          </cell>
          <cell r="K305" t="str">
            <v>01</v>
          </cell>
          <cell r="L305">
            <v>12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</row>
        <row r="306">
          <cell r="A306">
            <v>296</v>
          </cell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 t="str">
            <v/>
          </cell>
          <cell r="K306" t="str">
            <v>01</v>
          </cell>
          <cell r="L306">
            <v>12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</row>
        <row r="307">
          <cell r="A307">
            <v>297</v>
          </cell>
          <cell r="B307">
            <v>0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 t="str">
            <v/>
          </cell>
          <cell r="K307" t="str">
            <v>01</v>
          </cell>
          <cell r="L307">
            <v>12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</row>
        <row r="308">
          <cell r="A308">
            <v>298</v>
          </cell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 t="str">
            <v/>
          </cell>
          <cell r="K308" t="str">
            <v>01</v>
          </cell>
          <cell r="L308">
            <v>12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</row>
        <row r="309">
          <cell r="A309">
            <v>299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 t="str">
            <v/>
          </cell>
          <cell r="K309" t="str">
            <v>01</v>
          </cell>
          <cell r="L309">
            <v>12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</row>
        <row r="310">
          <cell r="A310">
            <v>300</v>
          </cell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 t="str">
            <v/>
          </cell>
          <cell r="K310" t="str">
            <v>01</v>
          </cell>
          <cell r="L310">
            <v>12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</row>
        <row r="311">
          <cell r="A311">
            <v>301</v>
          </cell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 t="str">
            <v/>
          </cell>
          <cell r="K311" t="str">
            <v>01</v>
          </cell>
          <cell r="L311">
            <v>12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</row>
        <row r="312">
          <cell r="A312">
            <v>302</v>
          </cell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 t="str">
            <v/>
          </cell>
          <cell r="K312" t="str">
            <v>01</v>
          </cell>
          <cell r="L312">
            <v>12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</row>
        <row r="313">
          <cell r="A313">
            <v>303</v>
          </cell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 t="str">
            <v/>
          </cell>
          <cell r="K313" t="str">
            <v>01</v>
          </cell>
          <cell r="L313">
            <v>12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</row>
        <row r="314">
          <cell r="A314">
            <v>304</v>
          </cell>
          <cell r="B314">
            <v>0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 t="str">
            <v/>
          </cell>
          <cell r="K314" t="str">
            <v>01</v>
          </cell>
          <cell r="L314">
            <v>12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</row>
        <row r="315">
          <cell r="A315">
            <v>305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 t="str">
            <v/>
          </cell>
          <cell r="K315" t="str">
            <v>01</v>
          </cell>
          <cell r="L315">
            <v>12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</row>
        <row r="316">
          <cell r="A316">
            <v>306</v>
          </cell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 t="str">
            <v/>
          </cell>
          <cell r="K316" t="str">
            <v>01</v>
          </cell>
          <cell r="L316">
            <v>12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</row>
        <row r="317">
          <cell r="A317">
            <v>307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 t="str">
            <v/>
          </cell>
          <cell r="K317" t="str">
            <v>01</v>
          </cell>
          <cell r="L317">
            <v>12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</row>
        <row r="318">
          <cell r="A318">
            <v>308</v>
          </cell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 t="str">
            <v/>
          </cell>
          <cell r="K318" t="str">
            <v>01</v>
          </cell>
          <cell r="L318">
            <v>12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</row>
        <row r="319">
          <cell r="A319">
            <v>309</v>
          </cell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 t="str">
            <v/>
          </cell>
          <cell r="K319" t="str">
            <v>01</v>
          </cell>
          <cell r="L319">
            <v>12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</row>
        <row r="320">
          <cell r="A320">
            <v>310</v>
          </cell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 t="str">
            <v/>
          </cell>
          <cell r="K320" t="str">
            <v>01</v>
          </cell>
          <cell r="L320">
            <v>12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</row>
        <row r="321">
          <cell r="A321">
            <v>311</v>
          </cell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 t="str">
            <v/>
          </cell>
          <cell r="K321" t="str">
            <v>01</v>
          </cell>
          <cell r="L321">
            <v>12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</row>
        <row r="322">
          <cell r="A322">
            <v>312</v>
          </cell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 t="str">
            <v/>
          </cell>
          <cell r="K322" t="str">
            <v>01</v>
          </cell>
          <cell r="L322">
            <v>12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</row>
        <row r="323">
          <cell r="A323">
            <v>313</v>
          </cell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 t="str">
            <v/>
          </cell>
          <cell r="K323" t="str">
            <v>01</v>
          </cell>
          <cell r="L323">
            <v>12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</row>
        <row r="324">
          <cell r="A324">
            <v>314</v>
          </cell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 t="str">
            <v/>
          </cell>
          <cell r="K324" t="str">
            <v>01</v>
          </cell>
          <cell r="L324">
            <v>12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</row>
        <row r="325">
          <cell r="A325">
            <v>315</v>
          </cell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 t="str">
            <v/>
          </cell>
          <cell r="K325" t="str">
            <v>01</v>
          </cell>
          <cell r="L325">
            <v>12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</row>
        <row r="326">
          <cell r="A326">
            <v>316</v>
          </cell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 t="str">
            <v/>
          </cell>
          <cell r="K326" t="str">
            <v>01</v>
          </cell>
          <cell r="L326">
            <v>12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</row>
        <row r="327">
          <cell r="A327">
            <v>317</v>
          </cell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 t="str">
            <v/>
          </cell>
          <cell r="K327" t="str">
            <v>01</v>
          </cell>
          <cell r="L327">
            <v>12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</row>
        <row r="328">
          <cell r="A328">
            <v>318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 t="str">
            <v/>
          </cell>
          <cell r="K328" t="str">
            <v>01</v>
          </cell>
          <cell r="L328">
            <v>12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</row>
        <row r="329">
          <cell r="A329">
            <v>319</v>
          </cell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 t="str">
            <v/>
          </cell>
          <cell r="K329" t="str">
            <v>01</v>
          </cell>
          <cell r="L329">
            <v>12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</row>
        <row r="330">
          <cell r="A330">
            <v>320</v>
          </cell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 t="str">
            <v/>
          </cell>
          <cell r="K330" t="str">
            <v>01</v>
          </cell>
          <cell r="L330">
            <v>12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</row>
        <row r="331">
          <cell r="A331">
            <v>321</v>
          </cell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 t="str">
            <v/>
          </cell>
          <cell r="K331" t="str">
            <v>01</v>
          </cell>
          <cell r="L331">
            <v>12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</row>
        <row r="332">
          <cell r="A332">
            <v>322</v>
          </cell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 t="str">
            <v/>
          </cell>
          <cell r="K332" t="str">
            <v>01</v>
          </cell>
          <cell r="L332">
            <v>12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</row>
        <row r="333">
          <cell r="A333">
            <v>323</v>
          </cell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 t="str">
            <v/>
          </cell>
          <cell r="K333" t="str">
            <v>01</v>
          </cell>
          <cell r="L333">
            <v>12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</row>
        <row r="334">
          <cell r="A334">
            <v>324</v>
          </cell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 t="str">
            <v/>
          </cell>
          <cell r="K334" t="str">
            <v>01</v>
          </cell>
          <cell r="L334">
            <v>12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</row>
        <row r="335">
          <cell r="A335">
            <v>325</v>
          </cell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 t="str">
            <v/>
          </cell>
          <cell r="K335" t="str">
            <v>01</v>
          </cell>
          <cell r="L335">
            <v>12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</row>
        <row r="336">
          <cell r="A336">
            <v>326</v>
          </cell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 t="str">
            <v/>
          </cell>
          <cell r="K336" t="str">
            <v>01</v>
          </cell>
          <cell r="L336">
            <v>12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</row>
        <row r="337">
          <cell r="A337">
            <v>327</v>
          </cell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 t="str">
            <v/>
          </cell>
          <cell r="K337" t="str">
            <v>01</v>
          </cell>
          <cell r="L337">
            <v>12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</row>
        <row r="338">
          <cell r="A338">
            <v>328</v>
          </cell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 t="str">
            <v/>
          </cell>
          <cell r="K338" t="str">
            <v>01</v>
          </cell>
          <cell r="L338">
            <v>12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</row>
        <row r="339">
          <cell r="A339">
            <v>329</v>
          </cell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 t="str">
            <v/>
          </cell>
          <cell r="K339" t="str">
            <v>01</v>
          </cell>
          <cell r="L339">
            <v>12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</row>
        <row r="340">
          <cell r="A340">
            <v>330</v>
          </cell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 t="str">
            <v/>
          </cell>
          <cell r="K340" t="str">
            <v>01</v>
          </cell>
          <cell r="L340">
            <v>12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</row>
        <row r="341">
          <cell r="A341">
            <v>331</v>
          </cell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 t="str">
            <v/>
          </cell>
          <cell r="K341" t="str">
            <v>01</v>
          </cell>
          <cell r="L341">
            <v>12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</row>
        <row r="342">
          <cell r="A342">
            <v>332</v>
          </cell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 t="str">
            <v/>
          </cell>
          <cell r="K342" t="str">
            <v>01</v>
          </cell>
          <cell r="L342">
            <v>12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</row>
        <row r="343">
          <cell r="A343">
            <v>333</v>
          </cell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 t="str">
            <v/>
          </cell>
          <cell r="K343" t="str">
            <v>01</v>
          </cell>
          <cell r="L343">
            <v>12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</row>
        <row r="344">
          <cell r="A344">
            <v>334</v>
          </cell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 t="str">
            <v/>
          </cell>
          <cell r="K344" t="str">
            <v>01</v>
          </cell>
          <cell r="L344">
            <v>12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</row>
        <row r="345">
          <cell r="A345">
            <v>335</v>
          </cell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 t="str">
            <v/>
          </cell>
          <cell r="K345" t="str">
            <v>01</v>
          </cell>
          <cell r="L345">
            <v>12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</row>
        <row r="346">
          <cell r="A346">
            <v>336</v>
          </cell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 t="str">
            <v/>
          </cell>
          <cell r="K346" t="str">
            <v>01</v>
          </cell>
          <cell r="L346">
            <v>12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</row>
        <row r="347">
          <cell r="A347">
            <v>337</v>
          </cell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 t="str">
            <v/>
          </cell>
          <cell r="K347" t="str">
            <v>01</v>
          </cell>
          <cell r="L347">
            <v>12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</row>
        <row r="348">
          <cell r="A348">
            <v>338</v>
          </cell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 t="str">
            <v/>
          </cell>
          <cell r="K348" t="str">
            <v>01</v>
          </cell>
          <cell r="L348">
            <v>12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</row>
        <row r="349">
          <cell r="A349">
            <v>339</v>
          </cell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 t="str">
            <v/>
          </cell>
          <cell r="K349" t="str">
            <v>01</v>
          </cell>
          <cell r="L349">
            <v>12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</row>
        <row r="350">
          <cell r="A350">
            <v>340</v>
          </cell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 t="str">
            <v/>
          </cell>
          <cell r="K350" t="str">
            <v>01</v>
          </cell>
          <cell r="L350">
            <v>12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</row>
        <row r="351">
          <cell r="A351">
            <v>341</v>
          </cell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 t="str">
            <v/>
          </cell>
          <cell r="K351" t="str">
            <v>01</v>
          </cell>
          <cell r="L351">
            <v>12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</row>
        <row r="352">
          <cell r="A352">
            <v>342</v>
          </cell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 t="str">
            <v/>
          </cell>
          <cell r="K352" t="str">
            <v>01</v>
          </cell>
          <cell r="L352">
            <v>12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</row>
        <row r="353">
          <cell r="A353">
            <v>343</v>
          </cell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 t="str">
            <v/>
          </cell>
          <cell r="K353" t="str">
            <v>01</v>
          </cell>
          <cell r="L353">
            <v>12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</row>
        <row r="354">
          <cell r="A354">
            <v>344</v>
          </cell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 t="str">
            <v/>
          </cell>
          <cell r="K354" t="str">
            <v>01</v>
          </cell>
          <cell r="L354">
            <v>12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</row>
        <row r="355">
          <cell r="A355">
            <v>345</v>
          </cell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 t="str">
            <v/>
          </cell>
          <cell r="K355" t="str">
            <v>01</v>
          </cell>
          <cell r="L355">
            <v>12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</row>
        <row r="356">
          <cell r="A356">
            <v>346</v>
          </cell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 t="str">
            <v/>
          </cell>
          <cell r="K356" t="str">
            <v>01</v>
          </cell>
          <cell r="L356">
            <v>12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</row>
        <row r="357">
          <cell r="A357">
            <v>347</v>
          </cell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 t="str">
            <v/>
          </cell>
          <cell r="K357" t="str">
            <v>01</v>
          </cell>
          <cell r="L357">
            <v>12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</row>
        <row r="358">
          <cell r="A358">
            <v>348</v>
          </cell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 t="str">
            <v/>
          </cell>
          <cell r="K358" t="str">
            <v>01</v>
          </cell>
          <cell r="L358">
            <v>12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</row>
        <row r="359">
          <cell r="A359">
            <v>349</v>
          </cell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 t="str">
            <v/>
          </cell>
          <cell r="K359" t="str">
            <v>01</v>
          </cell>
          <cell r="L359">
            <v>12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</row>
        <row r="360">
          <cell r="A360">
            <v>350</v>
          </cell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 t="str">
            <v/>
          </cell>
          <cell r="K360" t="str">
            <v>01</v>
          </cell>
          <cell r="L360">
            <v>12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</row>
        <row r="361">
          <cell r="A361">
            <v>351</v>
          </cell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 t="str">
            <v/>
          </cell>
          <cell r="K361" t="str">
            <v>01</v>
          </cell>
          <cell r="L361">
            <v>12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</row>
        <row r="362">
          <cell r="A362">
            <v>352</v>
          </cell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 t="str">
            <v/>
          </cell>
          <cell r="K362" t="str">
            <v>01</v>
          </cell>
          <cell r="L362">
            <v>12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</row>
        <row r="363">
          <cell r="A363">
            <v>353</v>
          </cell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 t="str">
            <v/>
          </cell>
          <cell r="K363" t="str">
            <v>01</v>
          </cell>
          <cell r="L363">
            <v>12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</row>
        <row r="364">
          <cell r="A364">
            <v>354</v>
          </cell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 t="str">
            <v/>
          </cell>
          <cell r="K364" t="str">
            <v>01</v>
          </cell>
          <cell r="L364">
            <v>12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</row>
        <row r="365">
          <cell r="A365">
            <v>355</v>
          </cell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 t="str">
            <v/>
          </cell>
          <cell r="K365" t="str">
            <v>01</v>
          </cell>
          <cell r="L365">
            <v>12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</row>
        <row r="366">
          <cell r="A366">
            <v>356</v>
          </cell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 t="str">
            <v/>
          </cell>
          <cell r="K366" t="str">
            <v>01</v>
          </cell>
          <cell r="L366">
            <v>12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</row>
        <row r="367">
          <cell r="A367">
            <v>357</v>
          </cell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 t="str">
            <v/>
          </cell>
          <cell r="K367" t="str">
            <v>01</v>
          </cell>
          <cell r="L367">
            <v>12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</row>
        <row r="368">
          <cell r="A368">
            <v>358</v>
          </cell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 t="str">
            <v/>
          </cell>
          <cell r="K368" t="str">
            <v>01</v>
          </cell>
          <cell r="L368">
            <v>12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</row>
        <row r="369">
          <cell r="A369">
            <v>359</v>
          </cell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 t="str">
            <v/>
          </cell>
          <cell r="K369" t="str">
            <v>01</v>
          </cell>
          <cell r="L369">
            <v>12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</row>
        <row r="370">
          <cell r="A370">
            <v>360</v>
          </cell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 t="str">
            <v/>
          </cell>
          <cell r="K370" t="str">
            <v>01</v>
          </cell>
          <cell r="L370">
            <v>12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</row>
        <row r="371">
          <cell r="A371">
            <v>361</v>
          </cell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 t="str">
            <v/>
          </cell>
          <cell r="K371" t="str">
            <v>01</v>
          </cell>
          <cell r="L371">
            <v>12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</row>
        <row r="372">
          <cell r="A372">
            <v>362</v>
          </cell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 t="str">
            <v/>
          </cell>
          <cell r="K372" t="str">
            <v>01</v>
          </cell>
          <cell r="L372">
            <v>12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</row>
        <row r="373">
          <cell r="A373">
            <v>363</v>
          </cell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 t="str">
            <v/>
          </cell>
          <cell r="K373" t="str">
            <v>01</v>
          </cell>
          <cell r="L373">
            <v>12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</row>
        <row r="374">
          <cell r="A374">
            <v>364</v>
          </cell>
          <cell r="B374">
            <v>0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 t="str">
            <v/>
          </cell>
          <cell r="K374" t="str">
            <v>01</v>
          </cell>
          <cell r="L374">
            <v>12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</row>
        <row r="375">
          <cell r="A375">
            <v>365</v>
          </cell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 t="str">
            <v/>
          </cell>
          <cell r="K375" t="str">
            <v>01</v>
          </cell>
          <cell r="L375">
            <v>12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</row>
        <row r="376">
          <cell r="A376">
            <v>366</v>
          </cell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 t="str">
            <v/>
          </cell>
          <cell r="K376" t="str">
            <v>01</v>
          </cell>
          <cell r="L376">
            <v>12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</row>
        <row r="377">
          <cell r="A377">
            <v>367</v>
          </cell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 t="str">
            <v/>
          </cell>
          <cell r="K377" t="str">
            <v>01</v>
          </cell>
          <cell r="L377">
            <v>12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</row>
        <row r="378">
          <cell r="A378">
            <v>368</v>
          </cell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 t="str">
            <v/>
          </cell>
          <cell r="K378" t="str">
            <v>01</v>
          </cell>
          <cell r="L378">
            <v>12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</row>
        <row r="379">
          <cell r="A379">
            <v>369</v>
          </cell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 t="str">
            <v/>
          </cell>
          <cell r="K379" t="str">
            <v>01</v>
          </cell>
          <cell r="L379">
            <v>12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</row>
        <row r="380">
          <cell r="A380">
            <v>370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 t="str">
            <v/>
          </cell>
          <cell r="K380" t="str">
            <v>01</v>
          </cell>
          <cell r="L380">
            <v>12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</row>
        <row r="381">
          <cell r="A381">
            <v>371</v>
          </cell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 t="str">
            <v/>
          </cell>
          <cell r="K381" t="str">
            <v>01</v>
          </cell>
          <cell r="L381">
            <v>12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</row>
        <row r="382">
          <cell r="A382">
            <v>372</v>
          </cell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 t="str">
            <v/>
          </cell>
          <cell r="K382" t="str">
            <v>01</v>
          </cell>
          <cell r="L382">
            <v>12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</row>
        <row r="383">
          <cell r="A383">
            <v>373</v>
          </cell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 t="str">
            <v/>
          </cell>
          <cell r="K383" t="str">
            <v>01</v>
          </cell>
          <cell r="L383">
            <v>12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</row>
        <row r="384">
          <cell r="A384">
            <v>374</v>
          </cell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 t="str">
            <v/>
          </cell>
          <cell r="K384" t="str">
            <v>01</v>
          </cell>
          <cell r="L384">
            <v>12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</row>
        <row r="385">
          <cell r="A385">
            <v>375</v>
          </cell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 t="str">
            <v/>
          </cell>
          <cell r="K385" t="str">
            <v>01</v>
          </cell>
          <cell r="L385">
            <v>12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</row>
        <row r="386">
          <cell r="A386">
            <v>376</v>
          </cell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 t="str">
            <v/>
          </cell>
          <cell r="K386" t="str">
            <v>01</v>
          </cell>
          <cell r="L386">
            <v>12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</row>
        <row r="387">
          <cell r="A387">
            <v>377</v>
          </cell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 t="str">
            <v/>
          </cell>
          <cell r="K387" t="str">
            <v>01</v>
          </cell>
          <cell r="L387">
            <v>12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</row>
        <row r="388">
          <cell r="A388">
            <v>378</v>
          </cell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 t="str">
            <v/>
          </cell>
          <cell r="K388" t="str">
            <v>01</v>
          </cell>
          <cell r="L388">
            <v>12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</row>
        <row r="389">
          <cell r="A389">
            <v>379</v>
          </cell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 t="str">
            <v/>
          </cell>
          <cell r="K389" t="str">
            <v>01</v>
          </cell>
          <cell r="L389">
            <v>12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</row>
        <row r="390">
          <cell r="A390">
            <v>380</v>
          </cell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 t="str">
            <v/>
          </cell>
          <cell r="K390" t="str">
            <v>01</v>
          </cell>
          <cell r="L390">
            <v>12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</row>
        <row r="391">
          <cell r="A391">
            <v>381</v>
          </cell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 t="str">
            <v/>
          </cell>
          <cell r="K391" t="str">
            <v>01</v>
          </cell>
          <cell r="L391">
            <v>12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</row>
        <row r="392">
          <cell r="A392">
            <v>382</v>
          </cell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 t="str">
            <v/>
          </cell>
          <cell r="K392" t="str">
            <v>01</v>
          </cell>
          <cell r="L392">
            <v>12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</row>
        <row r="393">
          <cell r="A393">
            <v>383</v>
          </cell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 t="str">
            <v/>
          </cell>
          <cell r="K393" t="str">
            <v>01</v>
          </cell>
          <cell r="L393">
            <v>12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</row>
        <row r="394">
          <cell r="A394">
            <v>384</v>
          </cell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 t="str">
            <v/>
          </cell>
          <cell r="K394" t="str">
            <v>01</v>
          </cell>
          <cell r="L394">
            <v>12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</row>
        <row r="395">
          <cell r="A395">
            <v>385</v>
          </cell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 t="str">
            <v/>
          </cell>
          <cell r="K395" t="str">
            <v>01</v>
          </cell>
          <cell r="L395">
            <v>12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</row>
        <row r="396">
          <cell r="A396">
            <v>386</v>
          </cell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 t="str">
            <v/>
          </cell>
          <cell r="K396" t="str">
            <v>01</v>
          </cell>
          <cell r="L396">
            <v>12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</row>
        <row r="397">
          <cell r="A397">
            <v>387</v>
          </cell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 t="str">
            <v/>
          </cell>
          <cell r="K397" t="str">
            <v>01</v>
          </cell>
          <cell r="L397">
            <v>12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</row>
        <row r="398">
          <cell r="A398">
            <v>388</v>
          </cell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 t="str">
            <v/>
          </cell>
          <cell r="K398" t="str">
            <v>01</v>
          </cell>
          <cell r="L398">
            <v>12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</row>
        <row r="399">
          <cell r="A399">
            <v>389</v>
          </cell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 t="str">
            <v/>
          </cell>
          <cell r="K399" t="str">
            <v>01</v>
          </cell>
          <cell r="L399">
            <v>12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</row>
        <row r="400">
          <cell r="A400">
            <v>390</v>
          </cell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 t="str">
            <v/>
          </cell>
          <cell r="K400" t="str">
            <v>01</v>
          </cell>
          <cell r="L400">
            <v>12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</row>
        <row r="401">
          <cell r="A401">
            <v>391</v>
          </cell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 t="str">
            <v/>
          </cell>
          <cell r="K401" t="str">
            <v>01</v>
          </cell>
          <cell r="L401">
            <v>12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</row>
        <row r="402">
          <cell r="A402">
            <v>392</v>
          </cell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 t="str">
            <v/>
          </cell>
          <cell r="K402" t="str">
            <v>01</v>
          </cell>
          <cell r="L402">
            <v>12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</row>
        <row r="403">
          <cell r="A403">
            <v>393</v>
          </cell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 t="str">
            <v/>
          </cell>
          <cell r="K403" t="str">
            <v>01</v>
          </cell>
          <cell r="L403">
            <v>12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</row>
        <row r="404">
          <cell r="A404">
            <v>394</v>
          </cell>
          <cell r="B404">
            <v>0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 t="str">
            <v/>
          </cell>
          <cell r="K404" t="str">
            <v>01</v>
          </cell>
          <cell r="L404">
            <v>12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</row>
        <row r="405">
          <cell r="A405">
            <v>395</v>
          </cell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 t="str">
            <v/>
          </cell>
          <cell r="K405" t="str">
            <v>01</v>
          </cell>
          <cell r="L405">
            <v>12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</row>
        <row r="406">
          <cell r="A406">
            <v>396</v>
          </cell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 t="str">
            <v/>
          </cell>
          <cell r="K406" t="str">
            <v>01</v>
          </cell>
          <cell r="L406">
            <v>12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</row>
        <row r="407">
          <cell r="A407">
            <v>397</v>
          </cell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 t="str">
            <v/>
          </cell>
          <cell r="K407" t="str">
            <v>01</v>
          </cell>
          <cell r="L407">
            <v>12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</row>
        <row r="408">
          <cell r="A408">
            <v>398</v>
          </cell>
          <cell r="B408">
            <v>0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 t="str">
            <v/>
          </cell>
          <cell r="K408" t="str">
            <v>01</v>
          </cell>
          <cell r="L408">
            <v>12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</row>
        <row r="409">
          <cell r="A409">
            <v>399</v>
          </cell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 t="str">
            <v/>
          </cell>
          <cell r="K409" t="str">
            <v>01</v>
          </cell>
          <cell r="L409">
            <v>12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</row>
        <row r="410">
          <cell r="A410">
            <v>400</v>
          </cell>
          <cell r="B410">
            <v>0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 t="str">
            <v/>
          </cell>
          <cell r="K410" t="str">
            <v>01</v>
          </cell>
          <cell r="L410">
            <v>12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</row>
        <row r="411">
          <cell r="A411">
            <v>401</v>
          </cell>
          <cell r="B411">
            <v>0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 t="str">
            <v/>
          </cell>
          <cell r="K411" t="str">
            <v>01</v>
          </cell>
          <cell r="L411">
            <v>12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</row>
        <row r="412">
          <cell r="A412">
            <v>402</v>
          </cell>
          <cell r="B412">
            <v>0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 t="str">
            <v/>
          </cell>
          <cell r="K412" t="str">
            <v>01</v>
          </cell>
          <cell r="L412">
            <v>12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</row>
        <row r="413">
          <cell r="A413">
            <v>403</v>
          </cell>
          <cell r="B413">
            <v>0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 t="str">
            <v/>
          </cell>
          <cell r="K413" t="str">
            <v>01</v>
          </cell>
          <cell r="L413">
            <v>12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</row>
        <row r="414">
          <cell r="A414">
            <v>404</v>
          </cell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 t="str">
            <v/>
          </cell>
          <cell r="K414" t="str">
            <v>01</v>
          </cell>
          <cell r="L414">
            <v>12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</row>
        <row r="415">
          <cell r="A415">
            <v>405</v>
          </cell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 t="str">
            <v/>
          </cell>
          <cell r="K415" t="str">
            <v>01</v>
          </cell>
          <cell r="L415">
            <v>12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</row>
        <row r="416">
          <cell r="A416">
            <v>406</v>
          </cell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 t="str">
            <v/>
          </cell>
          <cell r="K416" t="str">
            <v>01</v>
          </cell>
          <cell r="L416">
            <v>12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</row>
        <row r="417">
          <cell r="A417">
            <v>407</v>
          </cell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 t="str">
            <v/>
          </cell>
          <cell r="K417" t="str">
            <v>01</v>
          </cell>
          <cell r="L417">
            <v>12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</row>
        <row r="418">
          <cell r="A418">
            <v>408</v>
          </cell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 t="str">
            <v/>
          </cell>
          <cell r="K418" t="str">
            <v>01</v>
          </cell>
          <cell r="L418">
            <v>12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</row>
        <row r="419">
          <cell r="A419">
            <v>409</v>
          </cell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 t="str">
            <v/>
          </cell>
          <cell r="K419" t="str">
            <v>01</v>
          </cell>
          <cell r="L419">
            <v>12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</row>
        <row r="420">
          <cell r="A420">
            <v>410</v>
          </cell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 t="str">
            <v/>
          </cell>
          <cell r="K420" t="str">
            <v>01</v>
          </cell>
          <cell r="L420">
            <v>12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</row>
        <row r="421">
          <cell r="A421">
            <v>411</v>
          </cell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 t="str">
            <v/>
          </cell>
          <cell r="K421" t="str">
            <v>01</v>
          </cell>
          <cell r="L421">
            <v>12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</row>
        <row r="422">
          <cell r="A422">
            <v>412</v>
          </cell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 t="str">
            <v/>
          </cell>
          <cell r="K422" t="str">
            <v>01</v>
          </cell>
          <cell r="L422">
            <v>12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</row>
        <row r="423">
          <cell r="A423">
            <v>413</v>
          </cell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 t="str">
            <v/>
          </cell>
          <cell r="K423" t="str">
            <v>01</v>
          </cell>
          <cell r="L423">
            <v>12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</row>
        <row r="424">
          <cell r="A424">
            <v>414</v>
          </cell>
          <cell r="B424">
            <v>0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 t="str">
            <v/>
          </cell>
          <cell r="K424" t="str">
            <v>01</v>
          </cell>
          <cell r="L424">
            <v>12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</row>
        <row r="425">
          <cell r="A425">
            <v>415</v>
          </cell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 t="str">
            <v/>
          </cell>
          <cell r="K425" t="str">
            <v>01</v>
          </cell>
          <cell r="L425">
            <v>12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</row>
        <row r="426">
          <cell r="A426">
            <v>416</v>
          </cell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 t="str">
            <v/>
          </cell>
          <cell r="K426" t="str">
            <v>01</v>
          </cell>
          <cell r="L426">
            <v>12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</row>
        <row r="427">
          <cell r="A427">
            <v>417</v>
          </cell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 t="str">
            <v/>
          </cell>
          <cell r="K427" t="str">
            <v>01</v>
          </cell>
          <cell r="L427">
            <v>12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</row>
        <row r="428">
          <cell r="A428">
            <v>418</v>
          </cell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 t="str">
            <v/>
          </cell>
          <cell r="K428" t="str">
            <v>01</v>
          </cell>
          <cell r="L428">
            <v>12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</row>
        <row r="429">
          <cell r="A429">
            <v>419</v>
          </cell>
          <cell r="B429">
            <v>0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 t="str">
            <v/>
          </cell>
          <cell r="K429" t="str">
            <v>01</v>
          </cell>
          <cell r="L429">
            <v>12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</row>
        <row r="430">
          <cell r="A430">
            <v>420</v>
          </cell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 t="str">
            <v/>
          </cell>
          <cell r="K430" t="str">
            <v>01</v>
          </cell>
          <cell r="L430">
            <v>12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</row>
        <row r="431">
          <cell r="A431">
            <v>421</v>
          </cell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 t="str">
            <v/>
          </cell>
          <cell r="K431" t="str">
            <v>01</v>
          </cell>
          <cell r="L431">
            <v>12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</row>
        <row r="432">
          <cell r="A432">
            <v>422</v>
          </cell>
          <cell r="B432">
            <v>0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 t="str">
            <v/>
          </cell>
          <cell r="K432" t="str">
            <v>01</v>
          </cell>
          <cell r="L432">
            <v>12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</row>
        <row r="433">
          <cell r="A433">
            <v>423</v>
          </cell>
          <cell r="B433">
            <v>0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 t="str">
            <v/>
          </cell>
          <cell r="K433" t="str">
            <v>01</v>
          </cell>
          <cell r="L433">
            <v>12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</row>
        <row r="434">
          <cell r="A434">
            <v>424</v>
          </cell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 t="str">
            <v/>
          </cell>
          <cell r="K434" t="str">
            <v>01</v>
          </cell>
          <cell r="L434">
            <v>12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</row>
        <row r="435">
          <cell r="A435">
            <v>425</v>
          </cell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 t="str">
            <v/>
          </cell>
          <cell r="K435" t="str">
            <v>01</v>
          </cell>
          <cell r="L435">
            <v>12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</row>
        <row r="436">
          <cell r="A436">
            <v>426</v>
          </cell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 t="str">
            <v/>
          </cell>
          <cell r="K436" t="str">
            <v>01</v>
          </cell>
          <cell r="L436">
            <v>12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</row>
        <row r="437">
          <cell r="A437">
            <v>427</v>
          </cell>
          <cell r="B437">
            <v>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 t="str">
            <v/>
          </cell>
          <cell r="K437" t="str">
            <v>01</v>
          </cell>
          <cell r="L437">
            <v>12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</row>
        <row r="438">
          <cell r="A438">
            <v>428</v>
          </cell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 t="str">
            <v/>
          </cell>
          <cell r="K438" t="str">
            <v>01</v>
          </cell>
          <cell r="L438">
            <v>12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0</v>
          </cell>
          <cell r="AK438">
            <v>0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</row>
        <row r="439">
          <cell r="A439">
            <v>429</v>
          </cell>
          <cell r="B439">
            <v>0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 t="str">
            <v/>
          </cell>
          <cell r="K439" t="str">
            <v>01</v>
          </cell>
          <cell r="L439">
            <v>12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</row>
        <row r="440">
          <cell r="A440">
            <v>430</v>
          </cell>
          <cell r="B440">
            <v>0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 t="str">
            <v/>
          </cell>
          <cell r="K440" t="str">
            <v>01</v>
          </cell>
          <cell r="L440">
            <v>12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</row>
        <row r="441">
          <cell r="A441">
            <v>431</v>
          </cell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 t="str">
            <v/>
          </cell>
          <cell r="K441" t="str">
            <v>01</v>
          </cell>
          <cell r="L441">
            <v>12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</row>
        <row r="442">
          <cell r="A442">
            <v>432</v>
          </cell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 t="str">
            <v/>
          </cell>
          <cell r="K442" t="str">
            <v>01</v>
          </cell>
          <cell r="L442">
            <v>12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</row>
        <row r="443">
          <cell r="A443">
            <v>433</v>
          </cell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 t="str">
            <v/>
          </cell>
          <cell r="K443" t="str">
            <v>01</v>
          </cell>
          <cell r="L443">
            <v>12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</row>
        <row r="444">
          <cell r="A444">
            <v>434</v>
          </cell>
          <cell r="B444">
            <v>0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 t="str">
            <v/>
          </cell>
          <cell r="K444" t="str">
            <v>01</v>
          </cell>
          <cell r="L444">
            <v>12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</row>
        <row r="445">
          <cell r="A445">
            <v>435</v>
          </cell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 t="str">
            <v/>
          </cell>
          <cell r="K445" t="str">
            <v>01</v>
          </cell>
          <cell r="L445">
            <v>12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</row>
        <row r="446">
          <cell r="A446">
            <v>436</v>
          </cell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 t="str">
            <v/>
          </cell>
          <cell r="K446" t="str">
            <v>01</v>
          </cell>
          <cell r="L446">
            <v>12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</row>
        <row r="447">
          <cell r="A447">
            <v>437</v>
          </cell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 t="str">
            <v/>
          </cell>
          <cell r="K447" t="str">
            <v>01</v>
          </cell>
          <cell r="L447">
            <v>12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</row>
        <row r="448">
          <cell r="A448">
            <v>438</v>
          </cell>
          <cell r="B448">
            <v>0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 t="str">
            <v/>
          </cell>
          <cell r="K448" t="str">
            <v>01</v>
          </cell>
          <cell r="L448">
            <v>12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</row>
        <row r="449">
          <cell r="A449">
            <v>439</v>
          </cell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 t="str">
            <v/>
          </cell>
          <cell r="K449" t="str">
            <v>01</v>
          </cell>
          <cell r="L449">
            <v>12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</row>
        <row r="450">
          <cell r="A450">
            <v>440</v>
          </cell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 t="str">
            <v/>
          </cell>
          <cell r="K450" t="str">
            <v>01</v>
          </cell>
          <cell r="L450">
            <v>12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</row>
        <row r="451">
          <cell r="A451">
            <v>441</v>
          </cell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 t="str">
            <v/>
          </cell>
          <cell r="K451" t="str">
            <v>01</v>
          </cell>
          <cell r="L451">
            <v>12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</row>
        <row r="452">
          <cell r="A452">
            <v>442</v>
          </cell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 t="str">
            <v/>
          </cell>
          <cell r="K452" t="str">
            <v>01</v>
          </cell>
          <cell r="L452">
            <v>12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</row>
        <row r="453">
          <cell r="A453">
            <v>443</v>
          </cell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 t="str">
            <v/>
          </cell>
          <cell r="K453" t="str">
            <v>01</v>
          </cell>
          <cell r="L453">
            <v>12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</row>
        <row r="454">
          <cell r="A454">
            <v>444</v>
          </cell>
          <cell r="B454">
            <v>0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 t="str">
            <v/>
          </cell>
          <cell r="K454" t="str">
            <v>01</v>
          </cell>
          <cell r="L454">
            <v>12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</row>
        <row r="455">
          <cell r="A455">
            <v>445</v>
          </cell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 t="str">
            <v/>
          </cell>
          <cell r="K455" t="str">
            <v>01</v>
          </cell>
          <cell r="L455">
            <v>12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</row>
        <row r="456">
          <cell r="A456">
            <v>446</v>
          </cell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 t="str">
            <v/>
          </cell>
          <cell r="K456" t="str">
            <v>01</v>
          </cell>
          <cell r="L456">
            <v>12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</row>
        <row r="457">
          <cell r="A457">
            <v>447</v>
          </cell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 t="str">
            <v/>
          </cell>
          <cell r="K457" t="str">
            <v>01</v>
          </cell>
          <cell r="L457">
            <v>12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</row>
        <row r="458">
          <cell r="A458">
            <v>448</v>
          </cell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 t="str">
            <v/>
          </cell>
          <cell r="K458" t="str">
            <v>01</v>
          </cell>
          <cell r="L458">
            <v>12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</row>
        <row r="459">
          <cell r="A459">
            <v>449</v>
          </cell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 t="str">
            <v/>
          </cell>
          <cell r="K459" t="str">
            <v>01</v>
          </cell>
          <cell r="L459">
            <v>12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</row>
        <row r="460">
          <cell r="A460">
            <v>450</v>
          </cell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 t="str">
            <v/>
          </cell>
          <cell r="K460" t="str">
            <v>01</v>
          </cell>
          <cell r="L460">
            <v>12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</row>
        <row r="461">
          <cell r="A461">
            <v>451</v>
          </cell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 t="str">
            <v/>
          </cell>
          <cell r="K461" t="str">
            <v>01</v>
          </cell>
          <cell r="L461">
            <v>12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</row>
        <row r="462">
          <cell r="A462">
            <v>452</v>
          </cell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 t="str">
            <v/>
          </cell>
          <cell r="K462" t="str">
            <v>01</v>
          </cell>
          <cell r="L462">
            <v>12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</row>
        <row r="463">
          <cell r="A463">
            <v>453</v>
          </cell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 t="str">
            <v/>
          </cell>
          <cell r="K463" t="str">
            <v>01</v>
          </cell>
          <cell r="L463">
            <v>12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</row>
        <row r="464">
          <cell r="A464">
            <v>454</v>
          </cell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 t="str">
            <v/>
          </cell>
          <cell r="K464" t="str">
            <v>01</v>
          </cell>
          <cell r="L464">
            <v>12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</row>
        <row r="465">
          <cell r="A465">
            <v>455</v>
          </cell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 t="str">
            <v/>
          </cell>
          <cell r="K465" t="str">
            <v>01</v>
          </cell>
          <cell r="L465">
            <v>12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</row>
        <row r="466">
          <cell r="A466">
            <v>456</v>
          </cell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 t="str">
            <v/>
          </cell>
          <cell r="K466" t="str">
            <v>01</v>
          </cell>
          <cell r="L466">
            <v>12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</row>
        <row r="467">
          <cell r="A467">
            <v>457</v>
          </cell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 t="str">
            <v/>
          </cell>
          <cell r="K467" t="str">
            <v>01</v>
          </cell>
          <cell r="L467">
            <v>12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</row>
        <row r="468">
          <cell r="A468">
            <v>458</v>
          </cell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 t="str">
            <v/>
          </cell>
          <cell r="K468" t="str">
            <v>01</v>
          </cell>
          <cell r="L468">
            <v>12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</row>
        <row r="469">
          <cell r="A469">
            <v>459</v>
          </cell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 t="str">
            <v/>
          </cell>
          <cell r="K469" t="str">
            <v>01</v>
          </cell>
          <cell r="L469">
            <v>12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</row>
        <row r="470">
          <cell r="A470">
            <v>460</v>
          </cell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 t="str">
            <v/>
          </cell>
          <cell r="K470" t="str">
            <v>01</v>
          </cell>
          <cell r="L470">
            <v>12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</row>
        <row r="471">
          <cell r="A471">
            <v>461</v>
          </cell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 t="str">
            <v/>
          </cell>
          <cell r="K471" t="str">
            <v>01</v>
          </cell>
          <cell r="L471">
            <v>12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</row>
        <row r="472">
          <cell r="A472">
            <v>462</v>
          </cell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 t="str">
            <v/>
          </cell>
          <cell r="K472" t="str">
            <v>01</v>
          </cell>
          <cell r="L472">
            <v>12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</row>
        <row r="473">
          <cell r="A473">
            <v>463</v>
          </cell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 t="str">
            <v/>
          </cell>
          <cell r="K473" t="str">
            <v>01</v>
          </cell>
          <cell r="L473">
            <v>12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</row>
        <row r="474">
          <cell r="A474">
            <v>464</v>
          </cell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 t="str">
            <v/>
          </cell>
          <cell r="K474" t="str">
            <v>01</v>
          </cell>
          <cell r="L474">
            <v>12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</row>
        <row r="475">
          <cell r="A475">
            <v>465</v>
          </cell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 t="str">
            <v/>
          </cell>
          <cell r="K475" t="str">
            <v>01</v>
          </cell>
          <cell r="L475">
            <v>12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</row>
        <row r="476">
          <cell r="A476">
            <v>466</v>
          </cell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 t="str">
            <v/>
          </cell>
          <cell r="K476" t="str">
            <v>01</v>
          </cell>
          <cell r="L476">
            <v>12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</row>
        <row r="477">
          <cell r="A477">
            <v>467</v>
          </cell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 t="str">
            <v/>
          </cell>
          <cell r="K477" t="str">
            <v>01</v>
          </cell>
          <cell r="L477">
            <v>12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</row>
        <row r="478">
          <cell r="A478">
            <v>468</v>
          </cell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 t="str">
            <v/>
          </cell>
          <cell r="K478" t="str">
            <v>01</v>
          </cell>
          <cell r="L478">
            <v>12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</row>
        <row r="479">
          <cell r="A479">
            <v>469</v>
          </cell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 t="str">
            <v/>
          </cell>
          <cell r="K479" t="str">
            <v>01</v>
          </cell>
          <cell r="L479">
            <v>12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</row>
        <row r="480">
          <cell r="A480">
            <v>470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 t="str">
            <v/>
          </cell>
          <cell r="K480" t="str">
            <v>01</v>
          </cell>
          <cell r="L480">
            <v>12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</row>
        <row r="481">
          <cell r="A481">
            <v>471</v>
          </cell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 t="str">
            <v/>
          </cell>
          <cell r="K481" t="str">
            <v>01</v>
          </cell>
          <cell r="L481">
            <v>12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</row>
        <row r="482">
          <cell r="A482">
            <v>472</v>
          </cell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 t="str">
            <v/>
          </cell>
          <cell r="K482" t="str">
            <v>01</v>
          </cell>
          <cell r="L482">
            <v>12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</row>
        <row r="483">
          <cell r="A483">
            <v>473</v>
          </cell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 t="str">
            <v/>
          </cell>
          <cell r="K483" t="str">
            <v>01</v>
          </cell>
          <cell r="L483">
            <v>12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</row>
        <row r="484">
          <cell r="A484">
            <v>474</v>
          </cell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 t="str">
            <v/>
          </cell>
          <cell r="K484" t="str">
            <v>01</v>
          </cell>
          <cell r="L484">
            <v>12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</row>
        <row r="485">
          <cell r="A485">
            <v>475</v>
          </cell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 t="str">
            <v/>
          </cell>
          <cell r="K485" t="str">
            <v>01</v>
          </cell>
          <cell r="L485">
            <v>12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</row>
        <row r="486">
          <cell r="A486">
            <v>476</v>
          </cell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 t="str">
            <v/>
          </cell>
          <cell r="K486" t="str">
            <v>01</v>
          </cell>
          <cell r="L486">
            <v>12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</row>
        <row r="487">
          <cell r="A487">
            <v>477</v>
          </cell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 t="str">
            <v/>
          </cell>
          <cell r="K487" t="str">
            <v>01</v>
          </cell>
          <cell r="L487">
            <v>12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</row>
        <row r="488">
          <cell r="A488">
            <v>478</v>
          </cell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 t="str">
            <v/>
          </cell>
          <cell r="K488" t="str">
            <v>01</v>
          </cell>
          <cell r="L488">
            <v>12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</row>
        <row r="489">
          <cell r="A489">
            <v>479</v>
          </cell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 t="str">
            <v/>
          </cell>
          <cell r="K489" t="str">
            <v>01</v>
          </cell>
          <cell r="L489">
            <v>12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</row>
        <row r="490">
          <cell r="A490">
            <v>480</v>
          </cell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 t="str">
            <v/>
          </cell>
          <cell r="K490" t="str">
            <v>01</v>
          </cell>
          <cell r="L490">
            <v>12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</row>
        <row r="491">
          <cell r="A491">
            <v>481</v>
          </cell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 t="str">
            <v/>
          </cell>
          <cell r="K491" t="str">
            <v>01</v>
          </cell>
          <cell r="L491">
            <v>12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</row>
        <row r="492">
          <cell r="A492">
            <v>482</v>
          </cell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 t="str">
            <v/>
          </cell>
          <cell r="K492" t="str">
            <v>01</v>
          </cell>
          <cell r="L492">
            <v>12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</row>
        <row r="493">
          <cell r="A493">
            <v>483</v>
          </cell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 t="str">
            <v/>
          </cell>
          <cell r="K493" t="str">
            <v>01</v>
          </cell>
          <cell r="L493">
            <v>12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</row>
        <row r="494">
          <cell r="A494">
            <v>484</v>
          </cell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 t="str">
            <v/>
          </cell>
          <cell r="K494" t="str">
            <v>01</v>
          </cell>
          <cell r="L494">
            <v>12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</row>
        <row r="495">
          <cell r="A495">
            <v>485</v>
          </cell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 t="str">
            <v/>
          </cell>
          <cell r="K495" t="str">
            <v>01</v>
          </cell>
          <cell r="L495">
            <v>12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</row>
        <row r="496">
          <cell r="A496">
            <v>486</v>
          </cell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 t="str">
            <v/>
          </cell>
          <cell r="K496" t="str">
            <v>01</v>
          </cell>
          <cell r="L496">
            <v>12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</row>
        <row r="497">
          <cell r="A497">
            <v>487</v>
          </cell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 t="str">
            <v/>
          </cell>
          <cell r="K497" t="str">
            <v>01</v>
          </cell>
          <cell r="L497">
            <v>12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>
            <v>0</v>
          </cell>
          <cell r="AP497">
            <v>0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</row>
        <row r="498">
          <cell r="A498">
            <v>488</v>
          </cell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 t="str">
            <v/>
          </cell>
          <cell r="K498" t="str">
            <v>01</v>
          </cell>
          <cell r="L498">
            <v>12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</row>
        <row r="499">
          <cell r="A499">
            <v>489</v>
          </cell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 t="str">
            <v/>
          </cell>
          <cell r="K499" t="str">
            <v>01</v>
          </cell>
          <cell r="L499">
            <v>12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</row>
        <row r="500">
          <cell r="A500">
            <v>490</v>
          </cell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 t="str">
            <v/>
          </cell>
          <cell r="K500" t="str">
            <v>01</v>
          </cell>
          <cell r="L500">
            <v>12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>
            <v>0</v>
          </cell>
          <cell r="AP500">
            <v>0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</row>
        <row r="501">
          <cell r="A501">
            <v>491</v>
          </cell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 t="str">
            <v/>
          </cell>
          <cell r="K501" t="str">
            <v>01</v>
          </cell>
          <cell r="L501">
            <v>12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</row>
        <row r="502">
          <cell r="A502">
            <v>492</v>
          </cell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 t="str">
            <v/>
          </cell>
          <cell r="K502" t="str">
            <v>01</v>
          </cell>
          <cell r="L502">
            <v>12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</row>
        <row r="503">
          <cell r="A503">
            <v>493</v>
          </cell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 t="str">
            <v/>
          </cell>
          <cell r="K503" t="str">
            <v>01</v>
          </cell>
          <cell r="L503">
            <v>12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  <cell r="AJ503">
            <v>0</v>
          </cell>
          <cell r="AK503">
            <v>0</v>
          </cell>
          <cell r="AL503">
            <v>0</v>
          </cell>
          <cell r="AM503">
            <v>0</v>
          </cell>
          <cell r="AN503">
            <v>0</v>
          </cell>
          <cell r="AO503">
            <v>0</v>
          </cell>
          <cell r="AP503">
            <v>0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  <cell r="AU503">
            <v>0</v>
          </cell>
          <cell r="AV503">
            <v>0</v>
          </cell>
        </row>
        <row r="504">
          <cell r="A504">
            <v>494</v>
          </cell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 t="str">
            <v/>
          </cell>
          <cell r="K504" t="str">
            <v>01</v>
          </cell>
          <cell r="L504">
            <v>12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</row>
        <row r="505">
          <cell r="A505">
            <v>495</v>
          </cell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 t="str">
            <v/>
          </cell>
          <cell r="K505" t="str">
            <v>01</v>
          </cell>
          <cell r="L505">
            <v>12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</row>
        <row r="506">
          <cell r="A506">
            <v>496</v>
          </cell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 t="str">
            <v/>
          </cell>
          <cell r="K506" t="str">
            <v>01</v>
          </cell>
          <cell r="L506">
            <v>12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</row>
        <row r="507">
          <cell r="A507">
            <v>497</v>
          </cell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 t="str">
            <v/>
          </cell>
          <cell r="K507" t="str">
            <v>01</v>
          </cell>
          <cell r="L507">
            <v>12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</row>
        <row r="508">
          <cell r="A508">
            <v>498</v>
          </cell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 t="str">
            <v/>
          </cell>
          <cell r="K508" t="str">
            <v>01</v>
          </cell>
          <cell r="L508">
            <v>12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</row>
        <row r="509">
          <cell r="A509">
            <v>499</v>
          </cell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 t="str">
            <v/>
          </cell>
          <cell r="K509" t="str">
            <v>01</v>
          </cell>
          <cell r="L509">
            <v>12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</row>
        <row r="510">
          <cell r="A510">
            <v>500</v>
          </cell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 t="str">
            <v/>
          </cell>
          <cell r="K510" t="str">
            <v>01</v>
          </cell>
          <cell r="L510">
            <v>12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</row>
        <row r="511">
          <cell r="A511" t="str">
            <v>J   u   m   l   a   h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57000000</v>
          </cell>
          <cell r="AB511">
            <v>1635000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  <cell r="AU511">
            <v>0</v>
          </cell>
          <cell r="AV511">
            <v>0</v>
          </cell>
        </row>
      </sheetData>
      <sheetData sheetId="19"/>
      <sheetData sheetId="20" refreshError="1"/>
      <sheetData sheetId="21" refreshError="1"/>
      <sheetData sheetId="22" refreshError="1"/>
      <sheetData sheetId="23" refreshError="1"/>
      <sheetData sheetId="24">
        <row r="9">
          <cell r="AL9" t="str">
            <v>JANUARI</v>
          </cell>
          <cell r="AM9" t="str">
            <v>01</v>
          </cell>
        </row>
        <row r="10">
          <cell r="AL10" t="str">
            <v>FEBRUARI</v>
          </cell>
          <cell r="AM10" t="str">
            <v>02</v>
          </cell>
        </row>
        <row r="11">
          <cell r="AL11" t="str">
            <v>MARET</v>
          </cell>
          <cell r="AM11" t="str">
            <v>03</v>
          </cell>
        </row>
        <row r="12">
          <cell r="AL12" t="str">
            <v>APRIL</v>
          </cell>
          <cell r="AM12" t="str">
            <v>04</v>
          </cell>
        </row>
        <row r="13">
          <cell r="AL13" t="str">
            <v>MEI</v>
          </cell>
          <cell r="AM13" t="str">
            <v>05</v>
          </cell>
        </row>
        <row r="14">
          <cell r="AL14" t="str">
            <v>JUNI</v>
          </cell>
          <cell r="AM14" t="str">
            <v>06</v>
          </cell>
        </row>
        <row r="15">
          <cell r="AL15" t="str">
            <v>JULI</v>
          </cell>
          <cell r="AM15" t="str">
            <v>07</v>
          </cell>
        </row>
        <row r="16">
          <cell r="AL16" t="str">
            <v>AGUSTUS</v>
          </cell>
          <cell r="AM16" t="str">
            <v>08</v>
          </cell>
        </row>
        <row r="17">
          <cell r="AL17" t="str">
            <v>SEPTEMBER</v>
          </cell>
          <cell r="AM17" t="str">
            <v>09</v>
          </cell>
        </row>
        <row r="18">
          <cell r="AL18" t="str">
            <v>OKTOBER</v>
          </cell>
          <cell r="AM18" t="str">
            <v>10</v>
          </cell>
        </row>
        <row r="19">
          <cell r="AL19" t="str">
            <v>NOPEMBER</v>
          </cell>
          <cell r="AM19" t="str">
            <v>11</v>
          </cell>
        </row>
        <row r="20">
          <cell r="AL20" t="str">
            <v>DESEMBER</v>
          </cell>
          <cell r="AM20" t="str">
            <v>12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Rp"/>
      <sheetName val="Index"/>
      <sheetName val="link"/>
      <sheetName val="Lem-was"/>
      <sheetName val="RevLHP"/>
      <sheetName val="Cover"/>
      <sheetName val="Daf-Isi-LHP"/>
      <sheetName val="Rev-KKP"/>
      <sheetName val="Indeks-KKP"/>
      <sheetName val="Induk"/>
      <sheetName val="DASAR HUKUM"/>
      <sheetName val="B"/>
      <sheetName val="Hit 21"/>
      <sheetName val="hitung"/>
      <sheetName val="C. Ps. 21 TF"/>
      <sheetName val="C.1"/>
      <sheetName val="C.1.1"/>
      <sheetName val="C.2"/>
      <sheetName val="C.2.1"/>
      <sheetName val="C.3"/>
      <sheetName val="D. Ps. 21 F"/>
      <sheetName val="D.1"/>
      <sheetName val="D.1.1"/>
      <sheetName val="D.2"/>
      <sheetName val="D.3"/>
      <sheetName val="E. Ps. 22"/>
      <sheetName val="E.1"/>
      <sheetName val="E. 1.1"/>
      <sheetName val="E.2"/>
      <sheetName val="E.3"/>
      <sheetName val="F. Ps. 22 F"/>
      <sheetName val="F.1"/>
      <sheetName val="F.1.1"/>
      <sheetName val="F.2"/>
      <sheetName val="F.3"/>
      <sheetName val="G. Ps.23"/>
      <sheetName val="G.1"/>
      <sheetName val="G.1.1"/>
      <sheetName val="G.2"/>
      <sheetName val="G.3"/>
      <sheetName val="J. Ps. 26"/>
      <sheetName val="J.1 "/>
      <sheetName val="J.1.1"/>
      <sheetName val="J.2"/>
      <sheetName val="J.3"/>
      <sheetName val="K. Ps.4.2"/>
      <sheetName val="K.1"/>
      <sheetName val="K.1.1"/>
      <sheetName val="K2"/>
      <sheetName val="K.3"/>
      <sheetName val="L. Ps.15"/>
      <sheetName val="L.1 "/>
      <sheetName val="L.1.1"/>
      <sheetName val="L.2"/>
      <sheetName val="L.3"/>
      <sheetName val="N. PPN"/>
      <sheetName val="N.1"/>
      <sheetName val="N.1.a"/>
      <sheetName val="N.1.1"/>
      <sheetName val="N.1. 2"/>
      <sheetName val="N.9"/>
      <sheetName val="N.10"/>
      <sheetName val="N.11"/>
      <sheetName val="BA-uji"/>
      <sheetName val="L-uji"/>
      <sheetName val="Jawaban PM"/>
      <sheetName val="O"/>
      <sheetName val="P"/>
      <sheetName val="Q"/>
      <sheetName val="R"/>
      <sheetName val="S"/>
      <sheetName val="V"/>
      <sheetName val="W"/>
      <sheetName val="LHP_Badan"/>
      <sheetName val="S-PHP"/>
      <sheetName val="S-PHPjabatan"/>
      <sheetName val="Lamp-PHP"/>
      <sheetName val="Ris-Pem"/>
      <sheetName val="IHPA"/>
      <sheetName val="LPPHP"/>
      <sheetName val="BA-TDTT"/>
      <sheetName val="Und"/>
      <sheetName val="Panggil"/>
      <sheetName val="BATH"/>
      <sheetName val="PPN_cfm SPT"/>
      <sheetName val="PPN_cfm pemeriksa-SPHP"/>
      <sheetName val="PPN_Kor-cfmSPHP"/>
      <sheetName val="PPN cfm pemeriksa-akhir"/>
      <sheetName val="PPN_Kor-cfm-WP"/>
      <sheetName val="PPN_Kor-cfm-pemb_rik"/>
      <sheetName val="PPN YgDisetujuiWP"/>
      <sheetName val="BAPAHP"/>
      <sheetName val="SKP-25"/>
      <sheetName val="SKP-21"/>
      <sheetName val="SKP-21 Per Masa"/>
      <sheetName val="SKP-21F"/>
      <sheetName val="SKP-21 F Per Masa"/>
      <sheetName val="SKP-22"/>
      <sheetName val="SKP-22 F"/>
      <sheetName val="SKP-23"/>
      <sheetName val="SKP-26"/>
      <sheetName val="SKP- 4 (2)"/>
      <sheetName val="SKP- 15"/>
      <sheetName val="SKP-PPN"/>
      <sheetName val="SKP-PPnBM"/>
      <sheetName val="Sheet1"/>
      <sheetName val="STP-25"/>
      <sheetName val="STP-21"/>
      <sheetName val="STP-21 F"/>
      <sheetName val="STP-22"/>
      <sheetName val="STP-22 F"/>
      <sheetName val="STP-23"/>
      <sheetName val="STP-26"/>
      <sheetName val="STP 4(2)"/>
      <sheetName val="STP 15"/>
      <sheetName val="STP PPN"/>
      <sheetName val="RIYANTO"/>
      <sheetName val="VONNY"/>
      <sheetName val="TOMMY"/>
      <sheetName val="WISNU"/>
      <sheetName val="LENA"/>
      <sheetName val="Data WP"/>
      <sheetName val="1770 Induk"/>
      <sheetName val="1770-I-1"/>
      <sheetName val="1770-I-2"/>
      <sheetName val="1770-II"/>
      <sheetName val="1770-III"/>
      <sheetName val="1770-IV"/>
      <sheetName val="CASH FLOW 2020"/>
      <sheetName val="analisa SPT OP"/>
      <sheetName val="2021"/>
      <sheetName val="analisa michale"/>
      <sheetName val="PRIVE"/>
      <sheetName val="PEND BUNGA"/>
      <sheetName val="MANDIRI SEKURITAS JAN-DESEMBER "/>
      <sheetName val="KSC"/>
      <sheetName val="ELS"/>
      <sheetName val="NERACA"/>
      <sheetName val="REKAP HARTA SD 2021"/>
      <sheetName val="LAMP HARTA"/>
      <sheetName val="NPPN"/>
      <sheetName val="Daft PU Dag"/>
      <sheetName val="Daft PU PPh Final"/>
      <sheetName val="Sheet4"/>
      <sheetName val="DATA"/>
      <sheetName val="ISI DISINI"/>
    </sheetNames>
    <sheetDataSet>
      <sheetData sheetId="0">
        <row r="2">
          <cell r="B2" t="str">
            <v>1</v>
          </cell>
          <cell r="C2" t="str">
            <v xml:space="preserve">Satu </v>
          </cell>
          <cell r="D2" t="str">
            <v xml:space="preserve">Sebelas </v>
          </cell>
          <cell r="E2" t="str">
            <v xml:space="preserve">Sepuluh </v>
          </cell>
          <cell r="F2" t="str">
            <v xml:space="preserve">Seratus </v>
          </cell>
          <cell r="G2" t="str">
            <v xml:space="preserve">Seribu </v>
          </cell>
          <cell r="H2" t="str">
            <v xml:space="preserve">Satu Juta </v>
          </cell>
          <cell r="I2" t="str">
            <v xml:space="preserve">Satu Milyar </v>
          </cell>
        </row>
        <row r="3">
          <cell r="B3" t="str">
            <v>2</v>
          </cell>
          <cell r="C3" t="str">
            <v xml:space="preserve">Dua </v>
          </cell>
          <cell r="D3" t="str">
            <v xml:space="preserve">Dua Belas </v>
          </cell>
          <cell r="E3" t="str">
            <v xml:space="preserve">Dua Puluh </v>
          </cell>
          <cell r="F3" t="str">
            <v xml:space="preserve">Dua Ratus </v>
          </cell>
          <cell r="G3" t="str">
            <v xml:space="preserve">Dua Ribu </v>
          </cell>
          <cell r="H3" t="str">
            <v xml:space="preserve">Dua Juta </v>
          </cell>
          <cell r="I3" t="str">
            <v xml:space="preserve">Dua Milyar </v>
          </cell>
        </row>
        <row r="4">
          <cell r="B4" t="str">
            <v>3</v>
          </cell>
          <cell r="C4" t="str">
            <v xml:space="preserve">Tiga </v>
          </cell>
          <cell r="D4" t="str">
            <v xml:space="preserve">Tiga Belas </v>
          </cell>
          <cell r="E4" t="str">
            <v xml:space="preserve">Tiga Puluh </v>
          </cell>
          <cell r="F4" t="str">
            <v xml:space="preserve">Tiga Ratus </v>
          </cell>
          <cell r="G4" t="str">
            <v xml:space="preserve">Tiga Ribu </v>
          </cell>
          <cell r="H4" t="str">
            <v xml:space="preserve">Tiga Juta </v>
          </cell>
          <cell r="I4" t="str">
            <v xml:space="preserve">Tiga Milyar </v>
          </cell>
        </row>
        <row r="5">
          <cell r="B5" t="str">
            <v>4</v>
          </cell>
          <cell r="C5" t="str">
            <v xml:space="preserve">Empat </v>
          </cell>
          <cell r="D5" t="str">
            <v xml:space="preserve">Empat Belas </v>
          </cell>
          <cell r="E5" t="str">
            <v xml:space="preserve">Empat Puluh </v>
          </cell>
          <cell r="F5" t="str">
            <v xml:space="preserve">Empat Ratus </v>
          </cell>
          <cell r="G5" t="str">
            <v xml:space="preserve">Empat Ribu </v>
          </cell>
          <cell r="H5" t="str">
            <v xml:space="preserve">Empat Juta </v>
          </cell>
          <cell r="I5" t="str">
            <v xml:space="preserve">Empat Milyar </v>
          </cell>
        </row>
        <row r="6">
          <cell r="B6" t="str">
            <v>5</v>
          </cell>
          <cell r="C6" t="str">
            <v xml:space="preserve">Lima </v>
          </cell>
          <cell r="D6" t="str">
            <v xml:space="preserve">Lima Belas </v>
          </cell>
          <cell r="E6" t="str">
            <v xml:space="preserve">Lima Puluh </v>
          </cell>
          <cell r="F6" t="str">
            <v xml:space="preserve">Lima Ratus </v>
          </cell>
          <cell r="G6" t="str">
            <v xml:space="preserve">Lima Ribu </v>
          </cell>
          <cell r="H6" t="str">
            <v xml:space="preserve">Lima Juta </v>
          </cell>
          <cell r="I6" t="str">
            <v xml:space="preserve">Lima Milyar </v>
          </cell>
        </row>
        <row r="7">
          <cell r="B7" t="str">
            <v>6</v>
          </cell>
          <cell r="C7" t="str">
            <v xml:space="preserve">Enam </v>
          </cell>
          <cell r="D7" t="str">
            <v xml:space="preserve">Enam Belas </v>
          </cell>
          <cell r="E7" t="str">
            <v xml:space="preserve">Enam Puluh </v>
          </cell>
          <cell r="F7" t="str">
            <v xml:space="preserve">Enam Ratus </v>
          </cell>
          <cell r="G7" t="str">
            <v xml:space="preserve">Enam Ribu </v>
          </cell>
          <cell r="H7" t="str">
            <v xml:space="preserve">Enam Juta </v>
          </cell>
          <cell r="I7" t="str">
            <v xml:space="preserve">Enam Milyar </v>
          </cell>
        </row>
        <row r="8">
          <cell r="B8" t="str">
            <v>7</v>
          </cell>
          <cell r="C8" t="str">
            <v xml:space="preserve">Tujuh </v>
          </cell>
          <cell r="D8" t="str">
            <v xml:space="preserve">Tujuh Belas </v>
          </cell>
          <cell r="E8" t="str">
            <v xml:space="preserve">Tujuh Puluh </v>
          </cell>
          <cell r="F8" t="str">
            <v xml:space="preserve">Tujuh Ratus </v>
          </cell>
          <cell r="G8" t="str">
            <v xml:space="preserve">Tujuh Ribu </v>
          </cell>
          <cell r="H8" t="str">
            <v xml:space="preserve">Tujuh Juta </v>
          </cell>
          <cell r="I8" t="str">
            <v xml:space="preserve">Tujuh Milyar </v>
          </cell>
        </row>
        <row r="9">
          <cell r="B9" t="str">
            <v>8</v>
          </cell>
          <cell r="C9" t="str">
            <v xml:space="preserve">Delapan </v>
          </cell>
          <cell r="D9" t="str">
            <v xml:space="preserve">Delapan Belas </v>
          </cell>
          <cell r="E9" t="str">
            <v xml:space="preserve">Delapan Puluh </v>
          </cell>
          <cell r="F9" t="str">
            <v xml:space="preserve">Delapan Ratus </v>
          </cell>
          <cell r="G9" t="str">
            <v xml:space="preserve">Delapan Ribu </v>
          </cell>
          <cell r="H9" t="str">
            <v xml:space="preserve">Delapan Juta </v>
          </cell>
          <cell r="I9" t="str">
            <v xml:space="preserve">Delapan Milyar </v>
          </cell>
        </row>
        <row r="10">
          <cell r="B10" t="str">
            <v>9</v>
          </cell>
          <cell r="C10" t="str">
            <v xml:space="preserve">Sembilan </v>
          </cell>
          <cell r="D10" t="str">
            <v xml:space="preserve">Sembilan Belas </v>
          </cell>
          <cell r="E10" t="str">
            <v xml:space="preserve">Sembilan Puluh </v>
          </cell>
          <cell r="F10" t="str">
            <v xml:space="preserve">Sembilan Ratus </v>
          </cell>
          <cell r="G10" t="str">
            <v xml:space="preserve">Sembilan Ribu </v>
          </cell>
          <cell r="H10" t="str">
            <v xml:space="preserve">Sembilan Juta </v>
          </cell>
          <cell r="I10" t="str">
            <v xml:space="preserve">Sembilan Milyar 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>
        <row r="5">
          <cell r="B5" t="str">
            <v>ASET</v>
          </cell>
        </row>
      </sheetData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2">
          <cell r="B2">
            <v>0</v>
          </cell>
        </row>
      </sheetData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ca dulu"/>
      <sheetName val="ptt"/>
      <sheetName val="soal"/>
      <sheetName val="DATA"/>
      <sheetName val="Sheet1"/>
      <sheetName val="Sheet2"/>
      <sheetName val="Sheet3"/>
      <sheetName val="PEGAWAI"/>
      <sheetName val="perhitungan"/>
      <sheetName val="1721"/>
      <sheetName val="1721-A"/>
      <sheetName val="1721-A1"/>
      <sheetName val="1721-A1 (2)"/>
      <sheetName val="1721-A2"/>
      <sheetName val="1721-B"/>
      <sheetName val="1721-C"/>
      <sheetName val="ssp"/>
      <sheetName val="Lembar Penghitungan"/>
      <sheetName val="Data Pemotong"/>
      <sheetName val="1770 Induk"/>
      <sheetName val="Daftar Aktiva"/>
      <sheetName val="dbRp"/>
      <sheetName val="data (2)"/>
      <sheetName val="Aktivitas"/>
      <sheetName val="NERACA"/>
      <sheetName val="baca_dulu3"/>
      <sheetName val="1721-A1_(2)3"/>
      <sheetName val="Lembar_Penghitungan"/>
      <sheetName val="Data_Pemotong"/>
      <sheetName val="baca_dulu2"/>
      <sheetName val="1721-A1_(2)2"/>
      <sheetName val="baca_dulu"/>
      <sheetName val="1721-A1_(2)"/>
      <sheetName val="baca_dulu1"/>
      <sheetName val="1721-A1_(2)1"/>
      <sheetName val="ISI DISINI"/>
    </sheetNames>
    <sheetDataSet>
      <sheetData sheetId="0">
        <row r="4">
          <cell r="C4">
            <v>2003</v>
          </cell>
        </row>
      </sheetData>
      <sheetData sheetId="1"/>
      <sheetData sheetId="2"/>
      <sheetData sheetId="3">
        <row r="4">
          <cell r="C4">
            <v>2003</v>
          </cell>
        </row>
        <row r="6">
          <cell r="C6" t="str">
            <v>01.234.567.8-542.000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B INVEN U.O"/>
      <sheetName val="DAF.INVEN U.O"/>
      <sheetName val="DAF.INV-JUNI'05"/>
      <sheetName val="DAF.INV-JUNI'05 (2)"/>
      <sheetName val="DAF_INVEN U_O"/>
      <sheetName val="DATA"/>
      <sheetName val="ESTIMASI MITRA"/>
      <sheetName val="Sheet2 PLT"/>
      <sheetName val="BTL"/>
      <sheetName val="DAT_1"/>
      <sheetName val="Identitas"/>
      <sheetName val="NONCAB"/>
      <sheetName val="LN"/>
      <sheetName val="DKI"/>
      <sheetName val="GABUNGAN"/>
      <sheetName val="LRK"/>
      <sheetName val="NONNRC"/>
      <sheetName val="KURS"/>
      <sheetName val="Trading Statement"/>
      <sheetName val="KKP"/>
      <sheetName val="Tickmarks"/>
      <sheetName val="BSHO Report"/>
      <sheetName val="Check Sheet"/>
      <sheetName val="Front"/>
      <sheetName val="PLHO Report"/>
      <sheetName val="PLHOENG"/>
      <sheetName val="A"/>
      <sheetName val="Module2"/>
      <sheetName val="B7"/>
      <sheetName val="MATERIALFINAL"/>
      <sheetName val="Front sheet"/>
      <sheetName val="TBCons KMB04"/>
      <sheetName val="PABRIK (2)"/>
      <sheetName val="PO"/>
      <sheetName val="bdrl-usg"/>
      <sheetName val="COSY"/>
      <sheetName val="CPO 16-9-TID "/>
      <sheetName val="Analysis(17)"/>
      <sheetName val="Perhitungan"/>
      <sheetName val="Link Config KALTENG-KALSEL 2005"/>
      <sheetName val="KALBAR 2005 BOQ"/>
      <sheetName val="Expenses"/>
      <sheetName val="Lease Expiry"/>
      <sheetName val="TENSCH"/>
      <sheetName val="ESCON"/>
      <sheetName val="Pendp(5)"/>
      <sheetName val="ClubLounge"/>
      <sheetName val="A&amp;G."/>
      <sheetName val="Ambiente"/>
      <sheetName val="Bistro"/>
      <sheetName val="B.Ctr"/>
      <sheetName val="HRD."/>
      <sheetName val="G.Ldy"/>
      <sheetName val="Mini Bar"/>
      <sheetName val="OutsideCTR"/>
      <sheetName val="Pool Cafe"/>
      <sheetName val="P&amp;L Consolidation "/>
      <sheetName val="Rooms Dept."/>
      <sheetName val="ROI"/>
      <sheetName val="In R-Dining"/>
      <sheetName val="S&amp;M."/>
      <sheetName val="Bakery"/>
      <sheetName val="Banquet"/>
      <sheetName val="FB Analysis"/>
      <sheetName val="FBadm"/>
      <sheetName val="Kitc"/>
      <sheetName val="Lounge"/>
      <sheetName val="Pomec."/>
      <sheetName val="Stw"/>
      <sheetName val="Tavern"/>
      <sheetName val="Telephone"/>
      <sheetName val="SA&amp;CW"/>
      <sheetName val="Parameters"/>
      <sheetName val="Tools&amp;Equipment"/>
      <sheetName val="Price"/>
      <sheetName val="MM.PAGE-2.X"/>
      <sheetName val="OHCKR"/>
      <sheetName val="populasi"/>
      <sheetName val="General Info"/>
      <sheetName val="Unit vol"/>
      <sheetName val="Constants"/>
      <sheetName val="Notes to BS"/>
      <sheetName val="PK HJ  HP"/>
      <sheetName val="TAX LIST"/>
      <sheetName val="Reference"/>
      <sheetName val="LWLOPT"/>
      <sheetName val="EBITRECS"/>
      <sheetName val="5X3"/>
      <sheetName val="ISAT WCDMA"/>
      <sheetName val="New 1B"/>
      <sheetName val="Page 2"/>
      <sheetName val="TB"/>
      <sheetName val="DETAIL"/>
      <sheetName val="Prod &amp; Sales"/>
      <sheetName val="SCORE_RC_Code"/>
      <sheetName val="COA"/>
      <sheetName val="LOOKUP"/>
      <sheetName val="10"/>
      <sheetName val="F1查核說明-資產負債"/>
      <sheetName val="Budget 2006"/>
      <sheetName val="Interbank detail"/>
      <sheetName val="may"/>
      <sheetName val="PK"/>
      <sheetName val="Suppl-pack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WP"/>
      <sheetName val="1770 Induk"/>
      <sheetName val="1770-I-1"/>
      <sheetName val="1770-I-2"/>
      <sheetName val="1770-II"/>
      <sheetName val="1770-III"/>
      <sheetName val="1770-IV"/>
      <sheetName val="PPh 25"/>
      <sheetName val="NPPN"/>
      <sheetName val="Daft PU Dag"/>
      <sheetName val="Daft PU PPh Final"/>
      <sheetName val="Daft PU PPh Final 1cbng"/>
    </sheetNames>
    <sheetDataSet>
      <sheetData sheetId="0">
        <row r="3">
          <cell r="E3" t="str">
            <v>begawan5060</v>
          </cell>
        </row>
      </sheetData>
      <sheetData sheetId="1">
        <row r="3">
          <cell r="BD3">
            <v>2014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MASTER Olah (2)"/>
      <sheetName val="GLMASTER Olah"/>
      <sheetName val="GLMASTER"/>
      <sheetName val="data"/>
      <sheetName val="Kartu"/>
      <sheetName val="Sheet1"/>
      <sheetName val="Tabel Jiwa"/>
      <sheetName val="Master (2)"/>
      <sheetName val="tunj"/>
      <sheetName val="BI JUNI 2006"/>
      <sheetName val="C_3"/>
      <sheetName val="KPBW"/>
      <sheetName val="Kodeakun"/>
      <sheetName val="MPP0102"/>
      <sheetName val="Aktivitas"/>
      <sheetName val="CC"/>
      <sheetName val="Master"/>
      <sheetName val="Data1"/>
      <sheetName val="Akun"/>
      <sheetName val="SajiNrc"/>
      <sheetName val="SajiLR"/>
      <sheetName val="Mutasi"/>
      <sheetName val="LK_2"/>
      <sheetName val="NAJUR"/>
      <sheetName val="1770 Induk"/>
      <sheetName val="DAF.INVEN U.O"/>
      <sheetName val="1770  S Induk"/>
      <sheetName val="Neraca Harian Lengkap KPNO"/>
      <sheetName val="Neraca Harian Lengkap KTB"/>
      <sheetName val="Neraca Harian Lengkap KTN"/>
      <sheetName val="Neraca Harian Lengkap LWA"/>
      <sheetName val="Neraca Harian Lengkap MTR"/>
      <sheetName val="Neraca Harian Lengkap PRS"/>
      <sheetName val="Neraca Harian Lengkap SDM"/>
      <sheetName val="Neraca Harian Lengkap TBT"/>
      <sheetName val="Neraca Harian Lengkap UDA"/>
      <sheetName val="Neraca Harian Lengkap WKN"/>
      <sheetName val="Home"/>
      <sheetName val="A1103"/>
      <sheetName val="A1104"/>
      <sheetName val="P&amp;L"/>
      <sheetName val="INDUK2"/>
      <sheetName val="Rincian"/>
      <sheetName val="WS"/>
      <sheetName val="Penjelasan"/>
      <sheetName val="Neraca"/>
      <sheetName val="Ekuitas"/>
      <sheetName val="Arus Kas"/>
      <sheetName val="kelompok bb"/>
      <sheetName val="Arsks"/>
      <sheetName val="SAL"/>
      <sheetName val="LRA"/>
      <sheetName val="Jukor 2017"/>
      <sheetName val="Jukor 2016"/>
      <sheetName val="NERACA-ttd"/>
      <sheetName val="arus kas versi marlina"/>
      <sheetName val="GeneralInfo"/>
      <sheetName val="MAIN"/>
      <sheetName val="Barang"/>
      <sheetName val="CABANG"/>
      <sheetName val=" Posting"/>
      <sheetName val="Satuan dan ukuran"/>
    </sheetNames>
    <sheetDataSet>
      <sheetData sheetId="0"/>
      <sheetData sheetId="1"/>
      <sheetData sheetId="2">
        <row r="1">
          <cell r="A1" t="str">
            <v>NOACCOUNT</v>
          </cell>
          <cell r="B1" t="str">
            <v>DESC</v>
          </cell>
          <cell r="C1" t="str">
            <v>SALDOAWAL</v>
          </cell>
          <cell r="D1" t="str">
            <v>SDKUM01</v>
          </cell>
          <cell r="E1" t="str">
            <v>SKKUM01</v>
          </cell>
          <cell r="F1" t="str">
            <v>SDKUM02</v>
          </cell>
          <cell r="G1" t="str">
            <v>SKKUM02</v>
          </cell>
          <cell r="H1" t="str">
            <v>SDKUM03</v>
          </cell>
          <cell r="I1" t="str">
            <v>SKKUM03</v>
          </cell>
          <cell r="J1" t="str">
            <v>SDKUM04</v>
          </cell>
          <cell r="K1" t="str">
            <v>SKKUM04</v>
          </cell>
          <cell r="L1" t="str">
            <v>SDKUM05</v>
          </cell>
          <cell r="M1" t="str">
            <v>SKKUM05</v>
          </cell>
          <cell r="N1" t="str">
            <v>SDKUM06</v>
          </cell>
          <cell r="O1" t="str">
            <v>SKKUM06</v>
          </cell>
          <cell r="P1" t="str">
            <v>SDKUM07</v>
          </cell>
          <cell r="Q1" t="str">
            <v>SKKUM07</v>
          </cell>
          <cell r="R1" t="str">
            <v>SDKUM08</v>
          </cell>
          <cell r="S1" t="str">
            <v>SKKUM08</v>
          </cell>
          <cell r="T1" t="str">
            <v>SDKUM09</v>
          </cell>
          <cell r="U1" t="str">
            <v>SKKUM09</v>
          </cell>
          <cell r="V1" t="str">
            <v>SDKUM10</v>
          </cell>
          <cell r="W1" t="str">
            <v>SKKUM10</v>
          </cell>
          <cell r="X1" t="str">
            <v>SDKUM11</v>
          </cell>
          <cell r="Y1" t="str">
            <v>SKKUM11</v>
          </cell>
          <cell r="Z1" t="str">
            <v>SDKUM12</v>
          </cell>
          <cell r="AA1" t="str">
            <v>SKKUM12</v>
          </cell>
          <cell r="AB1" t="str">
            <v>SALDOAKHIR</v>
          </cell>
          <cell r="AC1" t="str">
            <v>BUD01</v>
          </cell>
          <cell r="AD1" t="str">
            <v>BUD02</v>
          </cell>
          <cell r="AE1" t="str">
            <v>BUD03</v>
          </cell>
          <cell r="AF1" t="str">
            <v>BUD04</v>
          </cell>
          <cell r="AG1" t="str">
            <v>BUD05</v>
          </cell>
          <cell r="AH1" t="str">
            <v>BUD06</v>
          </cell>
          <cell r="AI1" t="str">
            <v>BUD07</v>
          </cell>
          <cell r="AJ1" t="str">
            <v>BUD08</v>
          </cell>
          <cell r="AK1" t="str">
            <v>BUD09</v>
          </cell>
          <cell r="AL1" t="str">
            <v>BUD10</v>
          </cell>
          <cell r="AM1" t="str">
            <v>BUD11</v>
          </cell>
          <cell r="AN1" t="str">
            <v>BUD12</v>
          </cell>
          <cell r="AO1" t="str">
            <v>CCC</v>
          </cell>
        </row>
        <row r="2">
          <cell r="A2" t="str">
            <v>1110101</v>
          </cell>
          <cell r="B2" t="str">
            <v>KAS SPBU JATIROTO</v>
          </cell>
          <cell r="C2">
            <v>89836580</v>
          </cell>
          <cell r="D2">
            <v>1761152225</v>
          </cell>
          <cell r="E2">
            <v>1797828230</v>
          </cell>
          <cell r="F2">
            <v>1485062925</v>
          </cell>
          <cell r="G2">
            <v>1477154663</v>
          </cell>
          <cell r="H2">
            <v>1650283900</v>
          </cell>
          <cell r="I2">
            <v>1645451240</v>
          </cell>
          <cell r="J2">
            <v>1757676225</v>
          </cell>
          <cell r="K2">
            <v>1774048010</v>
          </cell>
          <cell r="L2">
            <v>1828126630</v>
          </cell>
          <cell r="M2">
            <v>1776329943</v>
          </cell>
          <cell r="N2">
            <v>1757244650</v>
          </cell>
          <cell r="O2">
            <v>1792328270</v>
          </cell>
          <cell r="P2">
            <v>1887699680</v>
          </cell>
          <cell r="Q2">
            <v>1891220500</v>
          </cell>
          <cell r="R2">
            <v>1985008875</v>
          </cell>
          <cell r="S2">
            <v>1834183850</v>
          </cell>
          <cell r="T2">
            <v>1804477150</v>
          </cell>
          <cell r="U2">
            <v>1957746263</v>
          </cell>
          <cell r="V2">
            <v>1801916075</v>
          </cell>
          <cell r="W2">
            <v>1820667759</v>
          </cell>
          <cell r="X2">
            <v>2280314675</v>
          </cell>
          <cell r="Y2">
            <v>2042594257</v>
          </cell>
          <cell r="Z2">
            <v>1880845875</v>
          </cell>
          <cell r="AA2">
            <v>2083324325</v>
          </cell>
          <cell r="AB2">
            <v>76768155</v>
          </cell>
        </row>
        <row r="3">
          <cell r="A3" t="str">
            <v>1110102</v>
          </cell>
          <cell r="B3" t="str">
            <v>KAS KECIL</v>
          </cell>
          <cell r="C3">
            <v>17250</v>
          </cell>
          <cell r="D3">
            <v>1275000</v>
          </cell>
          <cell r="E3">
            <v>1195300</v>
          </cell>
          <cell r="F3">
            <v>1425000</v>
          </cell>
          <cell r="G3">
            <v>1486650</v>
          </cell>
          <cell r="H3">
            <v>1550000</v>
          </cell>
          <cell r="I3">
            <v>1427900</v>
          </cell>
          <cell r="J3">
            <v>1800000</v>
          </cell>
          <cell r="K3">
            <v>1875250</v>
          </cell>
          <cell r="L3">
            <v>1650000</v>
          </cell>
          <cell r="M3">
            <v>1621100</v>
          </cell>
          <cell r="N3">
            <v>2203000</v>
          </cell>
          <cell r="O3">
            <v>2230320</v>
          </cell>
          <cell r="P3">
            <v>1350000</v>
          </cell>
          <cell r="Q3">
            <v>1433550</v>
          </cell>
          <cell r="R3">
            <v>2219500</v>
          </cell>
          <cell r="S3">
            <v>2136300</v>
          </cell>
          <cell r="T3">
            <v>1545000</v>
          </cell>
          <cell r="U3">
            <v>1388300</v>
          </cell>
          <cell r="V3">
            <v>1200000</v>
          </cell>
          <cell r="W3">
            <v>1402800</v>
          </cell>
          <cell r="X3">
            <v>2620750</v>
          </cell>
          <cell r="Y3">
            <v>2502475</v>
          </cell>
          <cell r="Z3">
            <v>2236900</v>
          </cell>
          <cell r="AA3">
            <v>1893000</v>
          </cell>
          <cell r="AB3">
            <v>499455</v>
          </cell>
        </row>
        <row r="4">
          <cell r="A4" t="str">
            <v>1110201</v>
          </cell>
          <cell r="B4" t="str">
            <v>BNI 46 REK. 133798.001 (SUGIANTO)</v>
          </cell>
          <cell r="C4">
            <v>624709</v>
          </cell>
          <cell r="D4">
            <v>1311695380</v>
          </cell>
          <cell r="E4">
            <v>1304267620</v>
          </cell>
          <cell r="F4">
            <v>1220602400</v>
          </cell>
          <cell r="G4">
            <v>1227676300</v>
          </cell>
          <cell r="H4">
            <v>1261876070</v>
          </cell>
          <cell r="I4">
            <v>1260935260</v>
          </cell>
          <cell r="J4">
            <v>1458400270</v>
          </cell>
          <cell r="K4">
            <v>1453117640</v>
          </cell>
          <cell r="L4">
            <v>1258648060</v>
          </cell>
          <cell r="M4">
            <v>1265294980</v>
          </cell>
          <cell r="N4">
            <v>1488637430</v>
          </cell>
          <cell r="O4">
            <v>1488002290</v>
          </cell>
          <cell r="P4">
            <v>1508756500</v>
          </cell>
          <cell r="Q4">
            <v>1450383140</v>
          </cell>
          <cell r="R4">
            <v>1395525220</v>
          </cell>
          <cell r="S4">
            <v>1451742390</v>
          </cell>
          <cell r="T4">
            <v>1832491490</v>
          </cell>
          <cell r="U4">
            <v>1790016340</v>
          </cell>
          <cell r="V4">
            <v>1763560360</v>
          </cell>
          <cell r="W4">
            <v>1802586400</v>
          </cell>
          <cell r="X4">
            <v>1484963960</v>
          </cell>
          <cell r="Y4">
            <v>1490400420</v>
          </cell>
          <cell r="Z4">
            <v>1718243305</v>
          </cell>
          <cell r="AA4">
            <v>1713429420</v>
          </cell>
          <cell r="AB4">
            <v>6172954</v>
          </cell>
        </row>
        <row r="5">
          <cell r="A5" t="str">
            <v>1140201</v>
          </cell>
          <cell r="B5" t="str">
            <v>PK-KARYAWAN SPBU 44-0536</v>
          </cell>
          <cell r="C5">
            <v>0</v>
          </cell>
          <cell r="D5">
            <v>271825</v>
          </cell>
          <cell r="E5">
            <v>0</v>
          </cell>
          <cell r="F5">
            <v>839500</v>
          </cell>
          <cell r="G5">
            <v>171500</v>
          </cell>
          <cell r="H5">
            <v>138500</v>
          </cell>
          <cell r="I5">
            <v>498325</v>
          </cell>
          <cell r="J5">
            <v>281500</v>
          </cell>
          <cell r="K5">
            <v>281500</v>
          </cell>
          <cell r="L5">
            <v>941000</v>
          </cell>
          <cell r="M5">
            <v>841000</v>
          </cell>
          <cell r="N5">
            <v>1004000</v>
          </cell>
          <cell r="O5">
            <v>1104000</v>
          </cell>
          <cell r="P5">
            <v>917000</v>
          </cell>
          <cell r="Q5">
            <v>883000</v>
          </cell>
          <cell r="R5">
            <v>100000</v>
          </cell>
          <cell r="S5">
            <v>214000</v>
          </cell>
          <cell r="T5">
            <v>522000</v>
          </cell>
          <cell r="U5">
            <v>522000</v>
          </cell>
          <cell r="V5">
            <v>69200</v>
          </cell>
          <cell r="W5">
            <v>0</v>
          </cell>
          <cell r="X5">
            <v>0</v>
          </cell>
          <cell r="Y5">
            <v>69200</v>
          </cell>
          <cell r="Z5">
            <v>0</v>
          </cell>
          <cell r="AA5">
            <v>0</v>
          </cell>
          <cell r="AB5">
            <v>500000</v>
          </cell>
        </row>
        <row r="6">
          <cell r="A6" t="str">
            <v>1140301</v>
          </cell>
          <cell r="B6" t="str">
            <v>PA-IBU SUTINI SS</v>
          </cell>
          <cell r="C6">
            <v>59256200</v>
          </cell>
          <cell r="D6">
            <v>65000000</v>
          </cell>
          <cell r="E6">
            <v>0</v>
          </cell>
          <cell r="F6">
            <v>58000000</v>
          </cell>
          <cell r="G6">
            <v>0</v>
          </cell>
          <cell r="H6">
            <v>62000000</v>
          </cell>
          <cell r="I6">
            <v>85000000</v>
          </cell>
          <cell r="J6">
            <v>65500000</v>
          </cell>
          <cell r="K6">
            <v>0</v>
          </cell>
          <cell r="L6">
            <v>75540000</v>
          </cell>
          <cell r="M6">
            <v>40268000</v>
          </cell>
          <cell r="N6">
            <v>58930000</v>
          </cell>
          <cell r="O6">
            <v>2000000</v>
          </cell>
          <cell r="P6">
            <v>26000000</v>
          </cell>
          <cell r="Q6">
            <v>3000000</v>
          </cell>
          <cell r="R6">
            <v>0</v>
          </cell>
          <cell r="S6">
            <v>3000000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61540000</v>
          </cell>
          <cell r="Z6">
            <v>12540000</v>
          </cell>
          <cell r="AA6">
            <v>0</v>
          </cell>
          <cell r="AB6">
            <v>287958200</v>
          </cell>
        </row>
        <row r="7">
          <cell r="A7" t="str">
            <v>1140311</v>
          </cell>
          <cell r="B7" t="str">
            <v>PA-BP. WHARY PRIHARTONO</v>
          </cell>
          <cell r="C7">
            <v>5350000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7000000</v>
          </cell>
        </row>
        <row r="8">
          <cell r="A8" t="str">
            <v>1160101</v>
          </cell>
          <cell r="B8" t="str">
            <v>UM. PEMBELIAN SOLAR/DEPOSIT</v>
          </cell>
          <cell r="C8">
            <v>70680000</v>
          </cell>
          <cell r="D8">
            <v>804156000</v>
          </cell>
          <cell r="E8">
            <v>837216000</v>
          </cell>
          <cell r="F8">
            <v>677160000</v>
          </cell>
          <cell r="G8">
            <v>677160000</v>
          </cell>
          <cell r="H8">
            <v>714780000</v>
          </cell>
          <cell r="I8">
            <v>714780000</v>
          </cell>
          <cell r="J8">
            <v>815100000</v>
          </cell>
          <cell r="K8">
            <v>815100000</v>
          </cell>
          <cell r="L8">
            <v>840180000</v>
          </cell>
          <cell r="M8">
            <v>840180000</v>
          </cell>
          <cell r="N8">
            <v>865260000</v>
          </cell>
          <cell r="O8">
            <v>840180000</v>
          </cell>
          <cell r="P8">
            <v>890340000</v>
          </cell>
          <cell r="Q8">
            <v>927960000</v>
          </cell>
          <cell r="R8">
            <v>927960000</v>
          </cell>
          <cell r="S8">
            <v>940500000</v>
          </cell>
          <cell r="T8">
            <v>953040000</v>
          </cell>
          <cell r="U8">
            <v>902880000</v>
          </cell>
          <cell r="V8">
            <v>940500000</v>
          </cell>
          <cell r="W8">
            <v>902880000</v>
          </cell>
          <cell r="X8">
            <v>727320000</v>
          </cell>
          <cell r="Y8">
            <v>827640000</v>
          </cell>
          <cell r="Z8">
            <v>953040000</v>
          </cell>
          <cell r="AA8">
            <v>852720000</v>
          </cell>
          <cell r="AB8">
            <v>100320000</v>
          </cell>
        </row>
        <row r="9">
          <cell r="A9" t="str">
            <v>1160102</v>
          </cell>
          <cell r="B9" t="str">
            <v>UM. PEMBELIAN PREMIUM/DEPOSIT</v>
          </cell>
          <cell r="C9">
            <v>67200000</v>
          </cell>
          <cell r="D9">
            <v>779366400</v>
          </cell>
          <cell r="E9">
            <v>763161600</v>
          </cell>
          <cell r="F9">
            <v>708940800</v>
          </cell>
          <cell r="G9">
            <v>750643200</v>
          </cell>
          <cell r="H9">
            <v>820147200</v>
          </cell>
          <cell r="I9">
            <v>820147200</v>
          </cell>
          <cell r="J9">
            <v>861849600</v>
          </cell>
          <cell r="K9">
            <v>847948800</v>
          </cell>
          <cell r="L9">
            <v>820147200</v>
          </cell>
          <cell r="M9">
            <v>834048000</v>
          </cell>
          <cell r="N9">
            <v>847948800</v>
          </cell>
          <cell r="O9">
            <v>820147200</v>
          </cell>
          <cell r="P9">
            <v>834048000</v>
          </cell>
          <cell r="Q9">
            <v>875750400</v>
          </cell>
          <cell r="R9">
            <v>889651200</v>
          </cell>
          <cell r="S9">
            <v>903552000</v>
          </cell>
          <cell r="T9">
            <v>889651200</v>
          </cell>
          <cell r="U9">
            <v>834048000</v>
          </cell>
          <cell r="V9">
            <v>861849600</v>
          </cell>
          <cell r="W9">
            <v>820147200</v>
          </cell>
          <cell r="X9">
            <v>1264972800</v>
          </cell>
          <cell r="Y9">
            <v>1278873600</v>
          </cell>
          <cell r="Z9">
            <v>931353600</v>
          </cell>
          <cell r="AA9">
            <v>931353600</v>
          </cell>
          <cell r="AB9">
            <v>97305600</v>
          </cell>
        </row>
        <row r="10">
          <cell r="A10" t="str">
            <v>1310501</v>
          </cell>
          <cell r="B10" t="str">
            <v>AT-PERALATAN KANTOR</v>
          </cell>
          <cell r="C10">
            <v>11008655</v>
          </cell>
          <cell r="D10">
            <v>0</v>
          </cell>
          <cell r="E10">
            <v>0</v>
          </cell>
          <cell r="F10">
            <v>1450000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85000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12543655</v>
          </cell>
        </row>
        <row r="11">
          <cell r="A11" t="str">
            <v>2110101</v>
          </cell>
          <cell r="B11" t="str">
            <v>HU-GELORA</v>
          </cell>
          <cell r="C11">
            <v>-315900</v>
          </cell>
          <cell r="D11">
            <v>5050200</v>
          </cell>
          <cell r="E11">
            <v>4228700</v>
          </cell>
          <cell r="F11">
            <v>2988100</v>
          </cell>
          <cell r="G11">
            <v>4031200</v>
          </cell>
          <cell r="H11">
            <v>3738900</v>
          </cell>
          <cell r="I11">
            <v>3440800</v>
          </cell>
          <cell r="J11">
            <v>3941500</v>
          </cell>
          <cell r="K11">
            <v>4296000</v>
          </cell>
          <cell r="L11">
            <v>3676100</v>
          </cell>
          <cell r="M11">
            <v>3163200</v>
          </cell>
          <cell r="N11">
            <v>3499300</v>
          </cell>
          <cell r="O11">
            <v>4835000</v>
          </cell>
          <cell r="P11">
            <v>4698700</v>
          </cell>
          <cell r="Q11">
            <v>4071800</v>
          </cell>
          <cell r="R11">
            <v>3634500</v>
          </cell>
          <cell r="S11">
            <v>3001700</v>
          </cell>
          <cell r="T11">
            <v>2484300</v>
          </cell>
          <cell r="U11">
            <v>2908200</v>
          </cell>
          <cell r="V11">
            <v>2108700</v>
          </cell>
          <cell r="W11">
            <v>3907700</v>
          </cell>
          <cell r="X11">
            <v>3836500</v>
          </cell>
          <cell r="Y11">
            <v>7169900</v>
          </cell>
          <cell r="Z11">
            <v>5848500</v>
          </cell>
          <cell r="AA11">
            <v>3399100</v>
          </cell>
          <cell r="AB11">
            <v>-3263900</v>
          </cell>
        </row>
        <row r="12">
          <cell r="A12" t="str">
            <v>3130101</v>
          </cell>
          <cell r="B12" t="str">
            <v>LABA/(RUGI) DITAHAN</v>
          </cell>
          <cell r="C12">
            <v>-807589453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150000000</v>
          </cell>
          <cell r="I12">
            <v>0</v>
          </cell>
          <cell r="J12">
            <v>0</v>
          </cell>
          <cell r="K12">
            <v>0</v>
          </cell>
          <cell r="L12">
            <v>135384500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-522204953</v>
          </cell>
        </row>
        <row r="13">
          <cell r="A13" t="str">
            <v>4110101</v>
          </cell>
          <cell r="B13" t="str">
            <v>PENJUALAN BBM SOLAR</v>
          </cell>
          <cell r="C13">
            <v>0</v>
          </cell>
          <cell r="D13">
            <v>0</v>
          </cell>
          <cell r="E13">
            <v>881338125</v>
          </cell>
          <cell r="F13">
            <v>0</v>
          </cell>
          <cell r="G13">
            <v>709193550</v>
          </cell>
          <cell r="H13">
            <v>0</v>
          </cell>
          <cell r="I13">
            <v>764720675</v>
          </cell>
          <cell r="J13">
            <v>0</v>
          </cell>
          <cell r="K13">
            <v>859600300</v>
          </cell>
          <cell r="L13">
            <v>0</v>
          </cell>
          <cell r="M13">
            <v>891015400</v>
          </cell>
          <cell r="N13">
            <v>0</v>
          </cell>
          <cell r="O13">
            <v>873324675</v>
          </cell>
          <cell r="P13">
            <v>0</v>
          </cell>
          <cell r="Q13">
            <v>975304150</v>
          </cell>
          <cell r="R13">
            <v>0</v>
          </cell>
          <cell r="S13">
            <v>982347700</v>
          </cell>
          <cell r="T13">
            <v>0</v>
          </cell>
          <cell r="U13">
            <v>956093475</v>
          </cell>
          <cell r="V13">
            <v>0</v>
          </cell>
          <cell r="W13">
            <v>944318625</v>
          </cell>
          <cell r="X13">
            <v>0</v>
          </cell>
          <cell r="Y13">
            <v>893405475</v>
          </cell>
          <cell r="Z13">
            <v>0</v>
          </cell>
          <cell r="AA13">
            <v>882031975</v>
          </cell>
          <cell r="AB13">
            <v>-10612694125</v>
          </cell>
        </row>
        <row r="14">
          <cell r="A14" t="str">
            <v>4110201</v>
          </cell>
          <cell r="B14" t="str">
            <v>PENJUALAN BBM PREMIUM</v>
          </cell>
          <cell r="C14">
            <v>0</v>
          </cell>
          <cell r="D14">
            <v>0</v>
          </cell>
          <cell r="E14">
            <v>799753300</v>
          </cell>
          <cell r="F14">
            <v>0</v>
          </cell>
          <cell r="G14">
            <v>752367875</v>
          </cell>
          <cell r="H14">
            <v>0</v>
          </cell>
          <cell r="I14">
            <v>861993900</v>
          </cell>
          <cell r="J14">
            <v>0</v>
          </cell>
          <cell r="K14">
            <v>865979425</v>
          </cell>
          <cell r="L14">
            <v>0</v>
          </cell>
          <cell r="M14">
            <v>873765150</v>
          </cell>
          <cell r="N14">
            <v>0</v>
          </cell>
          <cell r="O14">
            <v>859386075</v>
          </cell>
          <cell r="P14">
            <v>0</v>
          </cell>
          <cell r="Q14">
            <v>897848300</v>
          </cell>
          <cell r="R14">
            <v>0</v>
          </cell>
          <cell r="S14">
            <v>961504575</v>
          </cell>
          <cell r="T14">
            <v>0</v>
          </cell>
          <cell r="U14">
            <v>832480175</v>
          </cell>
          <cell r="V14">
            <v>0</v>
          </cell>
          <cell r="W14">
            <v>849829825</v>
          </cell>
          <cell r="X14">
            <v>0</v>
          </cell>
          <cell r="Y14">
            <v>1337245800</v>
          </cell>
          <cell r="Z14">
            <v>0</v>
          </cell>
          <cell r="AA14">
            <v>972337325</v>
          </cell>
          <cell r="AB14">
            <v>-10864491725</v>
          </cell>
        </row>
        <row r="15">
          <cell r="A15" t="str">
            <v>5110101</v>
          </cell>
          <cell r="B15" t="str">
            <v>HARGA POKOK BBM SOLAR</v>
          </cell>
          <cell r="C15">
            <v>0</v>
          </cell>
          <cell r="D15">
            <v>837269636</v>
          </cell>
          <cell r="E15">
            <v>0</v>
          </cell>
          <cell r="F15">
            <v>673734031</v>
          </cell>
          <cell r="G15">
            <v>0</v>
          </cell>
          <cell r="H15">
            <v>726483627</v>
          </cell>
          <cell r="I15">
            <v>0</v>
          </cell>
          <cell r="J15">
            <v>816618838</v>
          </cell>
          <cell r="K15">
            <v>0</v>
          </cell>
          <cell r="L15">
            <v>846459765</v>
          </cell>
          <cell r="M15">
            <v>0</v>
          </cell>
          <cell r="N15">
            <v>829660162</v>
          </cell>
          <cell r="O15">
            <v>0</v>
          </cell>
          <cell r="P15">
            <v>926536710</v>
          </cell>
          <cell r="Q15">
            <v>0</v>
          </cell>
          <cell r="R15">
            <v>933228162</v>
          </cell>
          <cell r="S15">
            <v>0</v>
          </cell>
          <cell r="T15">
            <v>908287641</v>
          </cell>
          <cell r="U15">
            <v>0</v>
          </cell>
          <cell r="V15">
            <v>897101443</v>
          </cell>
          <cell r="W15">
            <v>0</v>
          </cell>
          <cell r="X15">
            <v>848735038</v>
          </cell>
          <cell r="Y15">
            <v>0</v>
          </cell>
          <cell r="Z15">
            <v>837928443</v>
          </cell>
          <cell r="AA15">
            <v>0</v>
          </cell>
          <cell r="AB15">
            <v>10082043496</v>
          </cell>
        </row>
        <row r="16">
          <cell r="A16" t="str">
            <v>5110201</v>
          </cell>
          <cell r="B16" t="str">
            <v>HARGA POKOK BBM PREMIUM</v>
          </cell>
          <cell r="C16">
            <v>0</v>
          </cell>
          <cell r="D16">
            <v>767754906</v>
          </cell>
          <cell r="E16">
            <v>0</v>
          </cell>
          <cell r="F16">
            <v>722269409</v>
          </cell>
          <cell r="G16">
            <v>0</v>
          </cell>
          <cell r="H16">
            <v>827513180</v>
          </cell>
          <cell r="I16">
            <v>0</v>
          </cell>
          <cell r="J16">
            <v>831333775</v>
          </cell>
          <cell r="K16">
            <v>0</v>
          </cell>
          <cell r="L16">
            <v>838810570</v>
          </cell>
          <cell r="M16">
            <v>0</v>
          </cell>
          <cell r="N16">
            <v>825000943</v>
          </cell>
          <cell r="O16">
            <v>0</v>
          </cell>
          <cell r="P16">
            <v>861932642</v>
          </cell>
          <cell r="Q16">
            <v>0</v>
          </cell>
          <cell r="R16">
            <v>923042883</v>
          </cell>
          <cell r="S16">
            <v>0</v>
          </cell>
          <cell r="T16">
            <v>799183226</v>
          </cell>
          <cell r="U16">
            <v>0</v>
          </cell>
          <cell r="V16">
            <v>815834837</v>
          </cell>
          <cell r="W16">
            <v>0</v>
          </cell>
          <cell r="X16">
            <v>1283757107</v>
          </cell>
          <cell r="Y16">
            <v>0</v>
          </cell>
          <cell r="Z16">
            <v>933447964</v>
          </cell>
          <cell r="AA16">
            <v>0</v>
          </cell>
          <cell r="AB16">
            <v>10429881442</v>
          </cell>
        </row>
        <row r="17">
          <cell r="A17" t="str">
            <v>5110301</v>
          </cell>
          <cell r="B17" t="str">
            <v>PENGUAPAN BBM SOLAR</v>
          </cell>
          <cell r="C17">
            <v>0</v>
          </cell>
          <cell r="D17">
            <v>999466</v>
          </cell>
          <cell r="E17">
            <v>0</v>
          </cell>
          <cell r="F17">
            <v>1214817</v>
          </cell>
          <cell r="G17">
            <v>0</v>
          </cell>
          <cell r="H17">
            <v>1297812</v>
          </cell>
          <cell r="I17">
            <v>0</v>
          </cell>
          <cell r="J17">
            <v>1250144</v>
          </cell>
          <cell r="K17">
            <v>0</v>
          </cell>
          <cell r="L17">
            <v>1266211</v>
          </cell>
          <cell r="M17">
            <v>0</v>
          </cell>
          <cell r="N17">
            <v>1225095</v>
          </cell>
          <cell r="O17">
            <v>0</v>
          </cell>
          <cell r="P17">
            <v>1166675</v>
          </cell>
          <cell r="Q17">
            <v>0</v>
          </cell>
          <cell r="R17">
            <v>850478</v>
          </cell>
          <cell r="S17">
            <v>0</v>
          </cell>
          <cell r="T17">
            <v>746265</v>
          </cell>
          <cell r="U17">
            <v>0</v>
          </cell>
          <cell r="V17">
            <v>782010</v>
          </cell>
          <cell r="W17">
            <v>0</v>
          </cell>
          <cell r="X17">
            <v>1455439</v>
          </cell>
          <cell r="Y17">
            <v>0</v>
          </cell>
          <cell r="Z17">
            <v>0</v>
          </cell>
          <cell r="AA17">
            <v>658522</v>
          </cell>
          <cell r="AB17">
            <v>11595890</v>
          </cell>
        </row>
        <row r="18">
          <cell r="A18" t="str">
            <v>5110401</v>
          </cell>
          <cell r="B18" t="str">
            <v>PENGUAPAN BBM PREMIUM</v>
          </cell>
          <cell r="C18">
            <v>0</v>
          </cell>
          <cell r="D18">
            <v>4542824</v>
          </cell>
          <cell r="E18">
            <v>0</v>
          </cell>
          <cell r="F18">
            <v>4084750</v>
          </cell>
          <cell r="G18">
            <v>0</v>
          </cell>
          <cell r="H18">
            <v>4245692</v>
          </cell>
          <cell r="I18">
            <v>0</v>
          </cell>
          <cell r="J18">
            <v>4436927</v>
          </cell>
          <cell r="K18">
            <v>0</v>
          </cell>
          <cell r="L18">
            <v>4844029</v>
          </cell>
          <cell r="M18">
            <v>0</v>
          </cell>
          <cell r="N18">
            <v>4559966</v>
          </cell>
          <cell r="O18">
            <v>0</v>
          </cell>
          <cell r="P18">
            <v>4877356</v>
          </cell>
          <cell r="Q18">
            <v>0</v>
          </cell>
          <cell r="R18">
            <v>4596717</v>
          </cell>
          <cell r="S18">
            <v>0</v>
          </cell>
          <cell r="T18">
            <v>3965134</v>
          </cell>
          <cell r="U18">
            <v>0</v>
          </cell>
          <cell r="V18">
            <v>4353036</v>
          </cell>
          <cell r="W18">
            <v>0</v>
          </cell>
          <cell r="X18">
            <v>5571939</v>
          </cell>
          <cell r="Y18">
            <v>0</v>
          </cell>
          <cell r="Z18">
            <v>7523756</v>
          </cell>
          <cell r="AA18">
            <v>0</v>
          </cell>
          <cell r="AB18">
            <v>57602126</v>
          </cell>
        </row>
        <row r="19">
          <cell r="A19" t="str">
            <v>6210101</v>
          </cell>
          <cell r="B19" t="str">
            <v>BIAYA GAJI DAN UPAH</v>
          </cell>
          <cell r="C19">
            <v>0</v>
          </cell>
          <cell r="D19">
            <v>10692840</v>
          </cell>
          <cell r="E19">
            <v>0</v>
          </cell>
          <cell r="F19">
            <v>10627843</v>
          </cell>
          <cell r="G19">
            <v>0</v>
          </cell>
          <cell r="H19">
            <v>11040970</v>
          </cell>
          <cell r="I19">
            <v>0</v>
          </cell>
          <cell r="J19">
            <v>10816690</v>
          </cell>
          <cell r="K19">
            <v>0</v>
          </cell>
          <cell r="L19">
            <v>10816690</v>
          </cell>
          <cell r="M19">
            <v>0</v>
          </cell>
          <cell r="N19">
            <v>11486450</v>
          </cell>
          <cell r="O19">
            <v>0</v>
          </cell>
          <cell r="P19">
            <v>10987650</v>
          </cell>
          <cell r="Q19">
            <v>0</v>
          </cell>
          <cell r="R19">
            <v>11162050</v>
          </cell>
          <cell r="S19">
            <v>0</v>
          </cell>
          <cell r="T19">
            <v>11661450</v>
          </cell>
          <cell r="U19">
            <v>0</v>
          </cell>
          <cell r="V19">
            <v>11661450</v>
          </cell>
          <cell r="W19">
            <v>0</v>
          </cell>
          <cell r="X19">
            <v>12417200</v>
          </cell>
          <cell r="Y19">
            <v>0</v>
          </cell>
          <cell r="Z19">
            <v>12005105</v>
          </cell>
          <cell r="AA19">
            <v>0</v>
          </cell>
          <cell r="AB19">
            <v>135376388</v>
          </cell>
        </row>
        <row r="20">
          <cell r="A20" t="str">
            <v>6210102</v>
          </cell>
          <cell r="B20" t="str">
            <v>TUNJANGAN MAKAN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30000</v>
          </cell>
        </row>
        <row r="21">
          <cell r="A21" t="str">
            <v>6210103</v>
          </cell>
          <cell r="B21" t="str">
            <v>BIAYA LEMBUR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25000</v>
          </cell>
        </row>
        <row r="22">
          <cell r="A22" t="str">
            <v>6210104</v>
          </cell>
          <cell r="B22" t="str">
            <v>TUNJANGAN KESEHATAN/JAMSOSTEK</v>
          </cell>
          <cell r="C22">
            <v>0</v>
          </cell>
          <cell r="D22">
            <v>320100</v>
          </cell>
          <cell r="E22">
            <v>0</v>
          </cell>
          <cell r="F22">
            <v>640200</v>
          </cell>
          <cell r="G22">
            <v>0</v>
          </cell>
          <cell r="H22">
            <v>0</v>
          </cell>
          <cell r="I22">
            <v>0</v>
          </cell>
          <cell r="J22">
            <v>640200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960300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1600500</v>
          </cell>
          <cell r="AA22">
            <v>0</v>
          </cell>
          <cell r="AB22">
            <v>4161300</v>
          </cell>
        </row>
        <row r="23">
          <cell r="A23" t="str">
            <v>6210105</v>
          </cell>
          <cell r="B23" t="str">
            <v>BIAYA THR/BONUS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13628117</v>
          </cell>
          <cell r="Y23">
            <v>0</v>
          </cell>
          <cell r="Z23">
            <v>0</v>
          </cell>
          <cell r="AA23">
            <v>0</v>
          </cell>
          <cell r="AB23">
            <v>13628117</v>
          </cell>
        </row>
        <row r="24">
          <cell r="A24" t="str">
            <v>6210201</v>
          </cell>
          <cell r="B24" t="str">
            <v>PEMELIHARAAN BANGUNAN/TAMAN</v>
          </cell>
          <cell r="C24">
            <v>0</v>
          </cell>
          <cell r="D24">
            <v>418100</v>
          </cell>
          <cell r="E24">
            <v>0</v>
          </cell>
          <cell r="F24">
            <v>25000</v>
          </cell>
          <cell r="G24">
            <v>0</v>
          </cell>
          <cell r="H24">
            <v>420500</v>
          </cell>
          <cell r="I24">
            <v>0</v>
          </cell>
          <cell r="J24">
            <v>184500</v>
          </cell>
          <cell r="K24">
            <v>0</v>
          </cell>
          <cell r="L24">
            <v>289000</v>
          </cell>
          <cell r="M24">
            <v>0</v>
          </cell>
          <cell r="N24">
            <v>206000</v>
          </cell>
          <cell r="O24">
            <v>0</v>
          </cell>
          <cell r="P24">
            <v>115000</v>
          </cell>
          <cell r="Q24">
            <v>0</v>
          </cell>
          <cell r="R24">
            <v>410000</v>
          </cell>
          <cell r="S24">
            <v>0</v>
          </cell>
          <cell r="T24">
            <v>7641300</v>
          </cell>
          <cell r="U24">
            <v>0</v>
          </cell>
          <cell r="V24">
            <v>138000</v>
          </cell>
          <cell r="W24">
            <v>0</v>
          </cell>
          <cell r="X24">
            <v>3363750</v>
          </cell>
          <cell r="Y24">
            <v>0</v>
          </cell>
          <cell r="Z24">
            <v>24000</v>
          </cell>
          <cell r="AA24">
            <v>0</v>
          </cell>
          <cell r="AB24">
            <v>13235150</v>
          </cell>
        </row>
        <row r="25">
          <cell r="A25" t="str">
            <v>6210202</v>
          </cell>
          <cell r="B25" t="str">
            <v>PEMELIHARAAN MESIN DAN PERALATAN</v>
          </cell>
          <cell r="C25">
            <v>0</v>
          </cell>
          <cell r="D25">
            <v>1216850</v>
          </cell>
          <cell r="E25">
            <v>0</v>
          </cell>
          <cell r="F25">
            <v>4574500</v>
          </cell>
          <cell r="G25">
            <v>0</v>
          </cell>
          <cell r="H25">
            <v>808000</v>
          </cell>
          <cell r="I25">
            <v>0</v>
          </cell>
          <cell r="J25">
            <v>12000</v>
          </cell>
          <cell r="K25">
            <v>0</v>
          </cell>
          <cell r="L25">
            <v>1135000</v>
          </cell>
          <cell r="M25">
            <v>0</v>
          </cell>
          <cell r="N25">
            <v>7000</v>
          </cell>
          <cell r="O25">
            <v>0</v>
          </cell>
          <cell r="P25">
            <v>44500</v>
          </cell>
          <cell r="Q25">
            <v>0</v>
          </cell>
          <cell r="R25">
            <v>1276160</v>
          </cell>
          <cell r="S25">
            <v>0</v>
          </cell>
          <cell r="T25">
            <v>0</v>
          </cell>
          <cell r="U25">
            <v>0</v>
          </cell>
          <cell r="V25">
            <v>1237100</v>
          </cell>
          <cell r="W25">
            <v>0</v>
          </cell>
          <cell r="X25">
            <v>9900</v>
          </cell>
          <cell r="Y25">
            <v>0</v>
          </cell>
          <cell r="Z25">
            <v>4000</v>
          </cell>
          <cell r="AA25">
            <v>0</v>
          </cell>
          <cell r="AB25">
            <v>10325010</v>
          </cell>
        </row>
        <row r="26">
          <cell r="A26" t="str">
            <v>6210203</v>
          </cell>
          <cell r="B26" t="str">
            <v>PEMELIHARAAN INVENTARIS KANTOR</v>
          </cell>
          <cell r="C26">
            <v>0</v>
          </cell>
          <cell r="D26">
            <v>253500</v>
          </cell>
          <cell r="E26">
            <v>0</v>
          </cell>
          <cell r="F26">
            <v>60000</v>
          </cell>
          <cell r="G26">
            <v>0</v>
          </cell>
          <cell r="H26">
            <v>985000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170000</v>
          </cell>
          <cell r="Y26">
            <v>0</v>
          </cell>
          <cell r="Z26">
            <v>286925</v>
          </cell>
          <cell r="AA26">
            <v>0</v>
          </cell>
          <cell r="AB26">
            <v>1755425</v>
          </cell>
        </row>
        <row r="27">
          <cell r="A27" t="str">
            <v>6210301</v>
          </cell>
          <cell r="B27" t="str">
            <v>BIAYA SUPPLIES,ATK DAN CETAKAN</v>
          </cell>
          <cell r="C27">
            <v>0</v>
          </cell>
          <cell r="D27">
            <v>489750</v>
          </cell>
          <cell r="E27">
            <v>0</v>
          </cell>
          <cell r="F27">
            <v>0</v>
          </cell>
          <cell r="G27">
            <v>0</v>
          </cell>
          <cell r="H27">
            <v>19850</v>
          </cell>
          <cell r="I27">
            <v>0</v>
          </cell>
          <cell r="J27">
            <v>14900</v>
          </cell>
          <cell r="K27">
            <v>0</v>
          </cell>
          <cell r="L27">
            <v>26200</v>
          </cell>
          <cell r="M27">
            <v>0</v>
          </cell>
          <cell r="N27">
            <v>94900</v>
          </cell>
          <cell r="O27">
            <v>0</v>
          </cell>
          <cell r="P27">
            <v>41550</v>
          </cell>
          <cell r="Q27">
            <v>0</v>
          </cell>
          <cell r="R27">
            <v>15200</v>
          </cell>
          <cell r="S27">
            <v>0</v>
          </cell>
          <cell r="T27">
            <v>15750</v>
          </cell>
          <cell r="U27">
            <v>0</v>
          </cell>
          <cell r="V27">
            <v>322900</v>
          </cell>
          <cell r="W27">
            <v>0</v>
          </cell>
          <cell r="X27">
            <v>25000</v>
          </cell>
          <cell r="Y27">
            <v>0</v>
          </cell>
          <cell r="Z27">
            <v>38000</v>
          </cell>
          <cell r="AA27">
            <v>0</v>
          </cell>
          <cell r="AB27">
            <v>1104000</v>
          </cell>
        </row>
        <row r="28">
          <cell r="A28" t="str">
            <v>6210401</v>
          </cell>
          <cell r="B28" t="str">
            <v>BIAYA TELPON,FAX DAN TELEX</v>
          </cell>
          <cell r="C28">
            <v>0</v>
          </cell>
          <cell r="D28">
            <v>749000</v>
          </cell>
          <cell r="E28">
            <v>40000</v>
          </cell>
          <cell r="F28">
            <v>516000</v>
          </cell>
          <cell r="G28">
            <v>0</v>
          </cell>
          <cell r="H28">
            <v>470600</v>
          </cell>
          <cell r="I28">
            <v>0</v>
          </cell>
          <cell r="J28">
            <v>338750</v>
          </cell>
          <cell r="K28">
            <v>0</v>
          </cell>
          <cell r="L28">
            <v>450800</v>
          </cell>
          <cell r="M28">
            <v>0</v>
          </cell>
          <cell r="N28">
            <v>259850</v>
          </cell>
          <cell r="O28">
            <v>0</v>
          </cell>
          <cell r="P28">
            <v>423900</v>
          </cell>
          <cell r="Q28">
            <v>0</v>
          </cell>
          <cell r="R28">
            <v>281345</v>
          </cell>
          <cell r="S28">
            <v>0</v>
          </cell>
          <cell r="T28">
            <v>397773</v>
          </cell>
          <cell r="U28">
            <v>0</v>
          </cell>
          <cell r="V28">
            <v>373239</v>
          </cell>
          <cell r="W28">
            <v>0</v>
          </cell>
          <cell r="X28">
            <v>297750</v>
          </cell>
          <cell r="Y28">
            <v>0</v>
          </cell>
          <cell r="Z28">
            <v>393100</v>
          </cell>
          <cell r="AA28">
            <v>0</v>
          </cell>
          <cell r="AB28">
            <v>4912107</v>
          </cell>
        </row>
        <row r="29">
          <cell r="A29" t="str">
            <v>6210501</v>
          </cell>
          <cell r="B29" t="str">
            <v>BIAYA TRANSFER,POS DAN MATERAI</v>
          </cell>
          <cell r="C29">
            <v>0</v>
          </cell>
          <cell r="D29">
            <v>336000</v>
          </cell>
          <cell r="E29">
            <v>0</v>
          </cell>
          <cell r="F29">
            <v>300000</v>
          </cell>
          <cell r="G29">
            <v>0</v>
          </cell>
          <cell r="H29">
            <v>321000</v>
          </cell>
          <cell r="I29">
            <v>0</v>
          </cell>
          <cell r="J29">
            <v>332000</v>
          </cell>
          <cell r="K29">
            <v>0</v>
          </cell>
          <cell r="L29">
            <v>316500</v>
          </cell>
          <cell r="M29">
            <v>0</v>
          </cell>
          <cell r="N29">
            <v>307500</v>
          </cell>
          <cell r="O29">
            <v>0</v>
          </cell>
          <cell r="P29">
            <v>282000</v>
          </cell>
          <cell r="Q29">
            <v>0</v>
          </cell>
          <cell r="R29">
            <v>301000</v>
          </cell>
          <cell r="S29">
            <v>0</v>
          </cell>
          <cell r="T29">
            <v>263000</v>
          </cell>
          <cell r="U29">
            <v>0</v>
          </cell>
          <cell r="V29">
            <v>299000</v>
          </cell>
          <cell r="W29">
            <v>0</v>
          </cell>
          <cell r="X29">
            <v>434500</v>
          </cell>
          <cell r="Y29">
            <v>0</v>
          </cell>
          <cell r="Z29">
            <v>279000</v>
          </cell>
          <cell r="AA29">
            <v>0</v>
          </cell>
          <cell r="AB29">
            <v>3771500</v>
          </cell>
        </row>
        <row r="30">
          <cell r="A30" t="str">
            <v>6210601</v>
          </cell>
          <cell r="B30" t="str">
            <v>BIAYA LISTRIK DAN AIR</v>
          </cell>
          <cell r="C30">
            <v>0</v>
          </cell>
          <cell r="D30">
            <v>1668100</v>
          </cell>
          <cell r="E30">
            <v>0</v>
          </cell>
          <cell r="F30">
            <v>2309000</v>
          </cell>
          <cell r="G30">
            <v>0</v>
          </cell>
          <cell r="H30">
            <v>2304700</v>
          </cell>
          <cell r="I30">
            <v>0</v>
          </cell>
          <cell r="J30">
            <v>1162450</v>
          </cell>
          <cell r="K30">
            <v>0</v>
          </cell>
          <cell r="L30">
            <v>1722950</v>
          </cell>
          <cell r="M30">
            <v>0</v>
          </cell>
          <cell r="N30">
            <v>1746150</v>
          </cell>
          <cell r="O30">
            <v>0</v>
          </cell>
          <cell r="P30">
            <v>1640300</v>
          </cell>
          <cell r="Q30">
            <v>0</v>
          </cell>
          <cell r="R30">
            <v>1815460</v>
          </cell>
          <cell r="S30">
            <v>0</v>
          </cell>
          <cell r="T30">
            <v>1785920</v>
          </cell>
          <cell r="U30">
            <v>0</v>
          </cell>
          <cell r="V30">
            <v>1675290</v>
          </cell>
          <cell r="W30">
            <v>0</v>
          </cell>
          <cell r="X30">
            <v>1677300</v>
          </cell>
          <cell r="Y30">
            <v>0</v>
          </cell>
          <cell r="Z30">
            <v>1832900</v>
          </cell>
          <cell r="AA30">
            <v>0</v>
          </cell>
          <cell r="AB30">
            <v>21340520</v>
          </cell>
        </row>
        <row r="31">
          <cell r="A31" t="str">
            <v>6210701</v>
          </cell>
          <cell r="B31" t="str">
            <v>BIAYA TRANSPORT LOKAL (BBM,TOL&amp;PARKIR)</v>
          </cell>
          <cell r="C31">
            <v>0</v>
          </cell>
          <cell r="D31">
            <v>36000</v>
          </cell>
          <cell r="E31">
            <v>0</v>
          </cell>
          <cell r="F31">
            <v>233000</v>
          </cell>
          <cell r="G31">
            <v>0</v>
          </cell>
          <cell r="H31">
            <v>66000</v>
          </cell>
          <cell r="I31">
            <v>0</v>
          </cell>
          <cell r="J31">
            <v>238600</v>
          </cell>
          <cell r="K31">
            <v>0</v>
          </cell>
          <cell r="L31">
            <v>24500</v>
          </cell>
          <cell r="M31">
            <v>0</v>
          </cell>
          <cell r="N31">
            <v>50000</v>
          </cell>
          <cell r="O31">
            <v>0</v>
          </cell>
          <cell r="P31">
            <v>54000</v>
          </cell>
          <cell r="Q31">
            <v>0</v>
          </cell>
          <cell r="R31">
            <v>96500</v>
          </cell>
          <cell r="S31">
            <v>0</v>
          </cell>
          <cell r="T31">
            <v>40000</v>
          </cell>
          <cell r="U31">
            <v>0</v>
          </cell>
          <cell r="V31">
            <v>60500</v>
          </cell>
          <cell r="W31">
            <v>0</v>
          </cell>
          <cell r="X31">
            <v>57575</v>
          </cell>
          <cell r="Y31">
            <v>0</v>
          </cell>
          <cell r="Z31">
            <v>36000</v>
          </cell>
          <cell r="AA31">
            <v>0</v>
          </cell>
          <cell r="AB31">
            <v>992675</v>
          </cell>
        </row>
        <row r="32">
          <cell r="A32" t="str">
            <v>6210801</v>
          </cell>
          <cell r="B32" t="str">
            <v>BIAYA PERJALANAN DINAS</v>
          </cell>
          <cell r="C32">
            <v>0</v>
          </cell>
          <cell r="D32">
            <v>102000</v>
          </cell>
          <cell r="E32">
            <v>0</v>
          </cell>
          <cell r="F32">
            <v>475750</v>
          </cell>
          <cell r="G32">
            <v>0</v>
          </cell>
          <cell r="H32">
            <v>273800</v>
          </cell>
          <cell r="I32">
            <v>0</v>
          </cell>
          <cell r="J32">
            <v>538800</v>
          </cell>
          <cell r="K32">
            <v>0</v>
          </cell>
          <cell r="L32">
            <v>298693</v>
          </cell>
          <cell r="M32">
            <v>0</v>
          </cell>
          <cell r="N32">
            <v>751900</v>
          </cell>
          <cell r="O32">
            <v>0</v>
          </cell>
          <cell r="P32">
            <v>791000</v>
          </cell>
          <cell r="Q32">
            <v>0</v>
          </cell>
          <cell r="R32">
            <v>1772350</v>
          </cell>
          <cell r="S32">
            <v>0</v>
          </cell>
          <cell r="T32">
            <v>1753850</v>
          </cell>
          <cell r="U32">
            <v>0</v>
          </cell>
          <cell r="V32">
            <v>761700</v>
          </cell>
          <cell r="W32">
            <v>0</v>
          </cell>
          <cell r="X32">
            <v>299450</v>
          </cell>
          <cell r="Y32">
            <v>0</v>
          </cell>
          <cell r="Z32">
            <v>714500</v>
          </cell>
          <cell r="AA32">
            <v>0</v>
          </cell>
          <cell r="AB32">
            <v>8533793</v>
          </cell>
        </row>
        <row r="33">
          <cell r="A33" t="str">
            <v>6210901</v>
          </cell>
          <cell r="B33" t="str">
            <v>BIAYA REPRESENTASI/ENTERTAIMENT</v>
          </cell>
          <cell r="C33">
            <v>0</v>
          </cell>
          <cell r="D33">
            <v>821700</v>
          </cell>
          <cell r="E33">
            <v>0</v>
          </cell>
          <cell r="F33">
            <v>237250</v>
          </cell>
          <cell r="G33">
            <v>0</v>
          </cell>
          <cell r="H33">
            <v>571000</v>
          </cell>
          <cell r="I33">
            <v>0</v>
          </cell>
          <cell r="J33">
            <v>1414000</v>
          </cell>
          <cell r="K33">
            <v>0</v>
          </cell>
          <cell r="L33">
            <v>1452250</v>
          </cell>
          <cell r="M33">
            <v>0</v>
          </cell>
          <cell r="N33">
            <v>258000</v>
          </cell>
          <cell r="O33">
            <v>0</v>
          </cell>
          <cell r="P33">
            <v>782450</v>
          </cell>
          <cell r="Q33">
            <v>0</v>
          </cell>
          <cell r="R33">
            <v>360700</v>
          </cell>
          <cell r="S33">
            <v>0</v>
          </cell>
          <cell r="T33">
            <v>677300</v>
          </cell>
          <cell r="U33">
            <v>0</v>
          </cell>
          <cell r="V33">
            <v>326400</v>
          </cell>
          <cell r="W33">
            <v>0</v>
          </cell>
          <cell r="X33">
            <v>748000</v>
          </cell>
          <cell r="Y33">
            <v>0</v>
          </cell>
          <cell r="Z33">
            <v>7219950</v>
          </cell>
          <cell r="AA33">
            <v>0</v>
          </cell>
          <cell r="AB33">
            <v>14869000</v>
          </cell>
        </row>
        <row r="34">
          <cell r="A34" t="str">
            <v>6211001</v>
          </cell>
          <cell r="B34" t="str">
            <v>BIAYA KEPERLUAN KANTOR (RT KANTOR)</v>
          </cell>
          <cell r="C34">
            <v>0</v>
          </cell>
          <cell r="D34">
            <v>74500</v>
          </cell>
          <cell r="E34">
            <v>0</v>
          </cell>
          <cell r="F34">
            <v>58150</v>
          </cell>
          <cell r="G34">
            <v>0</v>
          </cell>
          <cell r="H34">
            <v>38000</v>
          </cell>
          <cell r="I34">
            <v>0</v>
          </cell>
          <cell r="J34">
            <v>111600</v>
          </cell>
          <cell r="K34">
            <v>0</v>
          </cell>
          <cell r="L34">
            <v>318700</v>
          </cell>
          <cell r="M34">
            <v>0</v>
          </cell>
          <cell r="N34">
            <v>49120</v>
          </cell>
          <cell r="O34">
            <v>0</v>
          </cell>
          <cell r="P34">
            <v>45000</v>
          </cell>
          <cell r="Q34">
            <v>0</v>
          </cell>
          <cell r="R34">
            <v>81000</v>
          </cell>
          <cell r="S34">
            <v>0</v>
          </cell>
          <cell r="T34">
            <v>79150</v>
          </cell>
          <cell r="U34">
            <v>0</v>
          </cell>
          <cell r="V34">
            <v>7650</v>
          </cell>
          <cell r="W34">
            <v>0</v>
          </cell>
          <cell r="X34">
            <v>53500</v>
          </cell>
          <cell r="Y34">
            <v>0</v>
          </cell>
          <cell r="Z34">
            <v>38000</v>
          </cell>
          <cell r="AA34">
            <v>0</v>
          </cell>
          <cell r="AB34">
            <v>954370</v>
          </cell>
        </row>
        <row r="35">
          <cell r="A35" t="str">
            <v>6211201</v>
          </cell>
          <cell r="B35" t="str">
            <v>BIAYA MAKAN DAN MINUM</v>
          </cell>
          <cell r="C35">
            <v>0</v>
          </cell>
          <cell r="D35">
            <v>18500</v>
          </cell>
          <cell r="E35">
            <v>0</v>
          </cell>
          <cell r="F35">
            <v>10500</v>
          </cell>
          <cell r="G35">
            <v>0</v>
          </cell>
          <cell r="H35">
            <v>691600</v>
          </cell>
          <cell r="I35">
            <v>0</v>
          </cell>
          <cell r="J35">
            <v>3500</v>
          </cell>
          <cell r="K35">
            <v>0</v>
          </cell>
          <cell r="L35">
            <v>38600</v>
          </cell>
          <cell r="M35">
            <v>0</v>
          </cell>
          <cell r="N35">
            <v>0</v>
          </cell>
          <cell r="O35">
            <v>0</v>
          </cell>
          <cell r="P35">
            <v>73500</v>
          </cell>
          <cell r="Q35">
            <v>0</v>
          </cell>
          <cell r="R35">
            <v>35100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445500</v>
          </cell>
          <cell r="Y35">
            <v>0</v>
          </cell>
          <cell r="Z35">
            <v>0</v>
          </cell>
          <cell r="AA35">
            <v>0</v>
          </cell>
          <cell r="AB35">
            <v>1316800</v>
          </cell>
        </row>
        <row r="36">
          <cell r="A36" t="str">
            <v>6211301</v>
          </cell>
          <cell r="B36" t="str">
            <v>BIAYA KEAMANAN DAN KEBERSIHAN</v>
          </cell>
          <cell r="C36">
            <v>0</v>
          </cell>
          <cell r="D36">
            <v>155000</v>
          </cell>
          <cell r="E36">
            <v>0</v>
          </cell>
          <cell r="F36">
            <v>105000</v>
          </cell>
          <cell r="G36">
            <v>0</v>
          </cell>
          <cell r="H36">
            <v>130500</v>
          </cell>
          <cell r="I36">
            <v>0</v>
          </cell>
          <cell r="J36">
            <v>204650</v>
          </cell>
          <cell r="K36">
            <v>0</v>
          </cell>
          <cell r="L36">
            <v>160000</v>
          </cell>
          <cell r="M36">
            <v>0</v>
          </cell>
          <cell r="N36">
            <v>195000</v>
          </cell>
          <cell r="O36">
            <v>0</v>
          </cell>
          <cell r="P36">
            <v>193000</v>
          </cell>
          <cell r="Q36">
            <v>0</v>
          </cell>
          <cell r="R36">
            <v>170000</v>
          </cell>
          <cell r="S36">
            <v>0</v>
          </cell>
          <cell r="T36">
            <v>179100</v>
          </cell>
          <cell r="U36">
            <v>0</v>
          </cell>
          <cell r="V36">
            <v>100000</v>
          </cell>
          <cell r="W36">
            <v>0</v>
          </cell>
          <cell r="X36">
            <v>549750</v>
          </cell>
          <cell r="Y36">
            <v>0</v>
          </cell>
          <cell r="Z36">
            <v>150250</v>
          </cell>
          <cell r="AA36">
            <v>0</v>
          </cell>
          <cell r="AB36">
            <v>2292250</v>
          </cell>
        </row>
        <row r="37">
          <cell r="A37" t="str">
            <v>6211501</v>
          </cell>
          <cell r="B37" t="str">
            <v>IURAN DAN SUMBANGAN</v>
          </cell>
          <cell r="C37">
            <v>0</v>
          </cell>
          <cell r="D37">
            <v>405600</v>
          </cell>
          <cell r="E37">
            <v>0</v>
          </cell>
          <cell r="F37">
            <v>640000</v>
          </cell>
          <cell r="G37">
            <v>0</v>
          </cell>
          <cell r="H37">
            <v>569500</v>
          </cell>
          <cell r="I37">
            <v>0</v>
          </cell>
          <cell r="J37">
            <v>75000</v>
          </cell>
          <cell r="K37">
            <v>0</v>
          </cell>
          <cell r="L37">
            <v>245000</v>
          </cell>
          <cell r="M37">
            <v>0</v>
          </cell>
          <cell r="N37">
            <v>330000</v>
          </cell>
          <cell r="O37">
            <v>0</v>
          </cell>
          <cell r="P37">
            <v>65000</v>
          </cell>
          <cell r="Q37">
            <v>0</v>
          </cell>
          <cell r="R37">
            <v>998600</v>
          </cell>
          <cell r="S37">
            <v>0</v>
          </cell>
          <cell r="T37">
            <v>329800</v>
          </cell>
          <cell r="U37">
            <v>0</v>
          </cell>
          <cell r="V37">
            <v>2052500</v>
          </cell>
          <cell r="W37">
            <v>0</v>
          </cell>
          <cell r="X37">
            <v>1491050</v>
          </cell>
          <cell r="Y37">
            <v>0</v>
          </cell>
          <cell r="Z37">
            <v>885650</v>
          </cell>
          <cell r="AA37">
            <v>0</v>
          </cell>
          <cell r="AB37">
            <v>8087700</v>
          </cell>
        </row>
        <row r="38">
          <cell r="A38" t="str">
            <v>6211601</v>
          </cell>
          <cell r="B38" t="str">
            <v>BIAYA BONGKAR BBM</v>
          </cell>
          <cell r="C38">
            <v>0</v>
          </cell>
          <cell r="D38">
            <v>590000</v>
          </cell>
          <cell r="E38">
            <v>0</v>
          </cell>
          <cell r="F38">
            <v>540000</v>
          </cell>
          <cell r="G38">
            <v>0</v>
          </cell>
          <cell r="H38">
            <v>585000</v>
          </cell>
          <cell r="I38">
            <v>0</v>
          </cell>
          <cell r="J38">
            <v>630000</v>
          </cell>
          <cell r="K38">
            <v>0</v>
          </cell>
          <cell r="L38">
            <v>635000</v>
          </cell>
          <cell r="M38">
            <v>0</v>
          </cell>
          <cell r="N38">
            <v>630000</v>
          </cell>
          <cell r="O38">
            <v>0</v>
          </cell>
          <cell r="P38">
            <v>690000</v>
          </cell>
          <cell r="Q38">
            <v>0</v>
          </cell>
          <cell r="R38">
            <v>705000</v>
          </cell>
          <cell r="S38">
            <v>0</v>
          </cell>
          <cell r="T38">
            <v>660000</v>
          </cell>
          <cell r="U38">
            <v>0</v>
          </cell>
          <cell r="V38">
            <v>660000</v>
          </cell>
          <cell r="W38">
            <v>0</v>
          </cell>
          <cell r="X38">
            <v>1150000</v>
          </cell>
          <cell r="Y38">
            <v>0</v>
          </cell>
          <cell r="Z38">
            <v>760000</v>
          </cell>
          <cell r="AA38">
            <v>0</v>
          </cell>
          <cell r="AB38">
            <v>8235000</v>
          </cell>
        </row>
        <row r="39">
          <cell r="A39" t="str">
            <v>6211701</v>
          </cell>
          <cell r="B39" t="str">
            <v>BIAYA LISTRIK GENSET</v>
          </cell>
          <cell r="C39">
            <v>0</v>
          </cell>
          <cell r="D39">
            <v>23000</v>
          </cell>
          <cell r="E39">
            <v>0</v>
          </cell>
          <cell r="F39">
            <v>92500</v>
          </cell>
          <cell r="G39">
            <v>0</v>
          </cell>
          <cell r="H39">
            <v>124750</v>
          </cell>
          <cell r="I39">
            <v>0</v>
          </cell>
          <cell r="J39">
            <v>132000</v>
          </cell>
          <cell r="K39">
            <v>0</v>
          </cell>
          <cell r="L39">
            <v>280500</v>
          </cell>
          <cell r="M39">
            <v>0</v>
          </cell>
          <cell r="N39">
            <v>346500</v>
          </cell>
          <cell r="O39">
            <v>0</v>
          </cell>
          <cell r="P39">
            <v>132000</v>
          </cell>
          <cell r="Q39">
            <v>0</v>
          </cell>
          <cell r="R39">
            <v>82500</v>
          </cell>
          <cell r="S39">
            <v>0</v>
          </cell>
          <cell r="T39">
            <v>161800</v>
          </cell>
          <cell r="U39">
            <v>0</v>
          </cell>
          <cell r="V39">
            <v>222750</v>
          </cell>
          <cell r="W39">
            <v>0</v>
          </cell>
          <cell r="X39">
            <v>297000</v>
          </cell>
          <cell r="Y39">
            <v>0</v>
          </cell>
          <cell r="Z39">
            <v>363500</v>
          </cell>
          <cell r="AA39">
            <v>0</v>
          </cell>
          <cell r="AB39">
            <v>2258800</v>
          </cell>
        </row>
        <row r="40">
          <cell r="A40" t="str">
            <v>7110101</v>
          </cell>
          <cell r="B40" t="str">
            <v>PENDAPATAN JASA GIRO</v>
          </cell>
          <cell r="C40">
            <v>0</v>
          </cell>
          <cell r="D40">
            <v>0</v>
          </cell>
          <cell r="E40">
            <v>47080</v>
          </cell>
          <cell r="F40">
            <v>0</v>
          </cell>
          <cell r="G40">
            <v>21500</v>
          </cell>
          <cell r="H40">
            <v>0</v>
          </cell>
          <cell r="I40">
            <v>17270</v>
          </cell>
          <cell r="J40">
            <v>0</v>
          </cell>
          <cell r="K40">
            <v>17170</v>
          </cell>
          <cell r="L40">
            <v>0</v>
          </cell>
          <cell r="M40">
            <v>14860</v>
          </cell>
          <cell r="N40">
            <v>0</v>
          </cell>
          <cell r="O40">
            <v>23430</v>
          </cell>
          <cell r="P40">
            <v>0</v>
          </cell>
          <cell r="Q40">
            <v>27660</v>
          </cell>
          <cell r="R40">
            <v>0</v>
          </cell>
          <cell r="S40">
            <v>19920</v>
          </cell>
          <cell r="T40">
            <v>0</v>
          </cell>
          <cell r="U40">
            <v>28690</v>
          </cell>
          <cell r="V40">
            <v>0</v>
          </cell>
          <cell r="W40">
            <v>28960</v>
          </cell>
          <cell r="X40">
            <v>0</v>
          </cell>
          <cell r="Y40">
            <v>38060</v>
          </cell>
          <cell r="Z40">
            <v>0</v>
          </cell>
          <cell r="AA40">
            <v>23080</v>
          </cell>
          <cell r="AB40">
            <v>-307680</v>
          </cell>
        </row>
        <row r="41">
          <cell r="A41" t="str">
            <v>7110103</v>
          </cell>
          <cell r="B41" t="str">
            <v>PENDAPATAN DISCOUNT</v>
          </cell>
          <cell r="C41">
            <v>0</v>
          </cell>
          <cell r="D41">
            <v>0</v>
          </cell>
          <cell r="E41">
            <v>492100</v>
          </cell>
          <cell r="F41">
            <v>0</v>
          </cell>
          <cell r="G41">
            <v>0</v>
          </cell>
          <cell r="H41">
            <v>0</v>
          </cell>
          <cell r="I41">
            <v>380200</v>
          </cell>
          <cell r="J41">
            <v>0</v>
          </cell>
          <cell r="K41">
            <v>299000</v>
          </cell>
          <cell r="L41">
            <v>0</v>
          </cell>
          <cell r="M41">
            <v>473880</v>
          </cell>
          <cell r="N41">
            <v>0</v>
          </cell>
          <cell r="O41">
            <v>228900</v>
          </cell>
          <cell r="P41">
            <v>0</v>
          </cell>
          <cell r="Q41">
            <v>346430</v>
          </cell>
          <cell r="R41">
            <v>0</v>
          </cell>
          <cell r="S41">
            <v>754900</v>
          </cell>
          <cell r="T41">
            <v>0</v>
          </cell>
          <cell r="U41">
            <v>291300</v>
          </cell>
          <cell r="V41">
            <v>0</v>
          </cell>
          <cell r="W41">
            <v>519425</v>
          </cell>
          <cell r="X41">
            <v>0</v>
          </cell>
          <cell r="Y41">
            <v>316300</v>
          </cell>
          <cell r="Z41">
            <v>0</v>
          </cell>
          <cell r="AA41">
            <v>541475</v>
          </cell>
          <cell r="AB41">
            <v>-4643910</v>
          </cell>
        </row>
        <row r="42">
          <cell r="A42" t="str">
            <v>7110105</v>
          </cell>
          <cell r="B42" t="str">
            <v>PENDAPATAN SELISIH KAS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A43" t="str">
            <v>7110107</v>
          </cell>
          <cell r="B43" t="str">
            <v>PENJUALAN REDEX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-9000</v>
          </cell>
        </row>
        <row r="44">
          <cell r="A44" t="str">
            <v>7120101</v>
          </cell>
          <cell r="B44" t="str">
            <v>BIAYA ADMINISTRASI BANK</v>
          </cell>
          <cell r="C44">
            <v>0</v>
          </cell>
          <cell r="D44">
            <v>41000</v>
          </cell>
          <cell r="E44">
            <v>0</v>
          </cell>
          <cell r="F44">
            <v>36000</v>
          </cell>
          <cell r="G44">
            <v>0</v>
          </cell>
          <cell r="H44">
            <v>46000</v>
          </cell>
          <cell r="I44">
            <v>0</v>
          </cell>
          <cell r="J44">
            <v>41000</v>
          </cell>
          <cell r="K44">
            <v>0</v>
          </cell>
          <cell r="L44">
            <v>46000</v>
          </cell>
          <cell r="M44">
            <v>0</v>
          </cell>
          <cell r="N44">
            <v>36000</v>
          </cell>
          <cell r="O44">
            <v>0</v>
          </cell>
          <cell r="P44">
            <v>45540</v>
          </cell>
          <cell r="Q44">
            <v>0</v>
          </cell>
          <cell r="R44">
            <v>71000</v>
          </cell>
          <cell r="S44">
            <v>0</v>
          </cell>
          <cell r="T44">
            <v>26000</v>
          </cell>
          <cell r="U44">
            <v>0</v>
          </cell>
          <cell r="V44">
            <v>21000</v>
          </cell>
          <cell r="W44">
            <v>0</v>
          </cell>
          <cell r="X44">
            <v>21000</v>
          </cell>
          <cell r="Y44">
            <v>0</v>
          </cell>
          <cell r="Z44">
            <v>171000</v>
          </cell>
          <cell r="AA44">
            <v>0</v>
          </cell>
          <cell r="AB44">
            <v>601540</v>
          </cell>
        </row>
        <row r="45">
          <cell r="A45" t="str">
            <v>7120107</v>
          </cell>
          <cell r="B45" t="str">
            <v>KERUGIAN SELISIH KAS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1040</v>
          </cell>
        </row>
        <row r="46">
          <cell r="A46" t="str">
            <v>1150101</v>
          </cell>
          <cell r="B46" t="str">
            <v>PERSEDIAAN BBM SOLAR</v>
          </cell>
          <cell r="C46">
            <v>51063974</v>
          </cell>
          <cell r="D46">
            <v>851380148</v>
          </cell>
          <cell r="E46">
            <v>840557392</v>
          </cell>
          <cell r="F46">
            <v>677160000</v>
          </cell>
          <cell r="G46">
            <v>674948848</v>
          </cell>
          <cell r="H46">
            <v>714780000</v>
          </cell>
          <cell r="I46">
            <v>727781439</v>
          </cell>
          <cell r="J46">
            <v>815100000</v>
          </cell>
          <cell r="K46">
            <v>817868982</v>
          </cell>
          <cell r="L46">
            <v>840180000</v>
          </cell>
          <cell r="M46">
            <v>847725976</v>
          </cell>
          <cell r="N46">
            <v>840180000</v>
          </cell>
          <cell r="O46">
            <v>830885257</v>
          </cell>
          <cell r="P46">
            <v>927960000</v>
          </cell>
          <cell r="Q46">
            <v>927703385</v>
          </cell>
          <cell r="R46">
            <v>940500000</v>
          </cell>
          <cell r="S46">
            <v>934078640</v>
          </cell>
          <cell r="T46">
            <v>902880000</v>
          </cell>
          <cell r="U46">
            <v>909033906</v>
          </cell>
          <cell r="V46">
            <v>902880000</v>
          </cell>
          <cell r="W46">
            <v>897883453</v>
          </cell>
          <cell r="X46">
            <v>840180000</v>
          </cell>
          <cell r="Y46">
            <v>850190477</v>
          </cell>
          <cell r="Z46">
            <v>853378522</v>
          </cell>
          <cell r="AA46">
            <v>837928443</v>
          </cell>
          <cell r="AB46">
            <v>61036446</v>
          </cell>
        </row>
        <row r="47">
          <cell r="A47" t="str">
            <v>1150102</v>
          </cell>
          <cell r="B47" t="str">
            <v>PERSEDIAAN BBM PREMIUM</v>
          </cell>
          <cell r="C47">
            <v>41417629</v>
          </cell>
          <cell r="D47">
            <v>764918706</v>
          </cell>
          <cell r="E47">
            <v>772297730</v>
          </cell>
          <cell r="F47">
            <v>750643200</v>
          </cell>
          <cell r="G47">
            <v>726354159</v>
          </cell>
          <cell r="H47">
            <v>820147200</v>
          </cell>
          <cell r="I47">
            <v>831758872</v>
          </cell>
          <cell r="J47">
            <v>847948800</v>
          </cell>
          <cell r="K47">
            <v>835770702</v>
          </cell>
          <cell r="L47">
            <v>834048000</v>
          </cell>
          <cell r="M47">
            <v>843654599</v>
          </cell>
          <cell r="N47">
            <v>820147200</v>
          </cell>
          <cell r="O47">
            <v>829560909</v>
          </cell>
          <cell r="P47">
            <v>875750400</v>
          </cell>
          <cell r="Q47">
            <v>866809998</v>
          </cell>
          <cell r="R47">
            <v>903552000</v>
          </cell>
          <cell r="S47">
            <v>927639600</v>
          </cell>
          <cell r="T47">
            <v>834048000</v>
          </cell>
          <cell r="U47">
            <v>803148360</v>
          </cell>
          <cell r="V47">
            <v>820147200</v>
          </cell>
          <cell r="W47">
            <v>820187873</v>
          </cell>
          <cell r="X47">
            <v>1278873600</v>
          </cell>
          <cell r="Y47">
            <v>1289329046</v>
          </cell>
          <cell r="Z47">
            <v>931353600</v>
          </cell>
          <cell r="AA47">
            <v>940971720</v>
          </cell>
          <cell r="AB47">
            <v>35511967</v>
          </cell>
        </row>
        <row r="48">
          <cell r="A48" t="str">
            <v>6211801</v>
          </cell>
          <cell r="B48" t="str">
            <v>PAJAK BUMI DAN BANGUNAN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2446000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2446000</v>
          </cell>
        </row>
        <row r="49">
          <cell r="A49" t="str">
            <v>7120108</v>
          </cell>
          <cell r="B49" t="str">
            <v>BIAYA PAJAK JASA GIRO</v>
          </cell>
          <cell r="C49">
            <v>0</v>
          </cell>
          <cell r="D49">
            <v>9220</v>
          </cell>
          <cell r="E49">
            <v>0</v>
          </cell>
          <cell r="F49">
            <v>4300</v>
          </cell>
          <cell r="G49">
            <v>0</v>
          </cell>
          <cell r="H49">
            <v>3460</v>
          </cell>
          <cell r="I49">
            <v>0</v>
          </cell>
          <cell r="J49">
            <v>3440</v>
          </cell>
          <cell r="K49">
            <v>0</v>
          </cell>
          <cell r="L49">
            <v>2980</v>
          </cell>
          <cell r="M49">
            <v>0</v>
          </cell>
          <cell r="N49">
            <v>4690</v>
          </cell>
          <cell r="O49">
            <v>0</v>
          </cell>
          <cell r="P49">
            <v>0</v>
          </cell>
          <cell r="Q49">
            <v>0</v>
          </cell>
          <cell r="R49">
            <v>3990</v>
          </cell>
          <cell r="S49">
            <v>0</v>
          </cell>
          <cell r="T49">
            <v>5740</v>
          </cell>
          <cell r="U49">
            <v>0</v>
          </cell>
          <cell r="V49">
            <v>5800</v>
          </cell>
          <cell r="W49">
            <v>0</v>
          </cell>
          <cell r="X49">
            <v>4020</v>
          </cell>
          <cell r="Y49">
            <v>0</v>
          </cell>
          <cell r="Z49">
            <v>4620</v>
          </cell>
          <cell r="AA49">
            <v>0</v>
          </cell>
          <cell r="AB49">
            <v>52260</v>
          </cell>
        </row>
        <row r="50">
          <cell r="A50" t="str">
            <v>1140313</v>
          </cell>
          <cell r="B50" t="str">
            <v>PA-PT. TAW, JAKARTA</v>
          </cell>
          <cell r="C50">
            <v>10000000</v>
          </cell>
          <cell r="D50">
            <v>0</v>
          </cell>
          <cell r="E50">
            <v>0</v>
          </cell>
          <cell r="F50">
            <v>17000000</v>
          </cell>
          <cell r="G50">
            <v>0</v>
          </cell>
          <cell r="H50">
            <v>0</v>
          </cell>
          <cell r="I50">
            <v>17000000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10000000</v>
          </cell>
        </row>
        <row r="51">
          <cell r="A51" t="str">
            <v>2160109</v>
          </cell>
          <cell r="B51" t="str">
            <v>HL-UANG JAMINAN KARYAWAN</v>
          </cell>
          <cell r="C51">
            <v>-8500000</v>
          </cell>
          <cell r="D51">
            <v>1000000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500000</v>
          </cell>
          <cell r="O51">
            <v>0</v>
          </cell>
          <cell r="P51">
            <v>0</v>
          </cell>
          <cell r="Q51">
            <v>500000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-7500000</v>
          </cell>
        </row>
        <row r="52">
          <cell r="A52" t="str">
            <v>9110101</v>
          </cell>
          <cell r="B52" t="str">
            <v>TAKSIRAN PAJAK PENGHASILAN</v>
          </cell>
          <cell r="C52">
            <v>0</v>
          </cell>
          <cell r="D52">
            <v>4998065</v>
          </cell>
          <cell r="E52">
            <v>0</v>
          </cell>
          <cell r="F52">
            <v>4354020</v>
          </cell>
          <cell r="G52">
            <v>0</v>
          </cell>
          <cell r="H52">
            <v>4820270</v>
          </cell>
          <cell r="I52">
            <v>0</v>
          </cell>
          <cell r="J52">
            <v>5267120</v>
          </cell>
          <cell r="K52">
            <v>0</v>
          </cell>
          <cell r="L52">
            <v>5216160</v>
          </cell>
          <cell r="M52">
            <v>0</v>
          </cell>
          <cell r="N52">
            <v>5382220</v>
          </cell>
          <cell r="O52">
            <v>0</v>
          </cell>
          <cell r="P52">
            <v>5417760</v>
          </cell>
          <cell r="Q52">
            <v>0</v>
          </cell>
          <cell r="R52">
            <v>5710285</v>
          </cell>
          <cell r="S52">
            <v>0</v>
          </cell>
          <cell r="T52">
            <v>5789770</v>
          </cell>
          <cell r="U52">
            <v>0</v>
          </cell>
          <cell r="V52">
            <v>5663280</v>
          </cell>
          <cell r="W52">
            <v>0</v>
          </cell>
          <cell r="X52">
            <v>6249840</v>
          </cell>
          <cell r="Y52">
            <v>0</v>
          </cell>
          <cell r="Z52">
            <v>5920020</v>
          </cell>
          <cell r="AA52">
            <v>0</v>
          </cell>
          <cell r="AB52">
            <v>64788810</v>
          </cell>
        </row>
        <row r="53">
          <cell r="A53" t="str">
            <v>1140302</v>
          </cell>
          <cell r="B53" t="str">
            <v>PA-HOTEL CS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19000000</v>
          </cell>
          <cell r="Y53">
            <v>11000000</v>
          </cell>
          <cell r="Z53">
            <v>0</v>
          </cell>
          <cell r="AA53">
            <v>8000000</v>
          </cell>
          <cell r="AB53">
            <v>0</v>
          </cell>
        </row>
        <row r="54">
          <cell r="A54" t="str">
            <v>1140304</v>
          </cell>
          <cell r="B54" t="str">
            <v>PA-SPBU 44-0514 (KARANGANYAR)</v>
          </cell>
          <cell r="C54">
            <v>29437733</v>
          </cell>
          <cell r="D54">
            <v>0</v>
          </cell>
          <cell r="E54">
            <v>47500000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1000000</v>
          </cell>
          <cell r="N54">
            <v>1000000</v>
          </cell>
          <cell r="O54">
            <v>0</v>
          </cell>
          <cell r="P54">
            <v>0</v>
          </cell>
          <cell r="Q54">
            <v>0</v>
          </cell>
          <cell r="R54">
            <v>25000000</v>
          </cell>
          <cell r="S54">
            <v>25000000</v>
          </cell>
          <cell r="T54">
            <v>0</v>
          </cell>
          <cell r="U54">
            <v>315000</v>
          </cell>
          <cell r="V54">
            <v>0</v>
          </cell>
          <cell r="W54">
            <v>1117500</v>
          </cell>
          <cell r="X54">
            <v>0</v>
          </cell>
          <cell r="Y54">
            <v>26630000</v>
          </cell>
          <cell r="Z54">
            <v>0</v>
          </cell>
          <cell r="AA54">
            <v>0</v>
          </cell>
          <cell r="AB54">
            <v>-46124767</v>
          </cell>
        </row>
        <row r="55">
          <cell r="A55" t="str">
            <v>1140303</v>
          </cell>
          <cell r="B55" t="str">
            <v>PA-RMCS KARANGANYAR</v>
          </cell>
          <cell r="C55">
            <v>62200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62200</v>
          </cell>
        </row>
        <row r="56">
          <cell r="A56" t="str">
            <v>1140306</v>
          </cell>
          <cell r="B56" t="str">
            <v>PA-RMCS PURBOWANGI GOMBONG</v>
          </cell>
          <cell r="C56">
            <v>-4101650</v>
          </cell>
          <cell r="D56">
            <v>0</v>
          </cell>
          <cell r="E56">
            <v>0</v>
          </cell>
          <cell r="F56">
            <v>3398800</v>
          </cell>
          <cell r="G56">
            <v>2948800</v>
          </cell>
          <cell r="H56">
            <v>2400000</v>
          </cell>
          <cell r="I56">
            <v>2400000</v>
          </cell>
          <cell r="J56">
            <v>5057500</v>
          </cell>
          <cell r="K56">
            <v>2670000</v>
          </cell>
          <cell r="L56">
            <v>4050000</v>
          </cell>
          <cell r="M56">
            <v>4300000</v>
          </cell>
          <cell r="N56">
            <v>3050000</v>
          </cell>
          <cell r="O56">
            <v>4400000</v>
          </cell>
          <cell r="P56">
            <v>3500000</v>
          </cell>
          <cell r="Q56">
            <v>3500000</v>
          </cell>
          <cell r="R56">
            <v>2700000</v>
          </cell>
          <cell r="S56">
            <v>2400000</v>
          </cell>
          <cell r="T56">
            <v>4750000</v>
          </cell>
          <cell r="U56">
            <v>5050000</v>
          </cell>
          <cell r="V56">
            <v>5784000</v>
          </cell>
          <cell r="W56">
            <v>2231500</v>
          </cell>
          <cell r="X56">
            <v>6000000</v>
          </cell>
          <cell r="Y56">
            <v>4500000</v>
          </cell>
          <cell r="Z56">
            <v>7000000</v>
          </cell>
          <cell r="AA56">
            <v>10000000</v>
          </cell>
          <cell r="AB56">
            <v>-811650</v>
          </cell>
        </row>
        <row r="57">
          <cell r="A57" t="str">
            <v>6211401</v>
          </cell>
          <cell r="B57" t="str">
            <v>BIAYA SURAT KABAR DAN MAJALAH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165000</v>
          </cell>
        </row>
        <row r="58">
          <cell r="A58" t="str">
            <v>7110106</v>
          </cell>
          <cell r="B58" t="str">
            <v>CICILAN SERAGAM KARYAWAN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A59" t="str">
            <v>6211901</v>
          </cell>
          <cell r="B59" t="str">
            <v>BIAYA SELAMATAN/KLIWONAN</v>
          </cell>
          <cell r="C59">
            <v>0</v>
          </cell>
          <cell r="D59">
            <v>25000</v>
          </cell>
          <cell r="E59">
            <v>0</v>
          </cell>
          <cell r="F59">
            <v>25000</v>
          </cell>
          <cell r="G59">
            <v>0</v>
          </cell>
          <cell r="H59">
            <v>0</v>
          </cell>
          <cell r="I59">
            <v>0</v>
          </cell>
          <cell r="J59">
            <v>25000</v>
          </cell>
          <cell r="K59">
            <v>0</v>
          </cell>
          <cell r="L59">
            <v>40000</v>
          </cell>
          <cell r="M59">
            <v>0</v>
          </cell>
          <cell r="N59">
            <v>25000</v>
          </cell>
          <cell r="O59">
            <v>0</v>
          </cell>
          <cell r="P59">
            <v>0</v>
          </cell>
          <cell r="Q59">
            <v>0</v>
          </cell>
          <cell r="R59">
            <v>25000</v>
          </cell>
          <cell r="S59">
            <v>0</v>
          </cell>
          <cell r="T59">
            <v>25000</v>
          </cell>
          <cell r="U59">
            <v>0</v>
          </cell>
          <cell r="V59">
            <v>0</v>
          </cell>
          <cell r="W59">
            <v>0</v>
          </cell>
          <cell r="X59">
            <v>25000</v>
          </cell>
          <cell r="Y59">
            <v>0</v>
          </cell>
          <cell r="Z59">
            <v>0</v>
          </cell>
          <cell r="AA59">
            <v>0</v>
          </cell>
          <cell r="AB59">
            <v>215000</v>
          </cell>
        </row>
        <row r="60">
          <cell r="A60" t="str">
            <v>1150104</v>
          </cell>
          <cell r="B60" t="str">
            <v>PERSEDIAAN OLIE</v>
          </cell>
          <cell r="C60">
            <v>1629176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1629176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</row>
        <row r="61">
          <cell r="A61" t="str">
            <v>5110501</v>
          </cell>
          <cell r="B61" t="str">
            <v>HARGA POKOK OLIE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2">
          <cell r="A62" t="str">
            <v>4110301</v>
          </cell>
          <cell r="B62" t="str">
            <v>PENJUALAN OLIE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A63" t="str">
            <v>1160103</v>
          </cell>
          <cell r="B63" t="str">
            <v>UM. ASURANSI AKTIVA TETAP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A64" t="str">
            <v>1140314</v>
          </cell>
          <cell r="B64" t="str">
            <v>PA-PT. TTM, JAKARTA</v>
          </cell>
          <cell r="C64">
            <v>14000000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126893650</v>
          </cell>
        </row>
        <row r="65">
          <cell r="A65" t="str">
            <v>1310101</v>
          </cell>
          <cell r="B65" t="str">
            <v>AT-TANAH</v>
          </cell>
          <cell r="C65">
            <v>604371400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609719890</v>
          </cell>
        </row>
        <row r="66">
          <cell r="A66" t="str">
            <v>1310201</v>
          </cell>
          <cell r="B66" t="str">
            <v>AT-BANGUNAN</v>
          </cell>
          <cell r="C66">
            <v>681372775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681372775</v>
          </cell>
        </row>
        <row r="67">
          <cell r="A67" t="str">
            <v>1310301</v>
          </cell>
          <cell r="B67" t="str">
            <v>AT-PERALATAN BANGUNAN</v>
          </cell>
          <cell r="C67">
            <v>28450000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28450000</v>
          </cell>
        </row>
        <row r="68">
          <cell r="A68" t="str">
            <v>1310401</v>
          </cell>
          <cell r="B68" t="str">
            <v>AT-PERALATAN OPERASI</v>
          </cell>
          <cell r="C68">
            <v>281919375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20000000</v>
          </cell>
          <cell r="M68">
            <v>0</v>
          </cell>
          <cell r="N68">
            <v>0</v>
          </cell>
          <cell r="O68">
            <v>0</v>
          </cell>
          <cell r="P68">
            <v>40000000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341919375</v>
          </cell>
        </row>
        <row r="69">
          <cell r="A69" t="str">
            <v>2160101</v>
          </cell>
          <cell r="B69" t="str">
            <v>HL-PT BUMEN REJA ABADI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</row>
        <row r="70">
          <cell r="A70" t="str">
            <v>1510101</v>
          </cell>
          <cell r="B70" t="str">
            <v>BIAYA PRA OPERASI</v>
          </cell>
          <cell r="C70">
            <v>47558030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47558030</v>
          </cell>
        </row>
        <row r="71">
          <cell r="A71" t="str">
            <v>1320102</v>
          </cell>
          <cell r="B71" t="str">
            <v>AP-BANGUNAN</v>
          </cell>
          <cell r="C71">
            <v>-131825125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-131825125</v>
          </cell>
        </row>
        <row r="72">
          <cell r="A72" t="str">
            <v>1320103</v>
          </cell>
          <cell r="B72" t="str">
            <v>AP-PERALATAN BANGUNAN</v>
          </cell>
          <cell r="C72">
            <v>-10810000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-10810000</v>
          </cell>
        </row>
        <row r="73">
          <cell r="A73" t="str">
            <v>1320104</v>
          </cell>
          <cell r="B73" t="str">
            <v>AP-PERALATAN OPERASI</v>
          </cell>
          <cell r="C73">
            <v>-139123413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-139123413</v>
          </cell>
        </row>
        <row r="74">
          <cell r="A74" t="str">
            <v>1320105</v>
          </cell>
          <cell r="B74" t="str">
            <v>AP-PERALATAN KANTOR</v>
          </cell>
          <cell r="C74">
            <v>-7153493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-7153493</v>
          </cell>
        </row>
        <row r="75">
          <cell r="A75" t="str">
            <v>1510201</v>
          </cell>
          <cell r="B75" t="str">
            <v>AMORTISASI BIAYA PRA OPERASI</v>
          </cell>
          <cell r="C75">
            <v>-11889507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-9889507</v>
          </cell>
        </row>
        <row r="76">
          <cell r="A76" t="str">
            <v>6212201</v>
          </cell>
          <cell r="B76" t="str">
            <v>BP-BANGUNAN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</row>
        <row r="77">
          <cell r="A77" t="str">
            <v>6212202</v>
          </cell>
          <cell r="B77" t="str">
            <v>BP-PERALATAN BANGUNAN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</row>
        <row r="78">
          <cell r="A78" t="str">
            <v>6212203</v>
          </cell>
          <cell r="B78" t="str">
            <v>BP-PERALATAN OPERASIONAL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</row>
        <row r="79">
          <cell r="A79" t="str">
            <v>6212204</v>
          </cell>
          <cell r="B79" t="str">
            <v>BP-PERALATAN KANTOR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</row>
        <row r="80">
          <cell r="A80" t="str">
            <v>6212209</v>
          </cell>
          <cell r="B80" t="str">
            <v>AMORTISASI BIAYA PRA OPERASI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1200000</v>
          </cell>
        </row>
        <row r="81">
          <cell r="A81" t="str">
            <v>3110101</v>
          </cell>
          <cell r="B81" t="str">
            <v>MODAL DISETOR</v>
          </cell>
          <cell r="C81">
            <v>-1500000000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-1500000000</v>
          </cell>
        </row>
        <row r="82">
          <cell r="A82" t="str">
            <v>1110202</v>
          </cell>
          <cell r="B82" t="str">
            <v>DEPOSITO a.n. NY. SUTINI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10000000</v>
          </cell>
        </row>
        <row r="83">
          <cell r="A83" t="str">
            <v>6212001</v>
          </cell>
          <cell r="B83" t="str">
            <v>BIAYA TERA METROLOGI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1115000</v>
          </cell>
          <cell r="K83">
            <v>0</v>
          </cell>
          <cell r="L83">
            <v>0</v>
          </cell>
          <cell r="M83">
            <v>0</v>
          </cell>
          <cell r="N83">
            <v>925000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1215000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3255000</v>
          </cell>
        </row>
        <row r="84">
          <cell r="A84" t="str">
            <v>6212101</v>
          </cell>
          <cell r="B84" t="str">
            <v>BIAYA JASA PROFESIONAL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4000000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4000000</v>
          </cell>
        </row>
        <row r="85">
          <cell r="A85" t="str">
            <v>6210106</v>
          </cell>
          <cell r="B85" t="str">
            <v>BIAYA PESANGON KARYAWAN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</row>
        <row r="86">
          <cell r="A86" t="str">
            <v>7120106</v>
          </cell>
          <cell r="B86" t="str">
            <v>BIAYA BUNGA JAMINAN KARYAWAN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337500</v>
          </cell>
          <cell r="Y86">
            <v>0</v>
          </cell>
          <cell r="Z86">
            <v>0</v>
          </cell>
          <cell r="AA86">
            <v>0</v>
          </cell>
          <cell r="AB86">
            <v>337500</v>
          </cell>
        </row>
        <row r="87">
          <cell r="A87" t="str">
            <v>6110100</v>
          </cell>
          <cell r="B87" t="str">
            <v>BEBAN PEMASARAN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60000</v>
          </cell>
        </row>
        <row r="88">
          <cell r="A88" t="str">
            <v>1140401</v>
          </cell>
          <cell r="B88" t="str">
            <v>PL-BPK MULYONO D.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</row>
        <row r="89">
          <cell r="A89" t="str">
            <v>1140305</v>
          </cell>
          <cell r="B89" t="str">
            <v>PA-SPBU 44.0527 GAMPING</v>
          </cell>
          <cell r="C89">
            <v>12013811</v>
          </cell>
          <cell r="D89">
            <v>10000000</v>
          </cell>
          <cell r="E89">
            <v>0</v>
          </cell>
          <cell r="F89">
            <v>0</v>
          </cell>
          <cell r="G89">
            <v>1510000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1050000</v>
          </cell>
          <cell r="M89">
            <v>1050000</v>
          </cell>
          <cell r="N89">
            <v>1629176</v>
          </cell>
          <cell r="O89">
            <v>0</v>
          </cell>
          <cell r="P89">
            <v>0</v>
          </cell>
          <cell r="Q89">
            <v>40300000</v>
          </cell>
          <cell r="R89">
            <v>0</v>
          </cell>
          <cell r="S89">
            <v>0</v>
          </cell>
          <cell r="T89">
            <v>0</v>
          </cell>
          <cell r="U89">
            <v>1443500</v>
          </cell>
          <cell r="V89">
            <v>10000000</v>
          </cell>
          <cell r="W89">
            <v>0</v>
          </cell>
          <cell r="X89">
            <v>0</v>
          </cell>
          <cell r="Y89">
            <v>500000</v>
          </cell>
          <cell r="Z89">
            <v>75000000</v>
          </cell>
          <cell r="AA89">
            <v>0</v>
          </cell>
          <cell r="AB89">
            <v>64889487</v>
          </cell>
        </row>
        <row r="90">
          <cell r="A90" t="str">
            <v>2170101</v>
          </cell>
          <cell r="B90" t="str">
            <v>BIAYA YMH DIBAYAR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</row>
        <row r="91">
          <cell r="A91" t="str">
            <v>1310601</v>
          </cell>
          <cell r="B91" t="str">
            <v>AT-KENDARAAN</v>
          </cell>
          <cell r="C91">
            <v>336187438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336187438</v>
          </cell>
        </row>
        <row r="92">
          <cell r="A92" t="str">
            <v>6210107</v>
          </cell>
          <cell r="B92" t="str">
            <v>TUNJANGAN SERAGAM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</row>
        <row r="93">
          <cell r="A93" t="str">
            <v>1140315</v>
          </cell>
          <cell r="B93" t="str">
            <v>PA-HOLDING</v>
          </cell>
          <cell r="C93">
            <v>3335216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3335216</v>
          </cell>
        </row>
        <row r="94">
          <cell r="A94" t="str">
            <v>6211101</v>
          </cell>
          <cell r="B94" t="str">
            <v>BIAYA ASURANSI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2640000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2640000</v>
          </cell>
        </row>
        <row r="95">
          <cell r="A95" t="str">
            <v>6212205</v>
          </cell>
          <cell r="B95" t="str">
            <v>BP-KENDARAAN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</row>
        <row r="96">
          <cell r="A96" t="str">
            <v>1320106</v>
          </cell>
          <cell r="B96" t="str">
            <v>AP-KENDARAAN</v>
          </cell>
          <cell r="C96">
            <v>-82319345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-82319345</v>
          </cell>
        </row>
        <row r="97">
          <cell r="A97" t="str">
            <v>3120101</v>
          </cell>
          <cell r="B97" t="str">
            <v>PRIVE IBU SUTINI</v>
          </cell>
          <cell r="C97">
            <v>50793177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</row>
        <row r="98">
          <cell r="A98" t="str">
            <v>1160104</v>
          </cell>
          <cell r="B98" t="str">
            <v>UM - PEMBELIAN POWER FUEL</v>
          </cell>
          <cell r="C98">
            <v>55000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55000</v>
          </cell>
        </row>
        <row r="99">
          <cell r="A99" t="str">
            <v>7110104</v>
          </cell>
          <cell r="B99" t="str">
            <v>PENJUALAN POWER FUEL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75000</v>
          </cell>
        </row>
        <row r="100">
          <cell r="A100" t="str">
            <v>7120104</v>
          </cell>
          <cell r="B100" t="str">
            <v>HPP POWER FUEL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</row>
        <row r="101">
          <cell r="A101" t="str">
            <v>7120105</v>
          </cell>
          <cell r="B101" t="str">
            <v>HPP REDEX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</row>
        <row r="102">
          <cell r="A102" t="str">
            <v>2160102</v>
          </cell>
          <cell r="B102" t="str">
            <v>HL - POWER FUEL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</row>
        <row r="103">
          <cell r="A103" t="str">
            <v>2160103</v>
          </cell>
          <cell r="B103" t="str">
            <v>HL - REDEX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-9000</v>
          </cell>
        </row>
        <row r="104">
          <cell r="A104" t="str">
            <v>1160105</v>
          </cell>
          <cell r="B104" t="str">
            <v>UM - PEMBELIAN REDEX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</row>
        <row r="105">
          <cell r="A105" t="str">
            <v>7110199</v>
          </cell>
          <cell r="B105" t="str">
            <v>PENDAPATAN LAIN-LAIN</v>
          </cell>
          <cell r="C105">
            <v>0</v>
          </cell>
          <cell r="D105">
            <v>0</v>
          </cell>
          <cell r="E105">
            <v>15921254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-15921254</v>
          </cell>
        </row>
        <row r="106">
          <cell r="A106" t="str">
            <v>1110203</v>
          </cell>
          <cell r="B106" t="str">
            <v>BNI 46 REK 08448.003 (NY SUTINI)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-49000000</v>
          </cell>
        </row>
        <row r="107">
          <cell r="A107" t="str">
            <v>2160104</v>
          </cell>
          <cell r="B107" t="str">
            <v>HL-LEASING IZUZU PANTER</v>
          </cell>
          <cell r="C107">
            <v>-36521664</v>
          </cell>
          <cell r="D107">
            <v>4680500</v>
          </cell>
          <cell r="E107">
            <v>0</v>
          </cell>
          <cell r="F107">
            <v>4680500</v>
          </cell>
          <cell r="G107">
            <v>0</v>
          </cell>
          <cell r="H107">
            <v>4680500</v>
          </cell>
          <cell r="I107">
            <v>0</v>
          </cell>
          <cell r="J107">
            <v>4680500</v>
          </cell>
          <cell r="K107">
            <v>0</v>
          </cell>
          <cell r="L107">
            <v>4680500</v>
          </cell>
          <cell r="M107">
            <v>0</v>
          </cell>
          <cell r="N107">
            <v>4680500</v>
          </cell>
          <cell r="O107">
            <v>0</v>
          </cell>
          <cell r="P107">
            <v>4680500</v>
          </cell>
          <cell r="Q107">
            <v>0</v>
          </cell>
          <cell r="R107">
            <v>4680500</v>
          </cell>
          <cell r="S107">
            <v>0</v>
          </cell>
          <cell r="T107">
            <v>4680500</v>
          </cell>
          <cell r="U107">
            <v>0</v>
          </cell>
          <cell r="V107">
            <v>4680500</v>
          </cell>
          <cell r="W107">
            <v>0</v>
          </cell>
          <cell r="X107">
            <v>4680500</v>
          </cell>
          <cell r="Y107">
            <v>0</v>
          </cell>
          <cell r="Z107">
            <v>4680500</v>
          </cell>
          <cell r="AA107">
            <v>0</v>
          </cell>
          <cell r="AB107">
            <v>19644336</v>
          </cell>
        </row>
        <row r="108">
          <cell r="A108" t="str">
            <v>1110204</v>
          </cell>
          <cell r="B108" t="str">
            <v>BANK MANDIRI YKT (SHU) NY SUTINI</v>
          </cell>
          <cell r="C108">
            <v>223500000</v>
          </cell>
          <cell r="D108">
            <v>145000000</v>
          </cell>
          <cell r="E108">
            <v>65000000</v>
          </cell>
          <cell r="F108">
            <v>30000000</v>
          </cell>
          <cell r="G108">
            <v>58000000</v>
          </cell>
          <cell r="H108">
            <v>67000000</v>
          </cell>
          <cell r="I108">
            <v>127000000</v>
          </cell>
          <cell r="J108">
            <v>25000000</v>
          </cell>
          <cell r="K108">
            <v>59500000</v>
          </cell>
          <cell r="L108">
            <v>29540000</v>
          </cell>
          <cell r="M108">
            <v>194424500</v>
          </cell>
          <cell r="N108">
            <v>30000000</v>
          </cell>
          <cell r="O108">
            <v>58930000</v>
          </cell>
          <cell r="P108">
            <v>30000000</v>
          </cell>
          <cell r="Q108">
            <v>0</v>
          </cell>
          <cell r="R108">
            <v>0</v>
          </cell>
          <cell r="S108">
            <v>0</v>
          </cell>
          <cell r="T108">
            <v>20000000</v>
          </cell>
          <cell r="U108">
            <v>0</v>
          </cell>
          <cell r="V108">
            <v>0</v>
          </cell>
          <cell r="W108">
            <v>0</v>
          </cell>
          <cell r="X108">
            <v>20000000</v>
          </cell>
          <cell r="Y108">
            <v>0</v>
          </cell>
          <cell r="Z108">
            <v>40000000</v>
          </cell>
          <cell r="AA108">
            <v>0</v>
          </cell>
          <cell r="AB108">
            <v>97185500</v>
          </cell>
        </row>
        <row r="109">
          <cell r="A109" t="str">
            <v>1140399</v>
          </cell>
          <cell r="B109" t="str">
            <v>PA - LAINNYA</v>
          </cell>
          <cell r="C109">
            <v>3250000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3250000</v>
          </cell>
        </row>
        <row r="110">
          <cell r="A110" t="str">
            <v>6212301</v>
          </cell>
          <cell r="B110" t="str">
            <v>BIAYA PERIJINAN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46700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46700</v>
          </cell>
        </row>
        <row r="111">
          <cell r="A111" t="str">
            <v>6210204</v>
          </cell>
          <cell r="B111" t="str">
            <v>BIAYA PEMELIHARAAN KENDARAAN</v>
          </cell>
          <cell r="C111">
            <v>0</v>
          </cell>
          <cell r="D111">
            <v>99100</v>
          </cell>
          <cell r="E111">
            <v>0</v>
          </cell>
          <cell r="F111">
            <v>0</v>
          </cell>
          <cell r="G111">
            <v>0</v>
          </cell>
          <cell r="H111">
            <v>230000</v>
          </cell>
          <cell r="I111">
            <v>0</v>
          </cell>
          <cell r="J111">
            <v>0</v>
          </cell>
          <cell r="K111">
            <v>0</v>
          </cell>
          <cell r="L111">
            <v>6438500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1683000</v>
          </cell>
          <cell r="S111">
            <v>0</v>
          </cell>
          <cell r="T111">
            <v>434200</v>
          </cell>
          <cell r="U111">
            <v>0</v>
          </cell>
          <cell r="V111">
            <v>147500</v>
          </cell>
          <cell r="W111">
            <v>0</v>
          </cell>
          <cell r="X111">
            <v>1500000</v>
          </cell>
          <cell r="Y111">
            <v>0</v>
          </cell>
          <cell r="Z111">
            <v>0</v>
          </cell>
          <cell r="AA111">
            <v>0</v>
          </cell>
          <cell r="AB111">
            <v>10532300</v>
          </cell>
        </row>
        <row r="112">
          <cell r="A112" t="str">
            <v>7110108</v>
          </cell>
          <cell r="B112" t="str">
            <v>PENJUALAN X- CLEAN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</row>
        <row r="113">
          <cell r="A113" t="str">
            <v>1110205</v>
          </cell>
          <cell r="B113" t="str">
            <v>TAPLUS BNI REK 903</v>
          </cell>
          <cell r="C113">
            <v>15759222</v>
          </cell>
          <cell r="D113">
            <v>70000000</v>
          </cell>
          <cell r="E113">
            <v>85000000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759222</v>
          </cell>
        </row>
        <row r="114">
          <cell r="A114" t="str">
            <v>7120199</v>
          </cell>
          <cell r="B114" t="str">
            <v>KERUGIAN LAINNYA</v>
          </cell>
          <cell r="C114">
            <v>0</v>
          </cell>
          <cell r="D114">
            <v>2288290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22500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22500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2288290</v>
          </cell>
        </row>
        <row r="115">
          <cell r="A115" t="str">
            <v>9110199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</row>
        <row r="116">
          <cell r="A116" t="str">
            <v>1140312</v>
          </cell>
          <cell r="B116" t="str">
            <v>PA BP SANDY KUNCORO</v>
          </cell>
          <cell r="C116">
            <v>0</v>
          </cell>
          <cell r="D116">
            <v>500000</v>
          </cell>
          <cell r="E116">
            <v>0</v>
          </cell>
          <cell r="F116">
            <v>300000</v>
          </cell>
          <cell r="G116">
            <v>500000</v>
          </cell>
          <cell r="H116">
            <v>500000</v>
          </cell>
          <cell r="I116">
            <v>0</v>
          </cell>
          <cell r="J116">
            <v>950000</v>
          </cell>
          <cell r="K116">
            <v>500000</v>
          </cell>
          <cell r="L116">
            <v>900000</v>
          </cell>
          <cell r="M116">
            <v>0</v>
          </cell>
          <cell r="N116">
            <v>2250000</v>
          </cell>
          <cell r="O116">
            <v>0</v>
          </cell>
          <cell r="P116">
            <v>6250000</v>
          </cell>
          <cell r="Q116">
            <v>0</v>
          </cell>
          <cell r="R116">
            <v>3000000</v>
          </cell>
          <cell r="S116">
            <v>900000</v>
          </cell>
          <cell r="T116">
            <v>5000000</v>
          </cell>
          <cell r="U116">
            <v>0</v>
          </cell>
          <cell r="V116">
            <v>4000000</v>
          </cell>
          <cell r="W116">
            <v>0</v>
          </cell>
          <cell r="X116">
            <v>4000000</v>
          </cell>
          <cell r="Y116">
            <v>0</v>
          </cell>
          <cell r="Z116">
            <v>9000000</v>
          </cell>
          <cell r="AA116">
            <v>0</v>
          </cell>
          <cell r="AB116">
            <v>34750000</v>
          </cell>
        </row>
        <row r="117">
          <cell r="A117" t="str">
            <v>1140307</v>
          </cell>
          <cell r="B117" t="str">
            <v>Toko Pusaka Indah  Kr Anyar</v>
          </cell>
          <cell r="C117">
            <v>0</v>
          </cell>
          <cell r="D117">
            <v>24300000</v>
          </cell>
          <cell r="E117">
            <v>20300000</v>
          </cell>
          <cell r="F117">
            <v>13200000</v>
          </cell>
          <cell r="G117">
            <v>15850000</v>
          </cell>
          <cell r="H117">
            <v>23500000</v>
          </cell>
          <cell r="I117">
            <v>16850000</v>
          </cell>
          <cell r="J117">
            <v>20250000</v>
          </cell>
          <cell r="K117">
            <v>24050000</v>
          </cell>
          <cell r="L117">
            <v>12319000</v>
          </cell>
          <cell r="M117">
            <v>13219000</v>
          </cell>
          <cell r="N117">
            <v>9430000</v>
          </cell>
          <cell r="O117">
            <v>11930000</v>
          </cell>
          <cell r="P117">
            <v>4360000</v>
          </cell>
          <cell r="Q117">
            <v>2210000</v>
          </cell>
          <cell r="R117">
            <v>6450000</v>
          </cell>
          <cell r="S117">
            <v>6750000</v>
          </cell>
          <cell r="T117">
            <v>4655000</v>
          </cell>
          <cell r="U117">
            <v>7105000</v>
          </cell>
          <cell r="V117">
            <v>5100000</v>
          </cell>
          <cell r="W117">
            <v>1100000</v>
          </cell>
          <cell r="X117">
            <v>2500000</v>
          </cell>
          <cell r="Y117">
            <v>0</v>
          </cell>
          <cell r="Z117">
            <v>6850000</v>
          </cell>
          <cell r="AA117">
            <v>4500000</v>
          </cell>
          <cell r="AB117">
            <v>9050000</v>
          </cell>
        </row>
        <row r="118">
          <cell r="A118" t="str">
            <v>2160105</v>
          </cell>
          <cell r="B118" t="str">
            <v>HL MOTOR X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75000</v>
          </cell>
          <cell r="M118">
            <v>0</v>
          </cell>
          <cell r="N118">
            <v>30000</v>
          </cell>
          <cell r="O118">
            <v>0</v>
          </cell>
          <cell r="P118">
            <v>0</v>
          </cell>
          <cell r="Q118">
            <v>0</v>
          </cell>
          <cell r="R118">
            <v>45000</v>
          </cell>
          <cell r="S118">
            <v>375000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-225000</v>
          </cell>
        </row>
        <row r="119">
          <cell r="A119" t="str">
            <v>7110109</v>
          </cell>
          <cell r="B119" t="str">
            <v>PENJUALAN MOTOR X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81000</v>
          </cell>
          <cell r="N119">
            <v>0</v>
          </cell>
          <cell r="O119">
            <v>36000</v>
          </cell>
          <cell r="P119">
            <v>0</v>
          </cell>
          <cell r="Q119">
            <v>36000</v>
          </cell>
          <cell r="R119">
            <v>0</v>
          </cell>
          <cell r="S119">
            <v>36000</v>
          </cell>
          <cell r="T119">
            <v>0</v>
          </cell>
          <cell r="U119">
            <v>27000</v>
          </cell>
          <cell r="V119">
            <v>0</v>
          </cell>
          <cell r="W119">
            <v>9000</v>
          </cell>
          <cell r="X119">
            <v>0</v>
          </cell>
          <cell r="Y119">
            <v>90000</v>
          </cell>
          <cell r="Z119">
            <v>0</v>
          </cell>
          <cell r="AA119">
            <v>36000</v>
          </cell>
          <cell r="AB119">
            <v>-351000</v>
          </cell>
        </row>
        <row r="120">
          <cell r="A120" t="str">
            <v>7120109</v>
          </cell>
          <cell r="B120" t="str">
            <v>HPP MOTOR X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67500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90000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157500</v>
          </cell>
        </row>
        <row r="121">
          <cell r="A121" t="str">
            <v>1160106</v>
          </cell>
          <cell r="B121" t="str">
            <v>UM- PEMBELIAN MOTOR X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375000</v>
          </cell>
          <cell r="M121">
            <v>67500</v>
          </cell>
          <cell r="N121">
            <v>0</v>
          </cell>
          <cell r="O121">
            <v>22500</v>
          </cell>
          <cell r="P121">
            <v>0</v>
          </cell>
          <cell r="Q121">
            <v>0</v>
          </cell>
          <cell r="R121">
            <v>22500</v>
          </cell>
          <cell r="S121">
            <v>90000</v>
          </cell>
          <cell r="T121">
            <v>60000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150000</v>
          </cell>
          <cell r="AA121">
            <v>0</v>
          </cell>
          <cell r="AB121">
            <v>427500</v>
          </cell>
        </row>
        <row r="122">
          <cell r="A122" t="str">
            <v>2160199</v>
          </cell>
          <cell r="B122" t="str">
            <v>HL - LAINNYA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375000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375000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>
        <row r="1">
          <cell r="A1" t="str">
            <v>BADAN LAYANAN UMUM UNIVERSITAS MATARAM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PK"/>
      <sheetName val="GLMASTER"/>
      <sheetName val="1770 Induk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6175E-3150-42EE-A618-A3FEBBD803CF}">
  <sheetPr>
    <tabColor rgb="FFFF0000"/>
  </sheetPr>
  <dimension ref="B2:L92"/>
  <sheetViews>
    <sheetView topLeftCell="A60" zoomScaleNormal="100" workbookViewId="0">
      <selection activeCell="C19" sqref="C19"/>
    </sheetView>
  </sheetViews>
  <sheetFormatPr defaultColWidth="8.7109375" defaultRowHeight="12.75" x14ac:dyDescent="0.2"/>
  <cols>
    <col min="1" max="1" width="8.7109375" style="369"/>
    <col min="2" max="2" width="9.7109375" style="369" customWidth="1"/>
    <col min="3" max="3" width="22.7109375" style="369" customWidth="1"/>
    <col min="4" max="4" width="19" style="369" customWidth="1"/>
    <col min="5" max="5" width="18.7109375" style="369" customWidth="1"/>
    <col min="6" max="6" width="19.28515625" style="369" customWidth="1"/>
    <col min="7" max="7" width="37.28515625" style="369" customWidth="1"/>
    <col min="8" max="16384" width="8.7109375" style="369"/>
  </cols>
  <sheetData>
    <row r="2" spans="2:12" x14ac:dyDescent="0.2">
      <c r="B2" s="368" t="s">
        <v>751</v>
      </c>
    </row>
    <row r="4" spans="2:12" ht="12.75" customHeight="1" x14ac:dyDescent="0.2">
      <c r="B4" s="490" t="s">
        <v>1207</v>
      </c>
      <c r="C4" s="490"/>
      <c r="D4" s="490"/>
      <c r="E4" s="490"/>
      <c r="F4" s="490"/>
      <c r="G4" s="490"/>
      <c r="H4" s="371"/>
      <c r="I4" s="371"/>
      <c r="J4" s="371"/>
      <c r="K4" s="371"/>
      <c r="L4" s="371"/>
    </row>
    <row r="5" spans="2:12" ht="28.5" customHeight="1" x14ac:dyDescent="0.2">
      <c r="B5" s="490"/>
      <c r="C5" s="490"/>
      <c r="D5" s="490"/>
      <c r="E5" s="490"/>
      <c r="F5" s="490"/>
      <c r="G5" s="490"/>
      <c r="H5" s="371"/>
      <c r="I5" s="371"/>
      <c r="J5" s="371"/>
      <c r="K5" s="371"/>
      <c r="L5" s="371"/>
    </row>
    <row r="6" spans="2:12" x14ac:dyDescent="0.2">
      <c r="B6" s="369" t="s">
        <v>1180</v>
      </c>
    </row>
    <row r="7" spans="2:12" ht="4.3499999999999996" customHeight="1" x14ac:dyDescent="0.2"/>
    <row r="8" spans="2:12" x14ac:dyDescent="0.2">
      <c r="B8" s="372" t="s">
        <v>681</v>
      </c>
    </row>
    <row r="9" spans="2:12" x14ac:dyDescent="0.2">
      <c r="B9" s="373" t="s">
        <v>682</v>
      </c>
      <c r="D9" s="369" t="s">
        <v>1181</v>
      </c>
    </row>
    <row r="10" spans="2:12" x14ac:dyDescent="0.2">
      <c r="B10" s="373" t="s">
        <v>683</v>
      </c>
      <c r="D10" s="369" t="s">
        <v>1165</v>
      </c>
    </row>
    <row r="11" spans="2:12" x14ac:dyDescent="0.2">
      <c r="B11" s="373" t="s">
        <v>238</v>
      </c>
      <c r="D11" s="369" t="s">
        <v>684</v>
      </c>
    </row>
    <row r="12" spans="2:12" x14ac:dyDescent="0.2">
      <c r="B12" s="373" t="s">
        <v>685</v>
      </c>
      <c r="D12" s="369" t="s">
        <v>1185</v>
      </c>
    </row>
    <row r="13" spans="2:12" x14ac:dyDescent="0.2">
      <c r="B13" s="373" t="s">
        <v>686</v>
      </c>
      <c r="D13" s="369" t="s">
        <v>687</v>
      </c>
    </row>
    <row r="14" spans="2:12" x14ac:dyDescent="0.2">
      <c r="B14" s="373" t="s">
        <v>688</v>
      </c>
      <c r="D14" s="369" t="s">
        <v>1186</v>
      </c>
    </row>
    <row r="15" spans="2:12" x14ac:dyDescent="0.2">
      <c r="B15" s="369" t="s">
        <v>689</v>
      </c>
      <c r="D15" s="369" t="s">
        <v>690</v>
      </c>
    </row>
    <row r="18" spans="2:3" x14ac:dyDescent="0.2">
      <c r="B18" s="372" t="s">
        <v>691</v>
      </c>
    </row>
    <row r="19" spans="2:3" ht="26.25" thickBot="1" x14ac:dyDescent="0.25">
      <c r="B19" s="420" t="s">
        <v>692</v>
      </c>
      <c r="C19" s="421" t="s">
        <v>1187</v>
      </c>
    </row>
    <row r="20" spans="2:3" ht="13.5" thickTop="1" x14ac:dyDescent="0.2">
      <c r="B20" s="418" t="s">
        <v>693</v>
      </c>
      <c r="C20" s="419">
        <v>190000000</v>
      </c>
    </row>
    <row r="21" spans="2:3" x14ac:dyDescent="0.2">
      <c r="B21" s="376" t="s">
        <v>694</v>
      </c>
      <c r="C21" s="377">
        <v>200000000</v>
      </c>
    </row>
    <row r="22" spans="2:3" x14ac:dyDescent="0.2">
      <c r="B22" s="376" t="s">
        <v>695</v>
      </c>
      <c r="C22" s="377">
        <v>175000000</v>
      </c>
    </row>
    <row r="23" spans="2:3" x14ac:dyDescent="0.2">
      <c r="B23" s="376" t="s">
        <v>696</v>
      </c>
      <c r="C23" s="377">
        <v>300000000</v>
      </c>
    </row>
    <row r="24" spans="2:3" x14ac:dyDescent="0.2">
      <c r="B24" s="376" t="s">
        <v>697</v>
      </c>
      <c r="C24" s="377">
        <v>250000000</v>
      </c>
    </row>
    <row r="25" spans="2:3" x14ac:dyDescent="0.2">
      <c r="B25" s="376" t="s">
        <v>698</v>
      </c>
      <c r="C25" s="377">
        <v>235000000</v>
      </c>
    </row>
    <row r="26" spans="2:3" x14ac:dyDescent="0.2">
      <c r="B26" s="376" t="s">
        <v>699</v>
      </c>
      <c r="C26" s="377">
        <v>260000000</v>
      </c>
    </row>
    <row r="27" spans="2:3" x14ac:dyDescent="0.2">
      <c r="B27" s="376" t="s">
        <v>700</v>
      </c>
      <c r="C27" s="377">
        <v>180000000</v>
      </c>
    </row>
    <row r="28" spans="2:3" x14ac:dyDescent="0.2">
      <c r="B28" s="376" t="s">
        <v>701</v>
      </c>
      <c r="C28" s="377">
        <v>175000000</v>
      </c>
    </row>
    <row r="29" spans="2:3" x14ac:dyDescent="0.2">
      <c r="B29" s="376" t="s">
        <v>702</v>
      </c>
      <c r="C29" s="377">
        <v>233000000</v>
      </c>
    </row>
    <row r="30" spans="2:3" x14ac:dyDescent="0.2">
      <c r="B30" s="376" t="s">
        <v>703</v>
      </c>
      <c r="C30" s="377">
        <v>215000000</v>
      </c>
    </row>
    <row r="31" spans="2:3" x14ac:dyDescent="0.2">
      <c r="B31" s="376" t="s">
        <v>704</v>
      </c>
      <c r="C31" s="377">
        <v>301000000</v>
      </c>
    </row>
    <row r="32" spans="2:3" x14ac:dyDescent="0.2">
      <c r="B32" s="423" t="s">
        <v>705</v>
      </c>
      <c r="C32" s="430">
        <f>SUM(C20:C31)</f>
        <v>2714000000</v>
      </c>
    </row>
    <row r="34" spans="2:12" x14ac:dyDescent="0.2">
      <c r="B34" s="372" t="s">
        <v>706</v>
      </c>
    </row>
    <row r="35" spans="2:12" ht="7.5" customHeight="1" x14ac:dyDescent="0.2">
      <c r="B35" s="372"/>
    </row>
    <row r="36" spans="2:12" x14ac:dyDescent="0.2">
      <c r="B36" s="372" t="s">
        <v>758</v>
      </c>
    </row>
    <row r="37" spans="2:12" x14ac:dyDescent="0.2">
      <c r="B37" s="431" t="s">
        <v>1172</v>
      </c>
    </row>
    <row r="38" spans="2:12" ht="25.15" customHeight="1" x14ac:dyDescent="0.2">
      <c r="B38" s="372"/>
    </row>
    <row r="39" spans="2:12" x14ac:dyDescent="0.2">
      <c r="B39" s="372" t="s">
        <v>707</v>
      </c>
    </row>
    <row r="40" spans="2:12" x14ac:dyDescent="0.2">
      <c r="B40" s="423" t="s">
        <v>708</v>
      </c>
      <c r="C40" s="424" t="s">
        <v>709</v>
      </c>
      <c r="D40" s="424" t="s">
        <v>710</v>
      </c>
      <c r="E40" s="424" t="s">
        <v>711</v>
      </c>
      <c r="F40" s="488" t="s">
        <v>712</v>
      </c>
      <c r="G40" s="489"/>
    </row>
    <row r="41" spans="2:12" s="382" customFormat="1" ht="63" customHeight="1" x14ac:dyDescent="0.25">
      <c r="B41" s="374" t="s">
        <v>678</v>
      </c>
      <c r="C41" s="378" t="s">
        <v>679</v>
      </c>
      <c r="D41" s="379">
        <v>150000000</v>
      </c>
      <c r="E41" s="380">
        <f>D41*2.5%</f>
        <v>3750000</v>
      </c>
      <c r="F41" s="491" t="s">
        <v>1182</v>
      </c>
      <c r="G41" s="491"/>
      <c r="H41" s="371"/>
      <c r="I41" s="371"/>
      <c r="J41" s="371"/>
      <c r="K41" s="371"/>
      <c r="L41" s="371"/>
    </row>
    <row r="42" spans="2:12" ht="16.5" customHeight="1" x14ac:dyDescent="0.2">
      <c r="B42" s="383"/>
      <c r="C42" s="384"/>
      <c r="D42" s="385"/>
      <c r="E42" s="386"/>
      <c r="F42" s="370"/>
      <c r="G42" s="370"/>
      <c r="H42" s="371"/>
      <c r="I42" s="371"/>
      <c r="J42" s="371"/>
      <c r="K42" s="371"/>
      <c r="L42" s="371"/>
    </row>
    <row r="43" spans="2:12" ht="16.5" customHeight="1" x14ac:dyDescent="0.2">
      <c r="B43" s="387" t="s">
        <v>713</v>
      </c>
      <c r="C43" s="384"/>
      <c r="D43" s="385"/>
      <c r="E43" s="386"/>
      <c r="F43" s="370"/>
      <c r="G43" s="370"/>
      <c r="H43" s="371"/>
      <c r="I43" s="371"/>
      <c r="J43" s="371"/>
      <c r="K43" s="371"/>
      <c r="L43" s="371"/>
    </row>
    <row r="44" spans="2:12" ht="16.5" customHeight="1" x14ac:dyDescent="0.2">
      <c r="B44" s="422" t="s">
        <v>708</v>
      </c>
      <c r="C44" s="424" t="s">
        <v>709</v>
      </c>
      <c r="D44" s="492" t="s">
        <v>714</v>
      </c>
      <c r="E44" s="492"/>
      <c r="F44" s="425" t="s">
        <v>715</v>
      </c>
      <c r="G44" s="426" t="s">
        <v>712</v>
      </c>
      <c r="H44" s="371"/>
      <c r="I44" s="371"/>
      <c r="J44" s="371"/>
      <c r="K44" s="371"/>
      <c r="L44" s="371"/>
    </row>
    <row r="45" spans="2:12" s="383" customFormat="1" ht="26.25" customHeight="1" x14ac:dyDescent="0.25">
      <c r="B45" s="374">
        <v>303</v>
      </c>
      <c r="C45" s="381" t="s">
        <v>680</v>
      </c>
      <c r="D45" s="493" t="s">
        <v>1200</v>
      </c>
      <c r="E45" s="493"/>
      <c r="F45" s="389">
        <v>50000000</v>
      </c>
      <c r="G45" s="375" t="s">
        <v>1201</v>
      </c>
      <c r="H45" s="390"/>
      <c r="I45" s="390"/>
      <c r="J45" s="390"/>
      <c r="K45" s="390"/>
      <c r="L45" s="390"/>
    </row>
    <row r="46" spans="2:12" ht="16.5" customHeight="1" x14ac:dyDescent="0.2">
      <c r="B46" s="391"/>
      <c r="C46" s="384"/>
      <c r="D46" s="385"/>
      <c r="E46" s="386"/>
      <c r="F46" s="370"/>
      <c r="G46" s="370"/>
      <c r="H46" s="371"/>
      <c r="I46" s="371"/>
      <c r="J46" s="371"/>
      <c r="K46" s="371"/>
      <c r="L46" s="371"/>
    </row>
    <row r="47" spans="2:12" ht="12.75" customHeight="1" x14ac:dyDescent="0.2">
      <c r="B47" s="387" t="s">
        <v>716</v>
      </c>
    </row>
    <row r="48" spans="2:12" x14ac:dyDescent="0.2">
      <c r="B48" s="422" t="s">
        <v>708</v>
      </c>
      <c r="C48" s="423" t="s">
        <v>709</v>
      </c>
      <c r="D48" s="488" t="s">
        <v>714</v>
      </c>
      <c r="E48" s="489"/>
      <c r="F48" s="423" t="s">
        <v>717</v>
      </c>
      <c r="G48" s="423" t="s">
        <v>712</v>
      </c>
    </row>
    <row r="49" spans="2:7" ht="38.25" x14ac:dyDescent="0.2">
      <c r="B49" s="374">
        <v>302</v>
      </c>
      <c r="C49" s="378" t="s">
        <v>667</v>
      </c>
      <c r="D49" s="494" t="s">
        <v>1202</v>
      </c>
      <c r="E49" s="495"/>
      <c r="F49" s="388">
        <v>12500000</v>
      </c>
      <c r="G49" s="378" t="s">
        <v>1203</v>
      </c>
    </row>
    <row r="51" spans="2:7" x14ac:dyDescent="0.2">
      <c r="B51" s="372" t="s">
        <v>718</v>
      </c>
    </row>
    <row r="52" spans="2:7" x14ac:dyDescent="0.2">
      <c r="B52" s="372" t="s">
        <v>719</v>
      </c>
    </row>
    <row r="53" spans="2:7" ht="17.649999999999999" customHeight="1" x14ac:dyDescent="0.2">
      <c r="B53" s="496" t="s">
        <v>720</v>
      </c>
      <c r="C53" s="496" t="s">
        <v>756</v>
      </c>
      <c r="D53" s="496" t="s">
        <v>721</v>
      </c>
      <c r="E53" s="497" t="s">
        <v>722</v>
      </c>
      <c r="F53" s="502" t="s">
        <v>723</v>
      </c>
      <c r="G53" s="496" t="s">
        <v>712</v>
      </c>
    </row>
    <row r="54" spans="2:7" x14ac:dyDescent="0.2">
      <c r="B54" s="496"/>
      <c r="C54" s="496"/>
      <c r="D54" s="496"/>
      <c r="E54" s="498"/>
      <c r="F54" s="502"/>
      <c r="G54" s="496"/>
    </row>
    <row r="55" spans="2:7" ht="25.5" x14ac:dyDescent="0.2">
      <c r="B55" s="394" t="s">
        <v>668</v>
      </c>
      <c r="C55" s="395" t="s">
        <v>669</v>
      </c>
      <c r="D55" s="375">
        <v>2013</v>
      </c>
      <c r="E55" s="396">
        <v>300000000</v>
      </c>
      <c r="F55" s="379">
        <f>E55</f>
        <v>300000000</v>
      </c>
      <c r="G55" s="397" t="s">
        <v>1198</v>
      </c>
    </row>
    <row r="56" spans="2:7" ht="38.25" x14ac:dyDescent="0.2">
      <c r="B56" s="394" t="s">
        <v>672</v>
      </c>
      <c r="C56" s="395" t="s">
        <v>673</v>
      </c>
      <c r="D56" s="375">
        <v>2018</v>
      </c>
      <c r="E56" s="396">
        <v>175000000</v>
      </c>
      <c r="F56" s="379">
        <v>200000000</v>
      </c>
      <c r="G56" s="397" t="s">
        <v>1199</v>
      </c>
    </row>
    <row r="57" spans="2:7" ht="38.25" x14ac:dyDescent="0.2">
      <c r="B57" s="394" t="s">
        <v>674</v>
      </c>
      <c r="C57" s="395" t="s">
        <v>724</v>
      </c>
      <c r="D57" s="392">
        <v>2020</v>
      </c>
      <c r="E57" s="396">
        <v>400000000</v>
      </c>
      <c r="F57" s="379">
        <v>300000000</v>
      </c>
      <c r="G57" s="397" t="s">
        <v>725</v>
      </c>
    </row>
    <row r="58" spans="2:7" ht="51" x14ac:dyDescent="0.2">
      <c r="B58" s="398" t="s">
        <v>675</v>
      </c>
      <c r="C58" s="399" t="s">
        <v>676</v>
      </c>
      <c r="D58" s="392">
        <v>2023</v>
      </c>
      <c r="E58" s="396">
        <v>550000000</v>
      </c>
      <c r="F58" s="379">
        <v>900000000</v>
      </c>
      <c r="G58" s="397" t="s">
        <v>1204</v>
      </c>
    </row>
    <row r="59" spans="2:7" x14ac:dyDescent="0.2">
      <c r="B59" s="400" t="s">
        <v>670</v>
      </c>
      <c r="C59" s="401" t="s">
        <v>671</v>
      </c>
      <c r="D59" s="393">
        <v>2025</v>
      </c>
      <c r="E59" s="402">
        <v>50000000</v>
      </c>
      <c r="F59" s="377">
        <f>E59</f>
        <v>50000000</v>
      </c>
      <c r="G59" s="403" t="s">
        <v>726</v>
      </c>
    </row>
    <row r="60" spans="2:7" x14ac:dyDescent="0.2">
      <c r="B60" s="499" t="s">
        <v>727</v>
      </c>
      <c r="C60" s="500"/>
      <c r="D60" s="501"/>
      <c r="E60" s="428">
        <f>SUM(E55:E59)</f>
        <v>1475000000</v>
      </c>
      <c r="F60" s="428">
        <f>SUM(F55:F59)</f>
        <v>1750000000</v>
      </c>
      <c r="G60" s="429"/>
    </row>
    <row r="62" spans="2:7" x14ac:dyDescent="0.2">
      <c r="B62" s="372" t="s">
        <v>728</v>
      </c>
    </row>
    <row r="63" spans="2:7" ht="13.35" customHeight="1" x14ac:dyDescent="0.2">
      <c r="B63" s="496" t="s">
        <v>729</v>
      </c>
      <c r="C63" s="496" t="s">
        <v>730</v>
      </c>
      <c r="D63" s="496" t="s">
        <v>731</v>
      </c>
      <c r="E63" s="496" t="s">
        <v>732</v>
      </c>
      <c r="F63" s="496" t="s">
        <v>733</v>
      </c>
    </row>
    <row r="64" spans="2:7" ht="27.6" customHeight="1" x14ac:dyDescent="0.2">
      <c r="B64" s="496"/>
      <c r="C64" s="496"/>
      <c r="D64" s="496"/>
      <c r="E64" s="496"/>
      <c r="F64" s="496"/>
    </row>
    <row r="65" spans="2:7" ht="25.5" x14ac:dyDescent="0.2">
      <c r="B65" s="394">
        <v>101</v>
      </c>
      <c r="C65" s="397" t="s">
        <v>1205</v>
      </c>
      <c r="D65" s="375" t="s">
        <v>666</v>
      </c>
      <c r="E65" s="375">
        <v>2024</v>
      </c>
      <c r="F65" s="404">
        <v>50000000</v>
      </c>
    </row>
    <row r="68" spans="2:7" x14ac:dyDescent="0.2">
      <c r="B68" s="372" t="s">
        <v>734</v>
      </c>
    </row>
    <row r="69" spans="2:7" x14ac:dyDescent="0.2">
      <c r="B69" s="426" t="s">
        <v>692</v>
      </c>
      <c r="C69" s="426" t="s">
        <v>735</v>
      </c>
      <c r="D69" s="426" t="s">
        <v>736</v>
      </c>
      <c r="E69" s="426" t="s">
        <v>737</v>
      </c>
      <c r="F69" s="426" t="s">
        <v>738</v>
      </c>
    </row>
    <row r="70" spans="2:7" x14ac:dyDescent="0.2">
      <c r="B70" s="405" t="s">
        <v>693</v>
      </c>
      <c r="C70" s="406">
        <f t="shared" ref="C70:C81" si="0">C20</f>
        <v>190000000</v>
      </c>
      <c r="D70" s="473">
        <v>0</v>
      </c>
      <c r="E70" s="405" t="s">
        <v>739</v>
      </c>
      <c r="F70" s="405"/>
    </row>
    <row r="71" spans="2:7" x14ac:dyDescent="0.2">
      <c r="B71" s="405" t="s">
        <v>694</v>
      </c>
      <c r="C71" s="406">
        <f t="shared" si="0"/>
        <v>200000000</v>
      </c>
      <c r="D71" s="473">
        <v>0</v>
      </c>
      <c r="E71" s="405" t="s">
        <v>739</v>
      </c>
      <c r="F71" s="405"/>
      <c r="G71" s="408"/>
    </row>
    <row r="72" spans="2:7" x14ac:dyDescent="0.2">
      <c r="B72" s="405" t="s">
        <v>695</v>
      </c>
      <c r="C72" s="406">
        <f t="shared" si="0"/>
        <v>175000000</v>
      </c>
      <c r="D72" s="471">
        <f>65000000*0.5%</f>
        <v>325000</v>
      </c>
      <c r="E72" s="405" t="s">
        <v>1196</v>
      </c>
      <c r="F72" s="475">
        <v>45755</v>
      </c>
      <c r="G72" s="408"/>
    </row>
    <row r="73" spans="2:7" x14ac:dyDescent="0.2">
      <c r="B73" s="470" t="s">
        <v>696</v>
      </c>
      <c r="C73" s="469">
        <f t="shared" si="0"/>
        <v>300000000</v>
      </c>
      <c r="D73" s="472">
        <f t="shared" ref="D73:D81" si="1">0.5/100*C73</f>
        <v>1500000</v>
      </c>
      <c r="E73" s="376" t="s">
        <v>1195</v>
      </c>
      <c r="F73" s="474">
        <v>45787</v>
      </c>
      <c r="G73" s="408"/>
    </row>
    <row r="74" spans="2:7" x14ac:dyDescent="0.2">
      <c r="B74" s="376" t="s">
        <v>697</v>
      </c>
      <c r="C74" s="377">
        <f t="shared" si="0"/>
        <v>250000000</v>
      </c>
      <c r="D74" s="472">
        <f t="shared" si="1"/>
        <v>1250000</v>
      </c>
      <c r="E74" s="376" t="s">
        <v>740</v>
      </c>
      <c r="F74" s="407">
        <v>45823</v>
      </c>
      <c r="G74" s="408"/>
    </row>
    <row r="75" spans="2:7" x14ac:dyDescent="0.2">
      <c r="B75" s="376" t="s">
        <v>698</v>
      </c>
      <c r="C75" s="377">
        <f t="shared" si="0"/>
        <v>235000000</v>
      </c>
      <c r="D75" s="472">
        <f t="shared" si="1"/>
        <v>1175000</v>
      </c>
      <c r="E75" s="376" t="s">
        <v>741</v>
      </c>
      <c r="F75" s="407">
        <v>45848</v>
      </c>
      <c r="G75" s="408"/>
    </row>
    <row r="76" spans="2:7" x14ac:dyDescent="0.2">
      <c r="B76" s="376" t="s">
        <v>699</v>
      </c>
      <c r="C76" s="377">
        <f t="shared" si="0"/>
        <v>260000000</v>
      </c>
      <c r="D76" s="472">
        <f>0.5/100*C76</f>
        <v>1300000</v>
      </c>
      <c r="E76" s="376" t="s">
        <v>742</v>
      </c>
      <c r="F76" s="407">
        <v>45879</v>
      </c>
      <c r="G76" s="408"/>
    </row>
    <row r="77" spans="2:7" x14ac:dyDescent="0.2">
      <c r="B77" s="376" t="s">
        <v>700</v>
      </c>
      <c r="C77" s="377">
        <f t="shared" si="0"/>
        <v>180000000</v>
      </c>
      <c r="D77" s="472">
        <f t="shared" si="1"/>
        <v>900000</v>
      </c>
      <c r="E77" s="376" t="s">
        <v>743</v>
      </c>
      <c r="F77" s="407">
        <v>45910</v>
      </c>
      <c r="G77" s="408"/>
    </row>
    <row r="78" spans="2:7" x14ac:dyDescent="0.2">
      <c r="B78" s="376" t="s">
        <v>701</v>
      </c>
      <c r="C78" s="377">
        <f t="shared" si="0"/>
        <v>175000000</v>
      </c>
      <c r="D78" s="472">
        <f t="shared" si="1"/>
        <v>875000</v>
      </c>
      <c r="E78" s="376" t="s">
        <v>744</v>
      </c>
      <c r="F78" s="407">
        <v>45940</v>
      </c>
      <c r="G78" s="408"/>
    </row>
    <row r="79" spans="2:7" x14ac:dyDescent="0.2">
      <c r="B79" s="376" t="s">
        <v>702</v>
      </c>
      <c r="C79" s="377">
        <f t="shared" si="0"/>
        <v>233000000</v>
      </c>
      <c r="D79" s="472">
        <f t="shared" si="1"/>
        <v>1165000</v>
      </c>
      <c r="E79" s="376" t="s">
        <v>745</v>
      </c>
      <c r="F79" s="407">
        <v>45971</v>
      </c>
      <c r="G79" s="408"/>
    </row>
    <row r="80" spans="2:7" x14ac:dyDescent="0.2">
      <c r="B80" s="376" t="s">
        <v>746</v>
      </c>
      <c r="C80" s="377">
        <f t="shared" si="0"/>
        <v>215000000</v>
      </c>
      <c r="D80" s="472">
        <f t="shared" si="1"/>
        <v>1075000</v>
      </c>
      <c r="E80" s="376" t="s">
        <v>747</v>
      </c>
      <c r="F80" s="407">
        <v>46001</v>
      </c>
      <c r="G80" s="408"/>
    </row>
    <row r="81" spans="2:7" x14ac:dyDescent="0.2">
      <c r="B81" s="376" t="s">
        <v>704</v>
      </c>
      <c r="C81" s="377">
        <f t="shared" si="0"/>
        <v>301000000</v>
      </c>
      <c r="D81" s="472">
        <f t="shared" si="1"/>
        <v>1505000</v>
      </c>
      <c r="E81" s="376" t="s">
        <v>748</v>
      </c>
      <c r="F81" s="407">
        <v>46032</v>
      </c>
      <c r="G81" s="408"/>
    </row>
    <row r="82" spans="2:7" x14ac:dyDescent="0.2">
      <c r="B82" s="424" t="s">
        <v>735</v>
      </c>
      <c r="C82" s="427">
        <f>SUM(C70:C81)</f>
        <v>2714000000</v>
      </c>
      <c r="D82" s="427">
        <f>SUM(D70:D81)</f>
        <v>11070000</v>
      </c>
      <c r="E82" s="424"/>
      <c r="F82" s="424"/>
    </row>
    <row r="83" spans="2:7" x14ac:dyDescent="0.2">
      <c r="D83" s="408"/>
      <c r="E83" s="409"/>
    </row>
    <row r="84" spans="2:7" x14ac:dyDescent="0.2">
      <c r="B84" s="372" t="s">
        <v>749</v>
      </c>
    </row>
    <row r="85" spans="2:7" x14ac:dyDescent="0.2">
      <c r="B85" s="422" t="s">
        <v>263</v>
      </c>
      <c r="C85" s="422" t="s">
        <v>7</v>
      </c>
      <c r="D85" s="422" t="s">
        <v>238</v>
      </c>
      <c r="E85" s="422" t="s">
        <v>261</v>
      </c>
      <c r="F85" s="422" t="s">
        <v>1173</v>
      </c>
      <c r="G85" s="422" t="s">
        <v>22</v>
      </c>
    </row>
    <row r="86" spans="2:7" x14ac:dyDescent="0.2">
      <c r="B86" s="432">
        <v>1</v>
      </c>
      <c r="C86" s="376" t="s">
        <v>1189</v>
      </c>
      <c r="D86" s="433" t="s">
        <v>1174</v>
      </c>
      <c r="E86" s="434" t="s">
        <v>1175</v>
      </c>
      <c r="F86" s="376" t="s">
        <v>1176</v>
      </c>
      <c r="G86" s="376" t="s">
        <v>1177</v>
      </c>
    </row>
    <row r="87" spans="2:7" x14ac:dyDescent="0.2">
      <c r="B87" s="435">
        <v>2</v>
      </c>
      <c r="C87" s="376" t="s">
        <v>1190</v>
      </c>
      <c r="D87" s="433" t="s">
        <v>1191</v>
      </c>
      <c r="E87" s="433" t="s">
        <v>1194</v>
      </c>
      <c r="F87" s="376" t="s">
        <v>1178</v>
      </c>
      <c r="G87" s="376" t="s">
        <v>1179</v>
      </c>
    </row>
    <row r="88" spans="2:7" x14ac:dyDescent="0.2">
      <c r="B88" s="435">
        <v>2</v>
      </c>
      <c r="C88" s="376" t="s">
        <v>1197</v>
      </c>
      <c r="D88" s="433" t="s">
        <v>1192</v>
      </c>
      <c r="E88" s="433" t="s">
        <v>1193</v>
      </c>
      <c r="F88" s="376" t="s">
        <v>1178</v>
      </c>
      <c r="G88" s="376" t="s">
        <v>1179</v>
      </c>
    </row>
    <row r="89" spans="2:7" x14ac:dyDescent="0.2">
      <c r="C89" s="410"/>
    </row>
    <row r="91" spans="2:7" x14ac:dyDescent="0.2">
      <c r="B91" s="372" t="s">
        <v>750</v>
      </c>
    </row>
    <row r="92" spans="2:7" x14ac:dyDescent="0.2">
      <c r="B92" s="369" t="s">
        <v>1183</v>
      </c>
    </row>
  </sheetData>
  <mergeCells count="19">
    <mergeCell ref="G53:G54"/>
    <mergeCell ref="B60:D60"/>
    <mergeCell ref="B63:B64"/>
    <mergeCell ref="C63:C64"/>
    <mergeCell ref="D63:D64"/>
    <mergeCell ref="E63:E64"/>
    <mergeCell ref="F63:F64"/>
    <mergeCell ref="F53:F54"/>
    <mergeCell ref="D49:E49"/>
    <mergeCell ref="B53:B54"/>
    <mergeCell ref="C53:C54"/>
    <mergeCell ref="D53:D54"/>
    <mergeCell ref="E53:E54"/>
    <mergeCell ref="D48:E48"/>
    <mergeCell ref="B4:G5"/>
    <mergeCell ref="F40:G40"/>
    <mergeCell ref="F41:G41"/>
    <mergeCell ref="D44:E44"/>
    <mergeCell ref="D45:E45"/>
  </mergeCells>
  <pageMargins left="0.19685039370078741" right="0.70866141732283472" top="0.15748031496062992" bottom="0.35433070866141736" header="0.31496062992125984" footer="0.31496062992125984"/>
  <pageSetup paperSize="5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9D97A-6881-4A68-A99A-898D47203D36}">
  <dimension ref="A2:AL280"/>
  <sheetViews>
    <sheetView showGridLines="0" topLeftCell="A39" zoomScaleNormal="100" workbookViewId="0">
      <selection activeCell="E9" sqref="E9:G9"/>
    </sheetView>
  </sheetViews>
  <sheetFormatPr defaultColWidth="8.85546875" defaultRowHeight="15.75" x14ac:dyDescent="0.3"/>
  <cols>
    <col min="1" max="1" width="3.42578125" style="442" customWidth="1"/>
    <col min="2" max="2" width="3" style="439" customWidth="1"/>
    <col min="3" max="3" width="4.5703125" style="439" customWidth="1"/>
    <col min="4" max="4" width="1.42578125" style="439" customWidth="1"/>
    <col min="5" max="5" width="13" style="439" customWidth="1"/>
    <col min="6" max="6" width="6.28515625" style="439" customWidth="1"/>
    <col min="7" max="7" width="10.28515625" style="439" customWidth="1"/>
    <col min="8" max="8" width="2.28515625" style="439" customWidth="1"/>
    <col min="9" max="9" width="1.140625" style="439" customWidth="1"/>
    <col min="10" max="10" width="2.28515625" style="439" customWidth="1"/>
    <col min="11" max="12" width="8.85546875" style="439" customWidth="1"/>
    <col min="13" max="13" width="6.7109375" style="439" customWidth="1"/>
    <col min="14" max="14" width="6.42578125" style="439" customWidth="1"/>
    <col min="15" max="15" width="5" style="439" customWidth="1"/>
    <col min="16" max="16" width="3.5703125" style="439" customWidth="1"/>
    <col min="17" max="17" width="1.140625" style="439" customWidth="1"/>
    <col min="18" max="18" width="2.28515625" style="439" customWidth="1"/>
    <col min="19" max="19" width="26.28515625" style="439" customWidth="1"/>
    <col min="20" max="20" width="3.5703125" style="439" customWidth="1"/>
    <col min="21" max="21" width="4.7109375" style="439" customWidth="1"/>
    <col min="22" max="22" width="2.85546875" style="439" customWidth="1"/>
    <col min="23" max="23" width="1" style="439" customWidth="1"/>
    <col min="24" max="24" width="3.7109375" style="439" customWidth="1"/>
    <col min="25" max="25" width="8.85546875" style="439"/>
    <col min="26" max="26" width="11" style="439" customWidth="1"/>
    <col min="27" max="27" width="10.7109375" style="439" customWidth="1"/>
    <col min="28" max="28" width="2.28515625" style="439" customWidth="1"/>
    <col min="29" max="29" width="4" style="439" customWidth="1"/>
    <col min="30" max="30" width="8.85546875" style="439"/>
    <col min="31" max="31" width="1.140625" style="440" customWidth="1"/>
    <col min="32" max="34" width="8.85546875" style="439"/>
    <col min="35" max="35" width="4.42578125" style="439" customWidth="1"/>
    <col min="36" max="36" width="2.5703125" style="439" customWidth="1"/>
    <col min="37" max="37" width="4.140625" style="439" customWidth="1"/>
    <col min="38" max="16384" width="8.85546875" style="439"/>
  </cols>
  <sheetData>
    <row r="2" spans="2:37" x14ac:dyDescent="0.3">
      <c r="B2" s="436"/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437"/>
      <c r="AA2" s="437"/>
      <c r="AB2" s="437"/>
      <c r="AC2" s="438"/>
    </row>
    <row r="3" spans="2:37" ht="15" customHeight="1" x14ac:dyDescent="0.3">
      <c r="B3" s="441"/>
      <c r="C3" s="442"/>
      <c r="D3" s="442"/>
      <c r="E3" s="442"/>
      <c r="F3" s="443" t="s">
        <v>585</v>
      </c>
      <c r="G3" s="443"/>
      <c r="H3" s="443"/>
      <c r="I3" s="443"/>
      <c r="J3" s="443"/>
      <c r="K3" s="443"/>
      <c r="L3" s="443"/>
      <c r="M3" s="443"/>
      <c r="N3" s="443"/>
      <c r="O3" s="443" t="s">
        <v>759</v>
      </c>
      <c r="P3" s="443"/>
      <c r="Q3" s="443"/>
      <c r="R3" s="443"/>
      <c r="S3" s="443"/>
      <c r="T3" s="442"/>
      <c r="U3" s="442"/>
      <c r="V3" s="442"/>
      <c r="W3" s="442"/>
      <c r="X3" s="442"/>
      <c r="Y3" s="442"/>
      <c r="Z3" s="504" t="s">
        <v>760</v>
      </c>
      <c r="AA3" s="504"/>
      <c r="AB3" s="504"/>
      <c r="AC3" s="444"/>
      <c r="AF3" s="445" t="s">
        <v>761</v>
      </c>
    </row>
    <row r="4" spans="2:37" ht="15" customHeight="1" x14ac:dyDescent="0.3">
      <c r="B4" s="441"/>
      <c r="C4" s="442"/>
      <c r="D4" s="442"/>
      <c r="E4" s="442"/>
      <c r="F4" s="443" t="s">
        <v>2</v>
      </c>
      <c r="G4" s="443"/>
      <c r="H4" s="443"/>
      <c r="I4" s="443"/>
      <c r="J4" s="443"/>
      <c r="K4" s="443"/>
      <c r="L4" s="443"/>
      <c r="M4" s="443"/>
      <c r="N4" s="443"/>
      <c r="O4" s="443" t="s">
        <v>762</v>
      </c>
      <c r="P4" s="443"/>
      <c r="Q4" s="443"/>
      <c r="R4" s="443"/>
      <c r="S4" s="443"/>
      <c r="T4" s="442"/>
      <c r="U4" s="442"/>
      <c r="V4" s="442"/>
      <c r="W4" s="442"/>
      <c r="X4" s="442"/>
      <c r="Y4" s="442"/>
      <c r="Z4" s="504"/>
      <c r="AA4" s="504"/>
      <c r="AB4" s="504"/>
      <c r="AC4" s="444"/>
      <c r="AF4" s="439" t="s">
        <v>763</v>
      </c>
      <c r="AJ4" s="439" t="s">
        <v>764</v>
      </c>
    </row>
    <row r="5" spans="2:37" ht="15" customHeight="1" x14ac:dyDescent="0.3">
      <c r="B5" s="441"/>
      <c r="C5" s="442"/>
      <c r="D5" s="442"/>
      <c r="E5" s="442"/>
      <c r="F5" s="443" t="s">
        <v>4</v>
      </c>
      <c r="G5" s="443"/>
      <c r="H5" s="443"/>
      <c r="I5" s="443"/>
      <c r="J5" s="443"/>
      <c r="K5" s="443"/>
      <c r="L5" s="443"/>
      <c r="M5" s="443"/>
      <c r="N5" s="443"/>
      <c r="O5" s="443" t="s">
        <v>765</v>
      </c>
      <c r="P5" s="443"/>
      <c r="Q5" s="443"/>
      <c r="R5" s="443"/>
      <c r="S5" s="443"/>
      <c r="T5" s="442"/>
      <c r="U5" s="442"/>
      <c r="V5" s="442"/>
      <c r="W5" s="442"/>
      <c r="X5" s="442"/>
      <c r="Y5" s="442"/>
      <c r="Z5" s="504"/>
      <c r="AA5" s="504"/>
      <c r="AB5" s="504"/>
      <c r="AC5" s="444"/>
      <c r="AF5" s="439" t="s">
        <v>766</v>
      </c>
      <c r="AJ5" s="439" t="s">
        <v>767</v>
      </c>
    </row>
    <row r="6" spans="2:37" x14ac:dyDescent="0.3">
      <c r="B6" s="441"/>
      <c r="C6" s="442"/>
      <c r="D6" s="442"/>
      <c r="E6" s="442"/>
      <c r="F6" s="443"/>
      <c r="G6" s="443"/>
      <c r="H6" s="443"/>
      <c r="I6" s="443"/>
      <c r="J6" s="443"/>
      <c r="K6" s="443"/>
      <c r="L6" s="443"/>
      <c r="M6" s="443"/>
      <c r="N6" s="443"/>
      <c r="O6" s="443"/>
      <c r="P6" s="443"/>
      <c r="Q6" s="443"/>
      <c r="R6" s="443"/>
      <c r="S6" s="443"/>
      <c r="T6" s="442"/>
      <c r="U6" s="442"/>
      <c r="V6" s="442"/>
      <c r="W6" s="442"/>
      <c r="X6" s="442"/>
      <c r="Y6" s="442"/>
      <c r="Z6" s="442"/>
      <c r="AA6" s="442"/>
      <c r="AB6" s="442"/>
      <c r="AC6" s="444"/>
      <c r="AJ6" s="439" t="s">
        <v>768</v>
      </c>
    </row>
    <row r="7" spans="2:37" ht="3" customHeight="1" x14ac:dyDescent="0.3">
      <c r="B7" s="441"/>
      <c r="C7" s="446"/>
      <c r="D7" s="446"/>
      <c r="E7" s="446"/>
      <c r="F7" s="446"/>
      <c r="G7" s="446"/>
      <c r="H7" s="446"/>
      <c r="I7" s="446"/>
      <c r="J7" s="446"/>
      <c r="K7" s="446"/>
      <c r="L7" s="446"/>
      <c r="M7" s="446"/>
      <c r="N7" s="446"/>
      <c r="O7" s="446"/>
      <c r="P7" s="446"/>
      <c r="Q7" s="446"/>
      <c r="R7" s="446"/>
      <c r="S7" s="446"/>
      <c r="T7" s="446"/>
      <c r="U7" s="446"/>
      <c r="V7" s="446"/>
      <c r="W7" s="446"/>
      <c r="X7" s="446"/>
      <c r="Y7" s="446"/>
      <c r="Z7" s="446"/>
      <c r="AA7" s="446"/>
      <c r="AB7" s="446"/>
      <c r="AC7" s="444"/>
      <c r="AF7" s="439" t="s">
        <v>769</v>
      </c>
      <c r="AJ7" s="439" t="s">
        <v>770</v>
      </c>
    </row>
    <row r="8" spans="2:37" x14ac:dyDescent="0.3">
      <c r="B8" s="441"/>
      <c r="C8" s="446"/>
      <c r="D8" s="505" t="s">
        <v>771</v>
      </c>
      <c r="E8" s="505"/>
      <c r="F8" s="505"/>
      <c r="G8" s="505"/>
      <c r="H8" s="447"/>
      <c r="I8" s="448"/>
      <c r="J8" s="447"/>
      <c r="K8" s="505" t="s">
        <v>772</v>
      </c>
      <c r="L8" s="505"/>
      <c r="M8" s="505"/>
      <c r="N8" s="505"/>
      <c r="O8" s="505"/>
      <c r="P8" s="447"/>
      <c r="Q8" s="448"/>
      <c r="R8" s="447"/>
      <c r="S8" s="505" t="s">
        <v>773</v>
      </c>
      <c r="T8" s="505"/>
      <c r="U8" s="505"/>
      <c r="V8" s="447"/>
      <c r="W8" s="448"/>
      <c r="X8" s="447"/>
      <c r="Y8" s="505" t="s">
        <v>774</v>
      </c>
      <c r="Z8" s="505"/>
      <c r="AA8" s="505"/>
      <c r="AB8" s="446"/>
      <c r="AC8" s="444"/>
      <c r="AJ8" s="439" t="s">
        <v>775</v>
      </c>
    </row>
    <row r="9" spans="2:37" x14ac:dyDescent="0.3">
      <c r="B9" s="441"/>
      <c r="C9" s="446"/>
      <c r="D9" s="446"/>
      <c r="E9" s="503" t="s">
        <v>1210</v>
      </c>
      <c r="F9" s="503"/>
      <c r="G9" s="503"/>
      <c r="H9" s="446"/>
      <c r="I9" s="442"/>
      <c r="J9" s="446"/>
      <c r="K9" s="503" t="s">
        <v>776</v>
      </c>
      <c r="L9" s="503"/>
      <c r="M9" s="503"/>
      <c r="N9" s="503"/>
      <c r="O9" s="503"/>
      <c r="P9" s="446"/>
      <c r="Q9" s="442"/>
      <c r="R9" s="446"/>
      <c r="S9" s="503" t="s">
        <v>777</v>
      </c>
      <c r="T9" s="503"/>
      <c r="U9" s="503"/>
      <c r="V9" s="446"/>
      <c r="W9" s="449"/>
      <c r="X9" s="446"/>
      <c r="Y9" s="503" t="s">
        <v>778</v>
      </c>
      <c r="Z9" s="503"/>
      <c r="AA9" s="503"/>
      <c r="AB9" s="446"/>
      <c r="AC9" s="444"/>
      <c r="AJ9" s="439" t="s">
        <v>779</v>
      </c>
    </row>
    <row r="10" spans="2:37" ht="4.9000000000000004" customHeight="1" x14ac:dyDescent="0.3">
      <c r="B10" s="441"/>
      <c r="C10" s="446"/>
      <c r="D10" s="446"/>
      <c r="E10" s="446"/>
      <c r="F10" s="446"/>
      <c r="G10" s="446"/>
      <c r="H10" s="446"/>
      <c r="I10" s="442"/>
      <c r="J10" s="446"/>
      <c r="K10" s="446"/>
      <c r="L10" s="446"/>
      <c r="M10" s="446"/>
      <c r="N10" s="446"/>
      <c r="O10" s="446"/>
      <c r="P10" s="446"/>
      <c r="Q10" s="442"/>
      <c r="R10" s="446"/>
      <c r="S10" s="446"/>
      <c r="T10" s="446"/>
      <c r="U10" s="446"/>
      <c r="V10" s="446"/>
      <c r="W10" s="442"/>
      <c r="X10" s="446"/>
      <c r="Y10" s="446"/>
      <c r="Z10" s="446"/>
      <c r="AA10" s="446"/>
      <c r="AB10" s="446"/>
      <c r="AC10" s="444"/>
    </row>
    <row r="11" spans="2:37" x14ac:dyDescent="0.3">
      <c r="B11" s="441"/>
      <c r="C11" s="450" t="s">
        <v>780</v>
      </c>
      <c r="D11" s="451"/>
      <c r="E11" s="451"/>
      <c r="F11" s="451"/>
      <c r="G11" s="451"/>
      <c r="H11" s="451"/>
      <c r="I11" s="451"/>
      <c r="J11" s="451"/>
      <c r="K11" s="451"/>
      <c r="L11" s="451"/>
      <c r="M11" s="451"/>
      <c r="N11" s="451"/>
      <c r="O11" s="451"/>
      <c r="P11" s="451"/>
      <c r="Q11" s="451"/>
      <c r="R11" s="451"/>
      <c r="S11" s="451"/>
      <c r="T11" s="451"/>
      <c r="U11" s="451"/>
      <c r="V11" s="451"/>
      <c r="W11" s="451"/>
      <c r="X11" s="451"/>
      <c r="Y11" s="451"/>
      <c r="Z11" s="451"/>
      <c r="AA11" s="451"/>
      <c r="AB11" s="452"/>
      <c r="AC11" s="444"/>
      <c r="AJ11" s="439" t="s">
        <v>781</v>
      </c>
    </row>
    <row r="12" spans="2:37" x14ac:dyDescent="0.3">
      <c r="B12" s="441"/>
      <c r="C12" s="442" t="s">
        <v>313</v>
      </c>
      <c r="D12" s="442" t="s">
        <v>36</v>
      </c>
      <c r="E12" s="442"/>
      <c r="F12" s="453" t="s">
        <v>684</v>
      </c>
      <c r="G12" s="453"/>
      <c r="H12" s="454"/>
      <c r="I12" s="454"/>
      <c r="J12" s="454"/>
      <c r="K12" s="442"/>
      <c r="L12" s="442"/>
      <c r="M12" s="442"/>
      <c r="N12" s="442"/>
      <c r="O12" s="442"/>
      <c r="P12" s="442"/>
      <c r="Q12" s="454"/>
      <c r="R12" s="454"/>
      <c r="S12" s="442"/>
      <c r="T12" s="442"/>
      <c r="U12" s="442"/>
      <c r="V12" s="442"/>
      <c r="W12" s="442"/>
      <c r="X12" s="442"/>
      <c r="Y12" s="442"/>
      <c r="Z12" s="442"/>
      <c r="AA12" s="442"/>
      <c r="AB12" s="442"/>
      <c r="AC12" s="444"/>
      <c r="AF12" s="439" t="s">
        <v>783</v>
      </c>
      <c r="AJ12" s="439" t="s">
        <v>784</v>
      </c>
    </row>
    <row r="13" spans="2:37" x14ac:dyDescent="0.3">
      <c r="B13" s="441"/>
      <c r="C13" s="442" t="s">
        <v>348</v>
      </c>
      <c r="D13" s="442" t="s">
        <v>682</v>
      </c>
      <c r="E13" s="442"/>
      <c r="F13" s="453" t="s">
        <v>1181</v>
      </c>
      <c r="G13" s="453"/>
      <c r="H13" s="454"/>
      <c r="I13" s="454"/>
      <c r="J13" s="454"/>
      <c r="K13" s="442"/>
      <c r="L13" s="442"/>
      <c r="M13" s="442"/>
      <c r="N13" s="442"/>
      <c r="O13" s="442"/>
      <c r="P13" s="442"/>
      <c r="Q13" s="454"/>
      <c r="R13" s="454"/>
      <c r="S13" s="442"/>
      <c r="T13" s="442"/>
      <c r="U13" s="442"/>
      <c r="V13" s="442"/>
      <c r="W13" s="442"/>
      <c r="X13" s="442"/>
      <c r="Y13" s="442"/>
      <c r="Z13" s="442"/>
      <c r="AA13" s="442"/>
      <c r="AB13" s="442"/>
      <c r="AC13" s="444"/>
      <c r="AJ13" s="439" t="s">
        <v>785</v>
      </c>
    </row>
    <row r="14" spans="2:37" x14ac:dyDescent="0.3">
      <c r="B14" s="441"/>
      <c r="C14" s="442" t="s">
        <v>786</v>
      </c>
      <c r="D14" s="442" t="s">
        <v>685</v>
      </c>
      <c r="E14" s="442"/>
      <c r="F14" s="453" t="s">
        <v>1188</v>
      </c>
      <c r="G14" s="453"/>
      <c r="H14" s="454"/>
      <c r="I14" s="454"/>
      <c r="J14" s="454"/>
      <c r="K14" s="442"/>
      <c r="L14" s="442"/>
      <c r="M14" s="442"/>
      <c r="N14" s="442"/>
      <c r="O14" s="442"/>
      <c r="P14" s="442"/>
      <c r="Q14" s="454"/>
      <c r="R14" s="454"/>
      <c r="S14" s="442"/>
      <c r="T14" s="442"/>
      <c r="U14" s="442"/>
      <c r="V14" s="442"/>
      <c r="W14" s="442"/>
      <c r="X14" s="442"/>
      <c r="Y14" s="442"/>
      <c r="Z14" s="442"/>
      <c r="AA14" s="442"/>
      <c r="AB14" s="442"/>
      <c r="AC14" s="444"/>
      <c r="AF14" s="439" t="s">
        <v>787</v>
      </c>
      <c r="AJ14" s="439" t="s">
        <v>788</v>
      </c>
    </row>
    <row r="15" spans="2:37" x14ac:dyDescent="0.3">
      <c r="B15" s="441"/>
      <c r="C15" s="442"/>
      <c r="D15" s="442"/>
      <c r="E15" s="442"/>
      <c r="F15" s="453" t="s">
        <v>1171</v>
      </c>
      <c r="G15" s="453"/>
      <c r="H15" s="454"/>
      <c r="I15" s="454"/>
      <c r="J15" s="454"/>
      <c r="K15" s="442"/>
      <c r="L15" s="442"/>
      <c r="M15" s="442"/>
      <c r="N15" s="442"/>
      <c r="O15" s="442"/>
      <c r="P15" s="442"/>
      <c r="Q15" s="454"/>
      <c r="R15" s="454"/>
      <c r="S15" s="442"/>
      <c r="T15" s="442"/>
      <c r="U15" s="442"/>
      <c r="V15" s="442"/>
      <c r="W15" s="442"/>
      <c r="X15" s="442"/>
      <c r="Y15" s="442"/>
      <c r="Z15" s="442"/>
      <c r="AA15" s="442"/>
      <c r="AB15" s="442"/>
      <c r="AC15" s="444"/>
      <c r="AK15" s="439" t="s">
        <v>789</v>
      </c>
    </row>
    <row r="16" spans="2:37" x14ac:dyDescent="0.3">
      <c r="B16" s="441"/>
      <c r="C16" s="442" t="s">
        <v>790</v>
      </c>
      <c r="D16" s="442" t="s">
        <v>791</v>
      </c>
      <c r="E16" s="442"/>
      <c r="F16" s="453" t="s">
        <v>1163</v>
      </c>
      <c r="G16" s="453"/>
      <c r="H16" s="454"/>
      <c r="I16" s="454"/>
      <c r="J16" s="454"/>
      <c r="K16" s="442"/>
      <c r="L16" s="442"/>
      <c r="M16" s="442"/>
      <c r="N16" s="442"/>
      <c r="O16" s="442"/>
      <c r="P16" s="442"/>
      <c r="Q16" s="454"/>
      <c r="R16" s="454"/>
      <c r="S16" s="442"/>
      <c r="T16" s="442"/>
      <c r="U16" s="442"/>
      <c r="V16" s="442"/>
      <c r="W16" s="442"/>
      <c r="X16" s="442"/>
      <c r="Y16" s="442"/>
      <c r="Z16" s="442"/>
      <c r="AA16" s="442"/>
      <c r="AB16" s="442"/>
      <c r="AC16" s="444"/>
      <c r="AK16" s="439" t="s">
        <v>792</v>
      </c>
    </row>
    <row r="17" spans="2:37" x14ac:dyDescent="0.3">
      <c r="B17" s="441"/>
      <c r="C17" s="442" t="s">
        <v>793</v>
      </c>
      <c r="D17" s="442" t="s">
        <v>794</v>
      </c>
      <c r="E17" s="442"/>
      <c r="F17" s="453" t="s">
        <v>1206</v>
      </c>
      <c r="G17" s="453"/>
      <c r="H17" s="454"/>
      <c r="I17" s="454"/>
      <c r="J17" s="454"/>
      <c r="K17" s="442"/>
      <c r="L17" s="442"/>
      <c r="M17" s="442"/>
      <c r="N17" s="442"/>
      <c r="O17" s="442" t="s">
        <v>795</v>
      </c>
      <c r="P17" s="442" t="s">
        <v>796</v>
      </c>
      <c r="Q17" s="454"/>
      <c r="R17" s="454"/>
      <c r="S17" s="442"/>
      <c r="T17" s="453" t="s">
        <v>782</v>
      </c>
      <c r="U17" s="455"/>
      <c r="V17" s="455"/>
      <c r="W17" s="455"/>
      <c r="X17" s="455"/>
      <c r="Y17" s="455"/>
      <c r="Z17" s="455"/>
      <c r="AA17" s="442"/>
      <c r="AB17" s="442"/>
      <c r="AC17" s="444"/>
      <c r="AF17" s="439" t="s">
        <v>797</v>
      </c>
      <c r="AK17" s="439" t="s">
        <v>798</v>
      </c>
    </row>
    <row r="18" spans="2:37" x14ac:dyDescent="0.3">
      <c r="B18" s="441"/>
      <c r="C18" s="442" t="s">
        <v>799</v>
      </c>
      <c r="D18" s="442" t="s">
        <v>800</v>
      </c>
      <c r="E18" s="442"/>
      <c r="F18" s="453" t="s">
        <v>1208</v>
      </c>
      <c r="G18" s="453"/>
      <c r="H18" s="454"/>
      <c r="I18" s="454"/>
      <c r="J18" s="454"/>
      <c r="K18" s="442"/>
      <c r="L18" s="442"/>
      <c r="M18" s="442"/>
      <c r="N18" s="442"/>
      <c r="O18" s="442" t="s">
        <v>801</v>
      </c>
      <c r="P18" s="442" t="s">
        <v>802</v>
      </c>
      <c r="Q18" s="454"/>
      <c r="R18" s="454"/>
      <c r="S18" s="442"/>
      <c r="T18" s="453" t="s">
        <v>782</v>
      </c>
      <c r="U18" s="455"/>
      <c r="V18" s="455"/>
      <c r="W18" s="455"/>
      <c r="X18" s="455"/>
      <c r="Y18" s="455"/>
      <c r="Z18" s="455"/>
      <c r="AA18" s="442"/>
      <c r="AB18" s="442"/>
      <c r="AC18" s="444"/>
      <c r="AK18" s="439" t="s">
        <v>803</v>
      </c>
    </row>
    <row r="19" spans="2:37" x14ac:dyDescent="0.3">
      <c r="B19" s="441"/>
      <c r="C19" s="442" t="s">
        <v>804</v>
      </c>
      <c r="D19" s="442" t="s">
        <v>805</v>
      </c>
      <c r="E19" s="442"/>
      <c r="F19" s="453" t="s">
        <v>1164</v>
      </c>
      <c r="G19" s="453"/>
      <c r="H19" s="454"/>
      <c r="I19" s="454"/>
      <c r="J19" s="454"/>
      <c r="K19" s="442"/>
      <c r="L19" s="442"/>
      <c r="M19" s="442"/>
      <c r="N19" s="442"/>
      <c r="O19" s="442" t="s">
        <v>806</v>
      </c>
      <c r="P19" s="442" t="s">
        <v>807</v>
      </c>
      <c r="Q19" s="454"/>
      <c r="R19" s="454"/>
      <c r="S19" s="442"/>
      <c r="T19" s="453" t="s">
        <v>782</v>
      </c>
      <c r="U19" s="455"/>
      <c r="V19" s="455"/>
      <c r="W19" s="455"/>
      <c r="X19" s="455"/>
      <c r="Y19" s="455"/>
      <c r="Z19" s="455"/>
      <c r="AA19" s="442"/>
      <c r="AB19" s="442"/>
      <c r="AC19" s="444"/>
      <c r="AK19" s="439" t="s">
        <v>808</v>
      </c>
    </row>
    <row r="20" spans="2:37" x14ac:dyDescent="0.3">
      <c r="B20" s="441"/>
      <c r="C20" s="442"/>
      <c r="D20" s="442"/>
      <c r="E20" s="442"/>
      <c r="F20" s="442"/>
      <c r="G20" s="442"/>
      <c r="H20" s="442"/>
      <c r="I20" s="442"/>
      <c r="J20" s="442"/>
      <c r="K20" s="442"/>
      <c r="L20" s="442"/>
      <c r="M20" s="442"/>
      <c r="N20" s="442"/>
      <c r="O20" s="442"/>
      <c r="P20" s="442" t="s">
        <v>809</v>
      </c>
      <c r="Q20" s="442"/>
      <c r="R20" s="442"/>
      <c r="S20" s="442"/>
      <c r="T20" s="442"/>
      <c r="U20" s="442"/>
      <c r="V20" s="442"/>
      <c r="W20" s="442"/>
      <c r="X20" s="442"/>
      <c r="Y20" s="442"/>
      <c r="Z20" s="442"/>
      <c r="AA20" s="442"/>
      <c r="AB20" s="442"/>
      <c r="AC20" s="444"/>
      <c r="AK20" s="439" t="s">
        <v>810</v>
      </c>
    </row>
    <row r="21" spans="2:37" ht="3.6" customHeight="1" x14ac:dyDescent="0.3">
      <c r="B21" s="441"/>
      <c r="C21" s="442"/>
      <c r="D21" s="442"/>
      <c r="E21" s="442"/>
      <c r="F21" s="442"/>
      <c r="G21" s="442"/>
      <c r="H21" s="442"/>
      <c r="I21" s="442"/>
      <c r="J21" s="442"/>
      <c r="K21" s="442"/>
      <c r="L21" s="442"/>
      <c r="M21" s="442"/>
      <c r="N21" s="442"/>
      <c r="O21" s="442"/>
      <c r="P21" s="442"/>
      <c r="Q21" s="442"/>
      <c r="R21" s="442"/>
      <c r="S21" s="442"/>
      <c r="T21" s="442"/>
      <c r="U21" s="442"/>
      <c r="V21" s="442"/>
      <c r="W21" s="442"/>
      <c r="X21" s="442"/>
      <c r="Y21" s="442"/>
      <c r="Z21" s="442"/>
      <c r="AA21" s="442"/>
      <c r="AB21" s="442"/>
      <c r="AC21" s="444"/>
      <c r="AK21" s="439" t="s">
        <v>811</v>
      </c>
    </row>
    <row r="22" spans="2:37" x14ac:dyDescent="0.3">
      <c r="B22" s="441"/>
      <c r="C22" s="450" t="s">
        <v>812</v>
      </c>
      <c r="D22" s="451"/>
      <c r="E22" s="451"/>
      <c r="F22" s="451"/>
      <c r="G22" s="451"/>
      <c r="H22" s="451"/>
      <c r="I22" s="451"/>
      <c r="J22" s="451"/>
      <c r="K22" s="451"/>
      <c r="L22" s="451"/>
      <c r="M22" s="451"/>
      <c r="N22" s="451"/>
      <c r="O22" s="451"/>
      <c r="P22" s="451"/>
      <c r="Q22" s="451"/>
      <c r="R22" s="451"/>
      <c r="S22" s="451"/>
      <c r="T22" s="451"/>
      <c r="U22" s="451"/>
      <c r="V22" s="451"/>
      <c r="W22" s="451"/>
      <c r="X22" s="451"/>
      <c r="Y22" s="451"/>
      <c r="Z22" s="451"/>
      <c r="AA22" s="451"/>
      <c r="AB22" s="451"/>
      <c r="AC22" s="444"/>
      <c r="AK22" s="439" t="s">
        <v>813</v>
      </c>
    </row>
    <row r="23" spans="2:37" x14ac:dyDescent="0.3">
      <c r="B23" s="441"/>
      <c r="C23" s="507" t="s">
        <v>814</v>
      </c>
      <c r="D23" s="507"/>
      <c r="E23" s="442" t="s">
        <v>815</v>
      </c>
      <c r="F23" s="442"/>
      <c r="G23" s="442"/>
      <c r="H23" s="453" t="s">
        <v>1166</v>
      </c>
      <c r="I23" s="455"/>
      <c r="J23" s="455"/>
      <c r="K23" s="455"/>
      <c r="L23" s="453"/>
      <c r="M23" s="454" t="s">
        <v>816</v>
      </c>
      <c r="N23" s="442" t="s">
        <v>817</v>
      </c>
      <c r="O23" s="442"/>
      <c r="P23" s="442"/>
      <c r="Q23" s="442"/>
      <c r="R23" s="442"/>
      <c r="S23" s="453" t="s">
        <v>1167</v>
      </c>
      <c r="T23" s="442"/>
      <c r="U23" s="442"/>
      <c r="V23" s="442"/>
      <c r="W23" s="442"/>
      <c r="X23" s="442"/>
      <c r="Y23" s="442"/>
      <c r="Z23" s="442"/>
      <c r="AA23" s="442"/>
      <c r="AB23" s="442"/>
      <c r="AC23" s="444"/>
      <c r="AK23" s="439" t="s">
        <v>818</v>
      </c>
    </row>
    <row r="24" spans="2:37" x14ac:dyDescent="0.3">
      <c r="B24" s="441"/>
      <c r="C24" s="442" t="s">
        <v>819</v>
      </c>
      <c r="D24" s="442"/>
      <c r="E24" s="442" t="s">
        <v>820</v>
      </c>
      <c r="F24" s="442"/>
      <c r="G24" s="442"/>
      <c r="H24" s="453" t="s">
        <v>1168</v>
      </c>
      <c r="I24" s="455"/>
      <c r="J24" s="455"/>
      <c r="K24" s="455"/>
      <c r="L24" s="453"/>
      <c r="M24" s="454"/>
      <c r="N24" s="442"/>
      <c r="O24" s="442"/>
      <c r="P24" s="442"/>
      <c r="Q24" s="442"/>
      <c r="R24" s="442"/>
      <c r="S24" s="442"/>
      <c r="T24" s="442"/>
      <c r="U24" s="442"/>
      <c r="V24" s="442"/>
      <c r="W24" s="442"/>
      <c r="X24" s="442"/>
      <c r="Y24" s="442"/>
      <c r="Z24" s="442"/>
      <c r="AA24" s="442"/>
      <c r="AB24" s="442"/>
      <c r="AC24" s="444"/>
      <c r="AF24" s="445" t="s">
        <v>821</v>
      </c>
    </row>
    <row r="25" spans="2:37" x14ac:dyDescent="0.3">
      <c r="B25" s="441"/>
      <c r="C25" s="508" t="s">
        <v>263</v>
      </c>
      <c r="D25" s="508"/>
      <c r="E25" s="508" t="s">
        <v>822</v>
      </c>
      <c r="F25" s="508"/>
      <c r="G25" s="508"/>
      <c r="H25" s="508"/>
      <c r="I25" s="508"/>
      <c r="J25" s="508"/>
      <c r="K25" s="508"/>
      <c r="L25" s="508"/>
      <c r="M25" s="508"/>
      <c r="N25" s="508"/>
      <c r="O25" s="508"/>
      <c r="P25" s="508"/>
      <c r="Q25" s="508"/>
      <c r="R25" s="508"/>
      <c r="S25" s="508"/>
      <c r="T25" s="508"/>
      <c r="U25" s="508"/>
      <c r="V25" s="508"/>
      <c r="W25" s="456"/>
      <c r="X25" s="508" t="s">
        <v>823</v>
      </c>
      <c r="Y25" s="508"/>
      <c r="Z25" s="508"/>
      <c r="AA25" s="508"/>
      <c r="AB25" s="508"/>
      <c r="AC25" s="444"/>
      <c r="AF25" s="439" t="s">
        <v>824</v>
      </c>
      <c r="AJ25" s="439" t="s">
        <v>825</v>
      </c>
    </row>
    <row r="26" spans="2:37" x14ac:dyDescent="0.3">
      <c r="B26" s="441"/>
      <c r="C26" s="509" t="s">
        <v>826</v>
      </c>
      <c r="D26" s="509"/>
      <c r="E26" s="509" t="s">
        <v>827</v>
      </c>
      <c r="F26" s="509"/>
      <c r="G26" s="509"/>
      <c r="H26" s="509"/>
      <c r="I26" s="509"/>
      <c r="J26" s="509"/>
      <c r="K26" s="509"/>
      <c r="L26" s="509"/>
      <c r="M26" s="509"/>
      <c r="N26" s="509"/>
      <c r="O26" s="509"/>
      <c r="P26" s="509"/>
      <c r="Q26" s="509"/>
      <c r="R26" s="509"/>
      <c r="S26" s="509"/>
      <c r="T26" s="509"/>
      <c r="U26" s="509"/>
      <c r="V26" s="457"/>
      <c r="W26" s="457"/>
      <c r="X26" s="509" t="s">
        <v>828</v>
      </c>
      <c r="Y26" s="509"/>
      <c r="Z26" s="509"/>
      <c r="AA26" s="509"/>
      <c r="AB26" s="509"/>
      <c r="AC26" s="444"/>
      <c r="AJ26" s="439" t="s">
        <v>829</v>
      </c>
    </row>
    <row r="27" spans="2:37" x14ac:dyDescent="0.3">
      <c r="B27" s="441"/>
      <c r="C27" s="510" t="s">
        <v>830</v>
      </c>
      <c r="D27" s="510"/>
      <c r="E27" s="458" t="s">
        <v>264</v>
      </c>
      <c r="F27" s="458"/>
      <c r="G27" s="459"/>
      <c r="H27" s="459"/>
      <c r="I27" s="459"/>
      <c r="J27" s="459"/>
      <c r="K27" s="459"/>
      <c r="L27" s="459"/>
      <c r="M27" s="459"/>
      <c r="N27" s="459"/>
      <c r="O27" s="459"/>
      <c r="P27" s="459"/>
      <c r="Q27" s="459"/>
      <c r="R27" s="459"/>
      <c r="S27" s="459"/>
      <c r="T27" s="459"/>
      <c r="U27" s="459"/>
      <c r="V27" s="459"/>
      <c r="W27" s="459"/>
      <c r="X27" s="459"/>
      <c r="Y27" s="459"/>
      <c r="Z27" s="459"/>
      <c r="AA27" s="459"/>
      <c r="AB27" s="459"/>
      <c r="AC27" s="444"/>
      <c r="AJ27" s="439" t="s">
        <v>831</v>
      </c>
    </row>
    <row r="28" spans="2:37" x14ac:dyDescent="0.3">
      <c r="B28" s="441"/>
      <c r="C28" s="460" t="s">
        <v>30</v>
      </c>
      <c r="D28" s="460"/>
      <c r="E28" s="442" t="s">
        <v>832</v>
      </c>
      <c r="F28" s="442"/>
      <c r="G28" s="442"/>
      <c r="H28" s="442"/>
      <c r="I28" s="442"/>
      <c r="J28" s="442"/>
      <c r="K28" s="442"/>
      <c r="L28" s="442"/>
      <c r="M28" s="442"/>
      <c r="N28" s="442"/>
      <c r="O28" s="442"/>
      <c r="P28" s="442"/>
      <c r="Q28" s="442"/>
      <c r="R28" s="442"/>
      <c r="S28" s="442"/>
      <c r="T28" s="442"/>
      <c r="U28" s="442"/>
      <c r="V28" s="442"/>
      <c r="W28" s="442"/>
      <c r="X28" s="506">
        <f>20000000*12</f>
        <v>240000000</v>
      </c>
      <c r="Y28" s="506"/>
      <c r="Z28" s="506"/>
      <c r="AA28" s="506"/>
      <c r="AB28" s="506"/>
      <c r="AC28" s="444"/>
      <c r="AF28" s="439" t="s">
        <v>833</v>
      </c>
      <c r="AJ28" s="439" t="s">
        <v>834</v>
      </c>
    </row>
    <row r="29" spans="2:37" x14ac:dyDescent="0.3">
      <c r="B29" s="441"/>
      <c r="C29" s="454" t="s">
        <v>31</v>
      </c>
      <c r="D29" s="454"/>
      <c r="E29" s="442" t="s">
        <v>835</v>
      </c>
      <c r="F29" s="442"/>
      <c r="G29" s="442"/>
      <c r="H29" s="442"/>
      <c r="I29" s="442"/>
      <c r="J29" s="442"/>
      <c r="K29" s="442"/>
      <c r="L29" s="442"/>
      <c r="M29" s="442"/>
      <c r="N29" s="442"/>
      <c r="O29" s="442"/>
      <c r="P29" s="442"/>
      <c r="Q29" s="442"/>
      <c r="R29" s="442"/>
      <c r="S29" s="442"/>
      <c r="T29" s="442"/>
      <c r="U29" s="442"/>
      <c r="V29" s="442"/>
      <c r="W29" s="442"/>
      <c r="X29" s="506">
        <v>0</v>
      </c>
      <c r="Y29" s="506"/>
      <c r="Z29" s="506"/>
      <c r="AA29" s="506"/>
      <c r="AB29" s="506"/>
      <c r="AC29" s="444"/>
      <c r="AF29" s="439" t="s">
        <v>836</v>
      </c>
      <c r="AJ29" s="439" t="s">
        <v>837</v>
      </c>
    </row>
    <row r="30" spans="2:37" x14ac:dyDescent="0.3">
      <c r="B30" s="441"/>
      <c r="C30" s="454" t="s">
        <v>32</v>
      </c>
      <c r="D30" s="454"/>
      <c r="E30" s="442" t="s">
        <v>838</v>
      </c>
      <c r="F30" s="442"/>
      <c r="G30" s="442"/>
      <c r="H30" s="442"/>
      <c r="I30" s="442"/>
      <c r="J30" s="442"/>
      <c r="K30" s="442"/>
      <c r="L30" s="442"/>
      <c r="M30" s="442"/>
      <c r="N30" s="442"/>
      <c r="O30" s="442"/>
      <c r="P30" s="442"/>
      <c r="Q30" s="442"/>
      <c r="R30" s="442"/>
      <c r="S30" s="442"/>
      <c r="T30" s="442"/>
      <c r="U30" s="442"/>
      <c r="V30" s="442"/>
      <c r="W30" s="442"/>
      <c r="X30" s="506">
        <f>700000*12</f>
        <v>8400000</v>
      </c>
      <c r="Y30" s="506"/>
      <c r="Z30" s="506"/>
      <c r="AA30" s="506"/>
      <c r="AB30" s="506"/>
      <c r="AC30" s="444"/>
      <c r="AF30" s="439" t="s">
        <v>839</v>
      </c>
      <c r="AJ30" s="439" t="s">
        <v>840</v>
      </c>
    </row>
    <row r="31" spans="2:37" x14ac:dyDescent="0.3">
      <c r="B31" s="441"/>
      <c r="C31" s="454" t="s">
        <v>33</v>
      </c>
      <c r="D31" s="454"/>
      <c r="E31" s="442" t="s">
        <v>841</v>
      </c>
      <c r="F31" s="442"/>
      <c r="G31" s="442"/>
      <c r="H31" s="442"/>
      <c r="I31" s="442"/>
      <c r="J31" s="442"/>
      <c r="K31" s="442"/>
      <c r="L31" s="442"/>
      <c r="M31" s="442"/>
      <c r="N31" s="442"/>
      <c r="O31" s="442"/>
      <c r="P31" s="442"/>
      <c r="Q31" s="442"/>
      <c r="R31" s="442"/>
      <c r="S31" s="442"/>
      <c r="T31" s="442"/>
      <c r="U31" s="442"/>
      <c r="V31" s="442"/>
      <c r="W31" s="442"/>
      <c r="X31" s="506">
        <v>0</v>
      </c>
      <c r="Y31" s="506"/>
      <c r="Z31" s="506"/>
      <c r="AA31" s="506"/>
      <c r="AB31" s="506"/>
      <c r="AC31" s="444"/>
      <c r="AF31" s="439" t="s">
        <v>842</v>
      </c>
      <c r="AJ31" s="439" t="s">
        <v>843</v>
      </c>
    </row>
    <row r="32" spans="2:37" x14ac:dyDescent="0.3">
      <c r="B32" s="441"/>
      <c r="C32" s="454" t="s">
        <v>34</v>
      </c>
      <c r="D32" s="454"/>
      <c r="E32" s="442" t="s">
        <v>844</v>
      </c>
      <c r="F32" s="442"/>
      <c r="G32" s="442"/>
      <c r="H32" s="442"/>
      <c r="I32" s="442"/>
      <c r="J32" s="442"/>
      <c r="K32" s="442"/>
      <c r="L32" s="442"/>
      <c r="M32" s="442"/>
      <c r="N32" s="442"/>
      <c r="O32" s="442"/>
      <c r="P32" s="442"/>
      <c r="Q32" s="442"/>
      <c r="R32" s="442"/>
      <c r="S32" s="442"/>
      <c r="T32" s="442"/>
      <c r="U32" s="442"/>
      <c r="V32" s="442"/>
      <c r="W32" s="442"/>
      <c r="X32" s="506">
        <f>125000*12</f>
        <v>1500000</v>
      </c>
      <c r="Y32" s="506"/>
      <c r="Z32" s="506"/>
      <c r="AA32" s="506"/>
      <c r="AB32" s="506"/>
      <c r="AC32" s="444"/>
      <c r="AJ32" s="439" t="s">
        <v>845</v>
      </c>
    </row>
    <row r="33" spans="2:37" x14ac:dyDescent="0.3">
      <c r="B33" s="441"/>
      <c r="C33" s="454" t="s">
        <v>35</v>
      </c>
      <c r="D33" s="454"/>
      <c r="E33" s="442" t="s">
        <v>846</v>
      </c>
      <c r="F33" s="442"/>
      <c r="G33" s="442"/>
      <c r="H33" s="442"/>
      <c r="I33" s="442"/>
      <c r="J33" s="442"/>
      <c r="K33" s="442"/>
      <c r="L33" s="442"/>
      <c r="M33" s="442"/>
      <c r="N33" s="442"/>
      <c r="O33" s="442"/>
      <c r="P33" s="442"/>
      <c r="Q33" s="442"/>
      <c r="R33" s="442"/>
      <c r="S33" s="442"/>
      <c r="T33" s="442"/>
      <c r="U33" s="442"/>
      <c r="V33" s="442"/>
      <c r="W33" s="442"/>
      <c r="X33" s="506">
        <v>0</v>
      </c>
      <c r="Y33" s="506"/>
      <c r="Z33" s="506"/>
      <c r="AA33" s="506"/>
      <c r="AB33" s="506"/>
      <c r="AC33" s="444"/>
      <c r="AK33" s="439" t="s">
        <v>847</v>
      </c>
    </row>
    <row r="34" spans="2:37" x14ac:dyDescent="0.3">
      <c r="B34" s="441"/>
      <c r="C34" s="454" t="s">
        <v>43</v>
      </c>
      <c r="D34" s="454"/>
      <c r="E34" s="442" t="s">
        <v>848</v>
      </c>
      <c r="F34" s="442"/>
      <c r="G34" s="442"/>
      <c r="H34" s="442"/>
      <c r="I34" s="442"/>
      <c r="J34" s="442"/>
      <c r="K34" s="442"/>
      <c r="L34" s="442"/>
      <c r="M34" s="442"/>
      <c r="N34" s="442"/>
      <c r="O34" s="442"/>
      <c r="P34" s="442"/>
      <c r="Q34" s="442"/>
      <c r="R34" s="442"/>
      <c r="S34" s="442"/>
      <c r="T34" s="442"/>
      <c r="U34" s="442"/>
      <c r="V34" s="442"/>
      <c r="W34" s="442"/>
      <c r="X34" s="506">
        <f>20000000*2</f>
        <v>40000000</v>
      </c>
      <c r="Y34" s="506"/>
      <c r="Z34" s="506"/>
      <c r="AA34" s="506"/>
      <c r="AB34" s="506"/>
      <c r="AC34" s="444"/>
      <c r="AK34" s="439" t="s">
        <v>849</v>
      </c>
    </row>
    <row r="35" spans="2:37" x14ac:dyDescent="0.3">
      <c r="B35" s="441"/>
      <c r="C35" s="454" t="s">
        <v>49</v>
      </c>
      <c r="D35" s="454"/>
      <c r="E35" s="442" t="s">
        <v>850</v>
      </c>
      <c r="F35" s="442"/>
      <c r="G35" s="442"/>
      <c r="H35" s="442"/>
      <c r="I35" s="442"/>
      <c r="J35" s="442"/>
      <c r="K35" s="442"/>
      <c r="L35" s="442"/>
      <c r="M35" s="442"/>
      <c r="N35" s="442"/>
      <c r="O35" s="442"/>
      <c r="P35" s="442"/>
      <c r="Q35" s="442"/>
      <c r="R35" s="442"/>
      <c r="S35" s="442"/>
      <c r="T35" s="442"/>
      <c r="U35" s="442"/>
      <c r="V35" s="442"/>
      <c r="W35" s="442"/>
      <c r="X35" s="506">
        <f>SUM(X28:AB34)</f>
        <v>289900000</v>
      </c>
      <c r="Y35" s="506"/>
      <c r="Z35" s="506"/>
      <c r="AA35" s="506"/>
      <c r="AB35" s="506"/>
      <c r="AC35" s="444"/>
      <c r="AK35" s="439" t="s">
        <v>851</v>
      </c>
    </row>
    <row r="36" spans="2:37" x14ac:dyDescent="0.3">
      <c r="B36" s="441"/>
      <c r="C36" s="511" t="s">
        <v>852</v>
      </c>
      <c r="D36" s="511"/>
      <c r="E36" s="458" t="s">
        <v>853</v>
      </c>
      <c r="F36" s="458"/>
      <c r="G36" s="459"/>
      <c r="H36" s="459"/>
      <c r="I36" s="459"/>
      <c r="J36" s="459"/>
      <c r="K36" s="459"/>
      <c r="L36" s="459"/>
      <c r="M36" s="459"/>
      <c r="N36" s="459"/>
      <c r="O36" s="459"/>
      <c r="P36" s="459"/>
      <c r="Q36" s="459"/>
      <c r="R36" s="459"/>
      <c r="S36" s="459"/>
      <c r="T36" s="459"/>
      <c r="U36" s="459"/>
      <c r="V36" s="459"/>
      <c r="W36" s="459"/>
      <c r="X36" s="459"/>
      <c r="Y36" s="459"/>
      <c r="Z36" s="459"/>
      <c r="AA36" s="459"/>
      <c r="AB36" s="459"/>
      <c r="AC36" s="444"/>
      <c r="AK36" s="439" t="s">
        <v>854</v>
      </c>
    </row>
    <row r="37" spans="2:37" x14ac:dyDescent="0.3">
      <c r="B37" s="441"/>
      <c r="C37" s="461" t="s">
        <v>855</v>
      </c>
      <c r="D37" s="461"/>
      <c r="E37" s="442" t="s">
        <v>856</v>
      </c>
      <c r="F37" s="442"/>
      <c r="G37" s="442"/>
      <c r="H37" s="442"/>
      <c r="I37" s="442"/>
      <c r="J37" s="442"/>
      <c r="K37" s="442"/>
      <c r="L37" s="442"/>
      <c r="M37" s="442"/>
      <c r="N37" s="442"/>
      <c r="O37" s="442"/>
      <c r="P37" s="442"/>
      <c r="Q37" s="442"/>
      <c r="R37" s="442"/>
      <c r="S37" s="442"/>
      <c r="T37" s="442"/>
      <c r="U37" s="442"/>
      <c r="V37" s="442"/>
      <c r="W37" s="442"/>
      <c r="X37" s="506">
        <v>6000000</v>
      </c>
      <c r="Y37" s="506"/>
      <c r="Z37" s="506"/>
      <c r="AA37" s="506"/>
      <c r="AB37" s="506"/>
      <c r="AC37" s="444"/>
      <c r="AK37" s="439" t="s">
        <v>857</v>
      </c>
    </row>
    <row r="38" spans="2:37" x14ac:dyDescent="0.3">
      <c r="B38" s="441"/>
      <c r="C38" s="454" t="s">
        <v>858</v>
      </c>
      <c r="D38" s="454"/>
      <c r="E38" s="442" t="s">
        <v>859</v>
      </c>
      <c r="F38" s="442"/>
      <c r="G38" s="442"/>
      <c r="H38" s="442"/>
      <c r="I38" s="442"/>
      <c r="J38" s="442"/>
      <c r="K38" s="442"/>
      <c r="L38" s="442"/>
      <c r="M38" s="442"/>
      <c r="N38" s="442"/>
      <c r="O38" s="442"/>
      <c r="P38" s="442"/>
      <c r="Q38" s="442"/>
      <c r="R38" s="442"/>
      <c r="S38" s="442"/>
      <c r="T38" s="442"/>
      <c r="U38" s="442"/>
      <c r="V38" s="442"/>
      <c r="W38" s="442"/>
      <c r="X38" s="506">
        <f>50000*12</f>
        <v>600000</v>
      </c>
      <c r="Y38" s="506"/>
      <c r="Z38" s="506"/>
      <c r="AA38" s="506"/>
      <c r="AB38" s="506"/>
      <c r="AC38" s="444"/>
      <c r="AK38" s="439" t="s">
        <v>860</v>
      </c>
    </row>
    <row r="39" spans="2:37" x14ac:dyDescent="0.3">
      <c r="B39" s="441"/>
      <c r="C39" s="454" t="s">
        <v>861</v>
      </c>
      <c r="D39" s="454"/>
      <c r="E39" s="442" t="s">
        <v>862</v>
      </c>
      <c r="F39" s="442"/>
      <c r="G39" s="442"/>
      <c r="H39" s="442"/>
      <c r="I39" s="442"/>
      <c r="J39" s="442"/>
      <c r="K39" s="442"/>
      <c r="L39" s="442"/>
      <c r="M39" s="442"/>
      <c r="N39" s="442"/>
      <c r="O39" s="442"/>
      <c r="P39" s="442"/>
      <c r="Q39" s="442"/>
      <c r="R39" s="442"/>
      <c r="S39" s="442"/>
      <c r="T39" s="442"/>
      <c r="U39" s="442"/>
      <c r="V39" s="442"/>
      <c r="W39" s="442"/>
      <c r="X39" s="506">
        <v>0</v>
      </c>
      <c r="Y39" s="506"/>
      <c r="Z39" s="506"/>
      <c r="AA39" s="506"/>
      <c r="AB39" s="506"/>
      <c r="AC39" s="444"/>
      <c r="AK39" s="439" t="s">
        <v>863</v>
      </c>
    </row>
    <row r="40" spans="2:37" x14ac:dyDescent="0.3">
      <c r="B40" s="441"/>
      <c r="C40" s="454" t="s">
        <v>864</v>
      </c>
      <c r="D40" s="454"/>
      <c r="E40" s="442" t="s">
        <v>865</v>
      </c>
      <c r="F40" s="442"/>
      <c r="G40" s="442"/>
      <c r="H40" s="442"/>
      <c r="I40" s="442"/>
      <c r="J40" s="442"/>
      <c r="K40" s="442"/>
      <c r="L40" s="442"/>
      <c r="M40" s="442"/>
      <c r="N40" s="442"/>
      <c r="O40" s="442"/>
      <c r="P40" s="442"/>
      <c r="Q40" s="442"/>
      <c r="R40" s="442"/>
      <c r="S40" s="442"/>
      <c r="T40" s="442"/>
      <c r="U40" s="442"/>
      <c r="V40" s="442"/>
      <c r="W40" s="442"/>
      <c r="X40" s="506">
        <f>SUM(X37:AB39)</f>
        <v>6600000</v>
      </c>
      <c r="Y40" s="506"/>
      <c r="Z40" s="506"/>
      <c r="AA40" s="506"/>
      <c r="AB40" s="506"/>
      <c r="AC40" s="444"/>
      <c r="AK40" s="439" t="s">
        <v>866</v>
      </c>
    </row>
    <row r="41" spans="2:37" x14ac:dyDescent="0.3">
      <c r="B41" s="441"/>
      <c r="C41" s="511" t="s">
        <v>867</v>
      </c>
      <c r="D41" s="511"/>
      <c r="E41" s="458" t="s">
        <v>868</v>
      </c>
      <c r="F41" s="458"/>
      <c r="G41" s="459"/>
      <c r="H41" s="459"/>
      <c r="I41" s="459"/>
      <c r="J41" s="459"/>
      <c r="K41" s="459"/>
      <c r="L41" s="459"/>
      <c r="M41" s="459"/>
      <c r="N41" s="459"/>
      <c r="O41" s="459"/>
      <c r="P41" s="459"/>
      <c r="Q41" s="459"/>
      <c r="R41" s="459"/>
      <c r="S41" s="459"/>
      <c r="T41" s="459"/>
      <c r="U41" s="459"/>
      <c r="V41" s="459"/>
      <c r="W41" s="459"/>
      <c r="X41" s="459"/>
      <c r="Y41" s="459"/>
      <c r="Z41" s="459"/>
      <c r="AA41" s="459"/>
      <c r="AB41" s="459"/>
      <c r="AC41" s="444"/>
      <c r="AK41" s="439" t="s">
        <v>869</v>
      </c>
    </row>
    <row r="42" spans="2:37" x14ac:dyDescent="0.3">
      <c r="B42" s="441"/>
      <c r="C42" s="454" t="s">
        <v>870</v>
      </c>
      <c r="D42" s="442"/>
      <c r="E42" s="442" t="s">
        <v>871</v>
      </c>
      <c r="F42" s="442"/>
      <c r="G42" s="442"/>
      <c r="H42" s="442"/>
      <c r="I42" s="442"/>
      <c r="J42" s="442"/>
      <c r="K42" s="442"/>
      <c r="L42" s="442"/>
      <c r="M42" s="442"/>
      <c r="N42" s="442"/>
      <c r="O42" s="442"/>
      <c r="P42" s="442"/>
      <c r="Q42" s="442"/>
      <c r="R42" s="442"/>
      <c r="S42" s="442"/>
      <c r="T42" s="442"/>
      <c r="U42" s="442"/>
      <c r="V42" s="442"/>
      <c r="W42" s="442"/>
      <c r="X42" s="506">
        <f>X35-X40</f>
        <v>283300000</v>
      </c>
      <c r="Y42" s="506"/>
      <c r="Z42" s="506"/>
      <c r="AA42" s="506"/>
      <c r="AB42" s="506"/>
      <c r="AC42" s="444"/>
      <c r="AF42" s="439" t="s">
        <v>872</v>
      </c>
      <c r="AJ42" s="439" t="s">
        <v>873</v>
      </c>
    </row>
    <row r="43" spans="2:37" x14ac:dyDescent="0.3">
      <c r="B43" s="441"/>
      <c r="C43" s="454" t="s">
        <v>874</v>
      </c>
      <c r="D43" s="442"/>
      <c r="E43" s="442" t="s">
        <v>875</v>
      </c>
      <c r="F43" s="442"/>
      <c r="G43" s="442"/>
      <c r="H43" s="442"/>
      <c r="I43" s="442"/>
      <c r="J43" s="442"/>
      <c r="K43" s="442"/>
      <c r="L43" s="442"/>
      <c r="M43" s="442"/>
      <c r="N43" s="442"/>
      <c r="O43" s="442"/>
      <c r="P43" s="442"/>
      <c r="Q43" s="442"/>
      <c r="R43" s="442"/>
      <c r="S43" s="442"/>
      <c r="T43" s="442"/>
      <c r="U43" s="442"/>
      <c r="V43" s="442"/>
      <c r="W43" s="442"/>
      <c r="X43" s="506">
        <v>0</v>
      </c>
      <c r="Y43" s="506"/>
      <c r="Z43" s="506"/>
      <c r="AA43" s="506"/>
      <c r="AB43" s="506"/>
      <c r="AC43" s="444"/>
      <c r="AF43" s="439" t="s">
        <v>876</v>
      </c>
      <c r="AJ43" s="439" t="s">
        <v>877</v>
      </c>
    </row>
    <row r="44" spans="2:37" x14ac:dyDescent="0.3">
      <c r="B44" s="441"/>
      <c r="C44" s="454" t="s">
        <v>878</v>
      </c>
      <c r="D44" s="442"/>
      <c r="E44" s="442" t="s">
        <v>879</v>
      </c>
      <c r="F44" s="442"/>
      <c r="G44" s="442"/>
      <c r="H44" s="442"/>
      <c r="I44" s="442"/>
      <c r="J44" s="442"/>
      <c r="K44" s="442"/>
      <c r="L44" s="442"/>
      <c r="M44" s="442"/>
      <c r="N44" s="442"/>
      <c r="O44" s="442"/>
      <c r="P44" s="442"/>
      <c r="Q44" s="442"/>
      <c r="R44" s="442"/>
      <c r="S44" s="442"/>
      <c r="T44" s="442"/>
      <c r="U44" s="442"/>
      <c r="V44" s="442"/>
      <c r="W44" s="442"/>
      <c r="X44" s="506">
        <f>X42+X43</f>
        <v>283300000</v>
      </c>
      <c r="Y44" s="506"/>
      <c r="Z44" s="506"/>
      <c r="AA44" s="506"/>
      <c r="AB44" s="506"/>
      <c r="AC44" s="444"/>
      <c r="AJ44" s="439" t="s">
        <v>880</v>
      </c>
    </row>
    <row r="45" spans="2:37" x14ac:dyDescent="0.3">
      <c r="B45" s="441"/>
      <c r="C45" s="454" t="s">
        <v>881</v>
      </c>
      <c r="D45" s="442"/>
      <c r="E45" s="442" t="s">
        <v>882</v>
      </c>
      <c r="F45" s="442"/>
      <c r="G45" s="442"/>
      <c r="H45" s="442"/>
      <c r="I45" s="442"/>
      <c r="J45" s="442"/>
      <c r="K45" s="442"/>
      <c r="L45" s="442"/>
      <c r="M45" s="442"/>
      <c r="N45" s="442"/>
      <c r="O45" s="442"/>
      <c r="P45" s="442"/>
      <c r="Q45" s="442"/>
      <c r="R45" s="442"/>
      <c r="S45" s="442"/>
      <c r="T45" s="442"/>
      <c r="U45" s="442"/>
      <c r="V45" s="442"/>
      <c r="W45" s="442"/>
      <c r="X45" s="506">
        <f>54000000+4500000+4500000+4500000</f>
        <v>67500000</v>
      </c>
      <c r="Y45" s="506"/>
      <c r="Z45" s="506"/>
      <c r="AA45" s="506"/>
      <c r="AB45" s="506"/>
      <c r="AC45" s="444"/>
      <c r="AJ45" s="439" t="s">
        <v>883</v>
      </c>
    </row>
    <row r="46" spans="2:37" x14ac:dyDescent="0.3">
      <c r="B46" s="441"/>
      <c r="C46" s="454" t="s">
        <v>884</v>
      </c>
      <c r="D46" s="442"/>
      <c r="E46" s="442" t="s">
        <v>885</v>
      </c>
      <c r="F46" s="442"/>
      <c r="G46" s="442"/>
      <c r="H46" s="442"/>
      <c r="I46" s="442"/>
      <c r="J46" s="442"/>
      <c r="K46" s="442"/>
      <c r="L46" s="442"/>
      <c r="M46" s="442"/>
      <c r="N46" s="442"/>
      <c r="O46" s="442"/>
      <c r="P46" s="442"/>
      <c r="Q46" s="442"/>
      <c r="R46" s="442"/>
      <c r="S46" s="442"/>
      <c r="T46" s="442"/>
      <c r="U46" s="442"/>
      <c r="V46" s="442"/>
      <c r="W46" s="442"/>
      <c r="X46" s="506">
        <f>X44-X45</f>
        <v>215800000</v>
      </c>
      <c r="Y46" s="506"/>
      <c r="Z46" s="506"/>
      <c r="AA46" s="506"/>
      <c r="AB46" s="506"/>
      <c r="AC46" s="444"/>
      <c r="AJ46" s="439" t="s">
        <v>886</v>
      </c>
    </row>
    <row r="47" spans="2:37" x14ac:dyDescent="0.3">
      <c r="B47" s="441"/>
      <c r="C47" s="454" t="s">
        <v>887</v>
      </c>
      <c r="D47" s="442"/>
      <c r="E47" s="442" t="s">
        <v>888</v>
      </c>
      <c r="F47" s="442"/>
      <c r="G47" s="442"/>
      <c r="H47" s="442"/>
      <c r="I47" s="442"/>
      <c r="J47" s="442"/>
      <c r="K47" s="442"/>
      <c r="L47" s="442"/>
      <c r="M47" s="442"/>
      <c r="N47" s="442"/>
      <c r="O47" s="442"/>
      <c r="P47" s="442"/>
      <c r="Q47" s="442"/>
      <c r="R47" s="442"/>
      <c r="S47" s="442"/>
      <c r="T47" s="442"/>
      <c r="U47" s="442"/>
      <c r="V47" s="442"/>
      <c r="W47" s="442"/>
      <c r="X47" s="506">
        <f>(60000000*5%)+((X46-60000000)*15%)</f>
        <v>26370000</v>
      </c>
      <c r="Y47" s="506"/>
      <c r="Z47" s="506"/>
      <c r="AA47" s="506"/>
      <c r="AB47" s="506"/>
      <c r="AC47" s="444"/>
      <c r="AF47" s="439" t="s">
        <v>889</v>
      </c>
      <c r="AJ47" s="439" t="s">
        <v>890</v>
      </c>
    </row>
    <row r="48" spans="2:37" x14ac:dyDescent="0.3">
      <c r="B48" s="441"/>
      <c r="C48" s="454" t="s">
        <v>891</v>
      </c>
      <c r="D48" s="442"/>
      <c r="E48" s="442" t="s">
        <v>892</v>
      </c>
      <c r="F48" s="442"/>
      <c r="G48" s="442"/>
      <c r="H48" s="442"/>
      <c r="I48" s="442"/>
      <c r="J48" s="442"/>
      <c r="K48" s="442"/>
      <c r="L48" s="442"/>
      <c r="M48" s="442"/>
      <c r="N48" s="442"/>
      <c r="O48" s="442"/>
      <c r="P48" s="442"/>
      <c r="Q48" s="442"/>
      <c r="R48" s="442"/>
      <c r="S48" s="442"/>
      <c r="T48" s="442"/>
      <c r="U48" s="442"/>
      <c r="V48" s="442"/>
      <c r="W48" s="442"/>
      <c r="X48" s="506">
        <f>X47</f>
        <v>26370000</v>
      </c>
      <c r="Y48" s="506"/>
      <c r="Z48" s="506"/>
      <c r="AA48" s="506"/>
      <c r="AB48" s="506"/>
      <c r="AC48" s="444"/>
      <c r="AJ48" s="439" t="s">
        <v>893</v>
      </c>
    </row>
    <row r="49" spans="2:37" x14ac:dyDescent="0.3">
      <c r="B49" s="441"/>
      <c r="C49" s="454" t="s">
        <v>894</v>
      </c>
      <c r="D49" s="442"/>
      <c r="E49" s="442" t="s">
        <v>895</v>
      </c>
      <c r="F49" s="442"/>
      <c r="G49" s="442"/>
      <c r="H49" s="442"/>
      <c r="I49" s="442"/>
      <c r="J49" s="442"/>
      <c r="K49" s="442"/>
      <c r="L49" s="442"/>
      <c r="M49" s="442"/>
      <c r="N49" s="442"/>
      <c r="O49" s="442"/>
      <c r="P49" s="442"/>
      <c r="Q49" s="442"/>
      <c r="R49" s="442"/>
      <c r="S49" s="442"/>
      <c r="T49" s="442"/>
      <c r="U49" s="442"/>
      <c r="V49" s="442"/>
      <c r="W49" s="442"/>
      <c r="X49" s="506">
        <v>0</v>
      </c>
      <c r="Y49" s="506"/>
      <c r="Z49" s="506"/>
      <c r="AA49" s="506"/>
      <c r="AB49" s="506"/>
      <c r="AC49" s="444"/>
      <c r="AJ49" s="439" t="s">
        <v>896</v>
      </c>
    </row>
    <row r="50" spans="2:37" x14ac:dyDescent="0.3">
      <c r="B50" s="441"/>
      <c r="C50" s="454" t="s">
        <v>897</v>
      </c>
      <c r="D50" s="442"/>
      <c r="E50" s="442" t="s">
        <v>898</v>
      </c>
      <c r="F50" s="442"/>
      <c r="G50" s="442"/>
      <c r="H50" s="442"/>
      <c r="I50" s="442"/>
      <c r="J50" s="442"/>
      <c r="K50" s="442"/>
      <c r="L50" s="442"/>
      <c r="M50" s="442"/>
      <c r="N50" s="442"/>
      <c r="O50" s="442"/>
      <c r="P50" s="442"/>
      <c r="Q50" s="442"/>
      <c r="R50" s="442"/>
      <c r="S50" s="442"/>
      <c r="T50" s="442"/>
      <c r="U50" s="442"/>
      <c r="V50" s="442"/>
      <c r="W50" s="442"/>
      <c r="X50" s="506">
        <f>X48-X49</f>
        <v>26370000</v>
      </c>
      <c r="Y50" s="506"/>
      <c r="Z50" s="506"/>
      <c r="AA50" s="506"/>
      <c r="AB50" s="506"/>
      <c r="AC50" s="444"/>
      <c r="AF50" s="439" t="s">
        <v>899</v>
      </c>
      <c r="AJ50" s="439" t="s">
        <v>900</v>
      </c>
    </row>
    <row r="51" spans="2:37" x14ac:dyDescent="0.3">
      <c r="B51" s="441"/>
      <c r="C51" s="454" t="s">
        <v>901</v>
      </c>
      <c r="D51" s="442"/>
      <c r="E51" s="442" t="s">
        <v>902</v>
      </c>
      <c r="F51" s="442"/>
      <c r="G51" s="442"/>
      <c r="H51" s="442"/>
      <c r="I51" s="442"/>
      <c r="J51" s="442"/>
      <c r="K51" s="442"/>
      <c r="L51" s="442"/>
      <c r="M51" s="442"/>
      <c r="N51" s="442"/>
      <c r="O51" s="442"/>
      <c r="P51" s="442"/>
      <c r="Q51" s="442"/>
      <c r="R51" s="442"/>
      <c r="S51" s="442"/>
      <c r="T51" s="442"/>
      <c r="U51" s="442"/>
      <c r="V51" s="442"/>
      <c r="W51" s="442"/>
      <c r="X51" s="506">
        <v>5700000</v>
      </c>
      <c r="Y51" s="506"/>
      <c r="Z51" s="506"/>
      <c r="AA51" s="506"/>
      <c r="AB51" s="506"/>
      <c r="AC51" s="444"/>
      <c r="AJ51" s="439" t="s">
        <v>903</v>
      </c>
    </row>
    <row r="52" spans="2:37" x14ac:dyDescent="0.3">
      <c r="B52" s="441"/>
      <c r="C52" s="454" t="s">
        <v>904</v>
      </c>
      <c r="D52" s="442"/>
      <c r="E52" s="442" t="s">
        <v>905</v>
      </c>
      <c r="F52" s="442"/>
      <c r="G52" s="442"/>
      <c r="H52" s="442"/>
      <c r="I52" s="442"/>
      <c r="J52" s="442"/>
      <c r="K52" s="442"/>
      <c r="L52" s="442"/>
      <c r="M52" s="442"/>
      <c r="N52" s="442"/>
      <c r="O52" s="442"/>
      <c r="P52" s="442"/>
      <c r="Q52" s="442"/>
      <c r="R52" s="442"/>
      <c r="S52" s="442"/>
      <c r="T52" s="442"/>
      <c r="U52" s="442"/>
      <c r="V52" s="442"/>
      <c r="W52" s="442"/>
      <c r="X52" s="506">
        <f>X50-X51</f>
        <v>20670000</v>
      </c>
      <c r="Y52" s="506"/>
      <c r="Z52" s="506"/>
      <c r="AA52" s="506"/>
      <c r="AB52" s="506"/>
      <c r="AC52" s="444"/>
      <c r="AJ52" s="439" t="s">
        <v>906</v>
      </c>
    </row>
    <row r="53" spans="2:37" x14ac:dyDescent="0.3">
      <c r="B53" s="441"/>
      <c r="C53" s="442"/>
      <c r="D53" s="442"/>
      <c r="E53" s="442"/>
      <c r="F53" s="442"/>
      <c r="G53" s="442"/>
      <c r="H53" s="442"/>
      <c r="I53" s="442"/>
      <c r="J53" s="442"/>
      <c r="K53" s="442"/>
      <c r="L53" s="442"/>
      <c r="M53" s="442"/>
      <c r="N53" s="442"/>
      <c r="O53" s="442"/>
      <c r="P53" s="442"/>
      <c r="Q53" s="442"/>
      <c r="R53" s="442"/>
      <c r="S53" s="442"/>
      <c r="T53" s="442"/>
      <c r="U53" s="442"/>
      <c r="V53" s="442"/>
      <c r="W53" s="442"/>
      <c r="X53" s="512"/>
      <c r="Y53" s="512"/>
      <c r="Z53" s="512"/>
      <c r="AA53" s="512"/>
      <c r="AB53" s="512"/>
      <c r="AC53" s="444"/>
      <c r="AJ53" s="439" t="s">
        <v>907</v>
      </c>
    </row>
    <row r="54" spans="2:37" x14ac:dyDescent="0.3">
      <c r="B54" s="441"/>
      <c r="C54" s="458" t="s">
        <v>908</v>
      </c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458"/>
      <c r="O54" s="458"/>
      <c r="P54" s="458"/>
      <c r="Q54" s="458"/>
      <c r="R54" s="458"/>
      <c r="S54" s="513"/>
      <c r="T54" s="514"/>
      <c r="U54" s="514"/>
      <c r="V54" s="514"/>
      <c r="W54" s="514"/>
      <c r="X54" s="514"/>
      <c r="Y54" s="514"/>
      <c r="Z54" s="514"/>
      <c r="AA54" s="514"/>
      <c r="AB54" s="515"/>
      <c r="AC54" s="444"/>
      <c r="AF54" s="439" t="s">
        <v>909</v>
      </c>
      <c r="AJ54" s="439" t="s">
        <v>877</v>
      </c>
    </row>
    <row r="55" spans="2:37" ht="4.1500000000000004" customHeight="1" x14ac:dyDescent="0.3">
      <c r="B55" s="441"/>
      <c r="C55" s="442"/>
      <c r="D55" s="442"/>
      <c r="E55" s="442"/>
      <c r="F55" s="442"/>
      <c r="G55" s="442"/>
      <c r="H55" s="442"/>
      <c r="I55" s="442"/>
      <c r="J55" s="442"/>
      <c r="K55" s="442"/>
      <c r="L55" s="442"/>
      <c r="M55" s="442"/>
      <c r="N55" s="442"/>
      <c r="O55" s="442"/>
      <c r="P55" s="442"/>
      <c r="Q55" s="442"/>
      <c r="R55" s="442"/>
      <c r="S55" s="442"/>
      <c r="T55" s="442"/>
      <c r="U55" s="442"/>
      <c r="V55" s="442"/>
      <c r="W55" s="442"/>
      <c r="X55" s="442"/>
      <c r="Y55" s="442"/>
      <c r="Z55" s="442"/>
      <c r="AA55" s="442"/>
      <c r="AB55" s="442"/>
      <c r="AC55" s="444"/>
    </row>
    <row r="56" spans="2:37" x14ac:dyDescent="0.3">
      <c r="B56" s="441"/>
      <c r="C56" s="450" t="s">
        <v>910</v>
      </c>
      <c r="D56" s="451"/>
      <c r="E56" s="451"/>
      <c r="F56" s="451"/>
      <c r="G56" s="451"/>
      <c r="H56" s="451"/>
      <c r="I56" s="451"/>
      <c r="J56" s="451"/>
      <c r="K56" s="451"/>
      <c r="L56" s="451"/>
      <c r="M56" s="451"/>
      <c r="N56" s="451"/>
      <c r="O56" s="451"/>
      <c r="P56" s="451"/>
      <c r="Q56" s="451"/>
      <c r="R56" s="451"/>
      <c r="S56" s="451"/>
      <c r="T56" s="451"/>
      <c r="U56" s="451"/>
      <c r="V56" s="451"/>
      <c r="W56" s="451"/>
      <c r="X56" s="451"/>
      <c r="Y56" s="451"/>
      <c r="Z56" s="451"/>
      <c r="AA56" s="451"/>
      <c r="AB56" s="451"/>
      <c r="AC56" s="444"/>
      <c r="AJ56" s="439" t="s">
        <v>911</v>
      </c>
    </row>
    <row r="57" spans="2:37" x14ac:dyDescent="0.3">
      <c r="B57" s="441"/>
      <c r="C57" s="442" t="s">
        <v>912</v>
      </c>
      <c r="D57" s="442"/>
      <c r="E57" s="442" t="s">
        <v>913</v>
      </c>
      <c r="F57" s="442"/>
      <c r="G57" s="442"/>
      <c r="H57" s="442"/>
      <c r="I57" s="442"/>
      <c r="J57" s="442"/>
      <c r="K57" s="442"/>
      <c r="L57" s="453" t="s">
        <v>1169</v>
      </c>
      <c r="M57" s="442"/>
      <c r="N57" s="442"/>
      <c r="O57" s="442"/>
      <c r="P57" s="442"/>
      <c r="Q57" s="442"/>
      <c r="R57" s="442"/>
      <c r="S57" s="442"/>
      <c r="T57" s="442"/>
      <c r="U57" s="442"/>
      <c r="V57" s="442"/>
      <c r="W57" s="442"/>
      <c r="X57" s="442"/>
      <c r="Y57" s="442"/>
      <c r="Z57" s="442"/>
      <c r="AA57" s="442"/>
      <c r="AB57" s="442"/>
      <c r="AC57" s="444"/>
      <c r="AJ57" s="439" t="s">
        <v>914</v>
      </c>
    </row>
    <row r="58" spans="2:37" x14ac:dyDescent="0.3">
      <c r="B58" s="441"/>
      <c r="C58" s="442" t="s">
        <v>915</v>
      </c>
      <c r="D58" s="442"/>
      <c r="E58" s="442" t="s">
        <v>916</v>
      </c>
      <c r="F58" s="442"/>
      <c r="G58" s="442"/>
      <c r="H58" s="442"/>
      <c r="I58" s="442"/>
      <c r="J58" s="442"/>
      <c r="K58" s="442"/>
      <c r="L58" s="453" t="s">
        <v>1170</v>
      </c>
      <c r="M58" s="442"/>
      <c r="N58" s="442"/>
      <c r="O58" s="442"/>
      <c r="P58" s="442"/>
      <c r="Q58" s="442"/>
      <c r="R58" s="442"/>
      <c r="S58" s="442"/>
      <c r="T58" s="442"/>
      <c r="U58" s="442"/>
      <c r="V58" s="442"/>
      <c r="W58" s="442"/>
      <c r="X58" s="442"/>
      <c r="Y58" s="442"/>
      <c r="Z58" s="442"/>
      <c r="AA58" s="442"/>
      <c r="AB58" s="442"/>
      <c r="AC58" s="444"/>
      <c r="AF58" s="445" t="s">
        <v>917</v>
      </c>
    </row>
    <row r="59" spans="2:37" x14ac:dyDescent="0.3">
      <c r="B59" s="441"/>
      <c r="C59" s="442" t="s">
        <v>918</v>
      </c>
      <c r="D59" s="442"/>
      <c r="E59" s="442" t="s">
        <v>919</v>
      </c>
      <c r="F59" s="442"/>
      <c r="G59" s="442"/>
      <c r="H59" s="442"/>
      <c r="I59" s="442"/>
      <c r="J59" s="442"/>
      <c r="K59" s="442"/>
      <c r="L59" s="453" t="s">
        <v>1211</v>
      </c>
      <c r="M59" s="442"/>
      <c r="N59" s="442"/>
      <c r="O59" s="442"/>
      <c r="P59" s="442"/>
      <c r="Q59" s="442"/>
      <c r="R59" s="442"/>
      <c r="S59" s="442"/>
      <c r="T59" s="442"/>
      <c r="U59" s="442"/>
      <c r="V59" s="442"/>
      <c r="W59" s="442"/>
      <c r="X59" s="442"/>
      <c r="Y59" s="442"/>
      <c r="Z59" s="442"/>
      <c r="AA59" s="442"/>
      <c r="AB59" s="442"/>
      <c r="AC59" s="444"/>
      <c r="AF59" s="439" t="s">
        <v>920</v>
      </c>
      <c r="AJ59" s="439" t="s">
        <v>921</v>
      </c>
    </row>
    <row r="60" spans="2:37" x14ac:dyDescent="0.3">
      <c r="B60" s="441"/>
      <c r="C60" s="442" t="s">
        <v>922</v>
      </c>
      <c r="D60" s="442"/>
      <c r="E60" s="442" t="s">
        <v>923</v>
      </c>
      <c r="F60" s="442"/>
      <c r="G60" s="442"/>
      <c r="H60" s="442"/>
      <c r="I60" s="442"/>
      <c r="J60" s="442"/>
      <c r="K60" s="442"/>
      <c r="L60" s="453" t="s">
        <v>924</v>
      </c>
      <c r="M60" s="442"/>
      <c r="N60" s="442"/>
      <c r="O60" s="442"/>
      <c r="P60" s="442"/>
      <c r="Q60" s="442"/>
      <c r="R60" s="442"/>
      <c r="S60" s="442"/>
      <c r="T60" s="442"/>
      <c r="U60" s="442"/>
      <c r="V60" s="442"/>
      <c r="W60" s="442"/>
      <c r="X60" s="442"/>
      <c r="Y60" s="442"/>
      <c r="Z60" s="442"/>
      <c r="AA60" s="442"/>
      <c r="AB60" s="442"/>
      <c r="AC60" s="444"/>
      <c r="AJ60" s="439" t="s">
        <v>925</v>
      </c>
    </row>
    <row r="61" spans="2:37" x14ac:dyDescent="0.3">
      <c r="B61" s="441"/>
      <c r="C61" s="442" t="s">
        <v>926</v>
      </c>
      <c r="D61" s="442"/>
      <c r="E61" s="442" t="s">
        <v>927</v>
      </c>
      <c r="F61" s="442"/>
      <c r="G61" s="442"/>
      <c r="H61" s="442"/>
      <c r="I61" s="442"/>
      <c r="J61" s="442"/>
      <c r="K61" s="442"/>
      <c r="L61" s="453" t="s">
        <v>1212</v>
      </c>
      <c r="M61" s="442"/>
      <c r="N61" s="442"/>
      <c r="O61" s="442"/>
      <c r="P61" s="442"/>
      <c r="Q61" s="442"/>
      <c r="R61" s="442"/>
      <c r="S61" s="442"/>
      <c r="T61" s="442"/>
      <c r="U61" s="442"/>
      <c r="V61" s="442"/>
      <c r="W61" s="442"/>
      <c r="X61" s="442"/>
      <c r="Y61" s="442"/>
      <c r="Z61" s="442"/>
      <c r="AA61" s="442"/>
      <c r="AB61" s="442"/>
      <c r="AC61" s="444"/>
      <c r="AF61" s="439" t="s">
        <v>928</v>
      </c>
      <c r="AJ61" s="439" t="s">
        <v>929</v>
      </c>
    </row>
    <row r="62" spans="2:37" x14ac:dyDescent="0.3">
      <c r="B62" s="441"/>
      <c r="C62" s="442" t="s">
        <v>930</v>
      </c>
      <c r="D62" s="442"/>
      <c r="E62" s="442" t="s">
        <v>931</v>
      </c>
      <c r="F62" s="442"/>
      <c r="G62" s="442"/>
      <c r="H62" s="442"/>
      <c r="I62" s="442"/>
      <c r="J62" s="442"/>
      <c r="K62" s="442"/>
      <c r="L62" s="453" t="s">
        <v>932</v>
      </c>
      <c r="M62" s="442"/>
      <c r="N62" s="442"/>
      <c r="O62" s="442"/>
      <c r="P62" s="442"/>
      <c r="Q62" s="442"/>
      <c r="R62" s="442"/>
      <c r="S62" s="442"/>
      <c r="T62" s="442"/>
      <c r="U62" s="442"/>
      <c r="V62" s="442"/>
      <c r="W62" s="442"/>
      <c r="X62" s="442"/>
      <c r="Y62" s="442"/>
      <c r="Z62" s="442"/>
      <c r="AA62" s="442"/>
      <c r="AB62" s="442"/>
      <c r="AC62" s="444"/>
      <c r="AF62" s="439" t="s">
        <v>797</v>
      </c>
      <c r="AJ62" s="439" t="s">
        <v>933</v>
      </c>
    </row>
    <row r="63" spans="2:37" ht="16.5" thickBot="1" x14ac:dyDescent="0.35">
      <c r="B63" s="441"/>
      <c r="C63" s="442"/>
      <c r="D63" s="442"/>
      <c r="E63" s="442"/>
      <c r="F63" s="442"/>
      <c r="G63" s="442"/>
      <c r="H63" s="442"/>
      <c r="I63" s="442"/>
      <c r="J63" s="442"/>
      <c r="K63" s="442"/>
      <c r="L63" s="442"/>
      <c r="M63" s="442"/>
      <c r="N63" s="442"/>
      <c r="O63" s="442"/>
      <c r="P63" s="442"/>
      <c r="Q63" s="442"/>
      <c r="R63" s="442"/>
      <c r="S63" s="442"/>
      <c r="T63" s="442"/>
      <c r="U63" s="442"/>
      <c r="V63" s="442"/>
      <c r="W63" s="442"/>
      <c r="X63" s="442"/>
      <c r="Y63" s="442"/>
      <c r="Z63" s="442"/>
      <c r="AA63" s="442"/>
      <c r="AB63" s="442"/>
      <c r="AC63" s="444"/>
      <c r="AF63" s="439" t="s">
        <v>934</v>
      </c>
      <c r="AJ63" s="439" t="s">
        <v>935</v>
      </c>
    </row>
    <row r="64" spans="2:37" x14ac:dyDescent="0.3">
      <c r="B64" s="441"/>
      <c r="C64" s="442"/>
      <c r="D64" s="442"/>
      <c r="E64" s="462"/>
      <c r="F64" s="442"/>
      <c r="G64" s="442"/>
      <c r="H64" s="442"/>
      <c r="I64" s="442"/>
      <c r="J64" s="442"/>
      <c r="K64" s="442"/>
      <c r="L64" s="442"/>
      <c r="M64" s="442"/>
      <c r="N64" s="442"/>
      <c r="O64" s="442"/>
      <c r="P64" s="442"/>
      <c r="Q64" s="442"/>
      <c r="R64" s="442"/>
      <c r="S64" s="442"/>
      <c r="T64" s="442"/>
      <c r="U64" s="442"/>
      <c r="V64" s="442"/>
      <c r="W64" s="442"/>
      <c r="X64" s="442"/>
      <c r="Y64" s="442"/>
      <c r="Z64" s="442"/>
      <c r="AA64" s="442"/>
      <c r="AB64" s="442"/>
      <c r="AC64" s="444"/>
      <c r="AK64" s="439" t="s">
        <v>936</v>
      </c>
    </row>
    <row r="65" spans="2:37" x14ac:dyDescent="0.3">
      <c r="B65" s="441"/>
      <c r="C65" s="442"/>
      <c r="D65" s="442"/>
      <c r="E65" s="463"/>
      <c r="F65" s="442"/>
      <c r="G65" s="442"/>
      <c r="H65" s="442"/>
      <c r="I65" s="442"/>
      <c r="J65" s="442"/>
      <c r="K65" s="442"/>
      <c r="L65" s="442"/>
      <c r="M65" s="442"/>
      <c r="N65" s="442"/>
      <c r="O65" s="442"/>
      <c r="P65" s="442"/>
      <c r="Q65" s="442"/>
      <c r="R65" s="442"/>
      <c r="S65" s="442"/>
      <c r="T65" s="442"/>
      <c r="U65" s="442"/>
      <c r="V65" s="442"/>
      <c r="W65" s="442"/>
      <c r="X65" s="442"/>
      <c r="Y65" s="442"/>
      <c r="Z65" s="442"/>
      <c r="AA65" s="442"/>
      <c r="AB65" s="442"/>
      <c r="AC65" s="444"/>
      <c r="AK65" s="439" t="s">
        <v>937</v>
      </c>
    </row>
    <row r="66" spans="2:37" x14ac:dyDescent="0.3">
      <c r="B66" s="441"/>
      <c r="C66" s="442"/>
      <c r="D66" s="442"/>
      <c r="E66" s="463"/>
      <c r="F66" s="442"/>
      <c r="G66" s="442"/>
      <c r="H66" s="442"/>
      <c r="I66" s="442"/>
      <c r="J66" s="442"/>
      <c r="K66" s="442"/>
      <c r="L66" s="442"/>
      <c r="M66" s="442"/>
      <c r="N66" s="442"/>
      <c r="O66" s="442"/>
      <c r="P66" s="442"/>
      <c r="Q66" s="442"/>
      <c r="R66" s="442"/>
      <c r="S66" s="442"/>
      <c r="T66" s="442"/>
      <c r="U66" s="442"/>
      <c r="V66" s="442"/>
      <c r="W66" s="442"/>
      <c r="X66" s="442"/>
      <c r="Y66" s="442"/>
      <c r="Z66" s="442"/>
      <c r="AA66" s="442"/>
      <c r="AB66" s="442"/>
      <c r="AC66" s="444"/>
      <c r="AK66" s="439" t="s">
        <v>938</v>
      </c>
    </row>
    <row r="67" spans="2:37" x14ac:dyDescent="0.3">
      <c r="B67" s="441"/>
      <c r="C67" s="442"/>
      <c r="D67" s="442"/>
      <c r="E67" s="463"/>
      <c r="F67" s="442"/>
      <c r="G67" s="442"/>
      <c r="H67" s="442"/>
      <c r="I67" s="442"/>
      <c r="J67" s="442"/>
      <c r="K67" s="442"/>
      <c r="L67" s="442"/>
      <c r="M67" s="442"/>
      <c r="N67" s="442"/>
      <c r="O67" s="442"/>
      <c r="P67" s="442"/>
      <c r="Q67" s="442"/>
      <c r="R67" s="442"/>
      <c r="S67" s="442"/>
      <c r="T67" s="442"/>
      <c r="U67" s="442"/>
      <c r="V67" s="442"/>
      <c r="W67" s="442"/>
      <c r="X67" s="442"/>
      <c r="Y67" s="442"/>
      <c r="Z67" s="442"/>
      <c r="AA67" s="442"/>
      <c r="AB67" s="442"/>
      <c r="AC67" s="444"/>
      <c r="AK67" s="439" t="s">
        <v>939</v>
      </c>
    </row>
    <row r="68" spans="2:37" ht="16.5" thickBot="1" x14ac:dyDescent="0.35">
      <c r="B68" s="441"/>
      <c r="C68" s="442"/>
      <c r="D68" s="442"/>
      <c r="E68" s="464"/>
      <c r="F68" s="442"/>
      <c r="G68" s="442"/>
      <c r="H68" s="442"/>
      <c r="I68" s="442"/>
      <c r="J68" s="442"/>
      <c r="K68" s="442"/>
      <c r="L68" s="442"/>
      <c r="M68" s="442"/>
      <c r="N68" s="442"/>
      <c r="O68" s="442"/>
      <c r="P68" s="442"/>
      <c r="Q68" s="442"/>
      <c r="R68" s="442"/>
      <c r="S68" s="442"/>
      <c r="T68" s="442"/>
      <c r="U68" s="442"/>
      <c r="V68" s="442"/>
      <c r="W68" s="442"/>
      <c r="X68" s="442"/>
      <c r="Y68" s="442"/>
      <c r="Z68" s="442"/>
      <c r="AA68" s="442"/>
      <c r="AB68" s="442"/>
      <c r="AC68" s="444"/>
      <c r="AK68" s="439" t="s">
        <v>940</v>
      </c>
    </row>
    <row r="69" spans="2:37" x14ac:dyDescent="0.3">
      <c r="B69" s="441"/>
      <c r="C69" s="442"/>
      <c r="D69" s="442"/>
      <c r="E69" s="442"/>
      <c r="F69" s="442"/>
      <c r="G69" s="442"/>
      <c r="H69" s="442"/>
      <c r="I69" s="442"/>
      <c r="J69" s="442"/>
      <c r="K69" s="442"/>
      <c r="L69" s="442"/>
      <c r="M69" s="442"/>
      <c r="N69" s="442"/>
      <c r="O69" s="442"/>
      <c r="P69" s="442"/>
      <c r="Q69" s="442"/>
      <c r="R69" s="442"/>
      <c r="S69" s="442"/>
      <c r="T69" s="442"/>
      <c r="U69" s="442"/>
      <c r="V69" s="442"/>
      <c r="W69" s="442"/>
      <c r="X69" s="442"/>
      <c r="Y69" s="442"/>
      <c r="Z69" s="442"/>
      <c r="AA69" s="442"/>
      <c r="AB69" s="442"/>
      <c r="AC69" s="444"/>
      <c r="AK69" s="439" t="s">
        <v>941</v>
      </c>
    </row>
    <row r="70" spans="2:37" x14ac:dyDescent="0.3">
      <c r="B70" s="441"/>
      <c r="C70" s="442"/>
      <c r="D70" s="442"/>
      <c r="E70" s="442"/>
      <c r="F70" s="442"/>
      <c r="G70" s="442"/>
      <c r="H70" s="442"/>
      <c r="I70" s="442"/>
      <c r="J70" s="442"/>
      <c r="K70" s="442"/>
      <c r="L70" s="442"/>
      <c r="M70" s="442"/>
      <c r="N70" s="442"/>
      <c r="O70" s="442"/>
      <c r="P70" s="442"/>
      <c r="Q70" s="442"/>
      <c r="R70" s="442"/>
      <c r="S70" s="442"/>
      <c r="T70" s="442"/>
      <c r="U70" s="442"/>
      <c r="V70" s="442"/>
      <c r="W70" s="442"/>
      <c r="X70" s="442"/>
      <c r="Y70" s="442"/>
      <c r="Z70" s="442"/>
      <c r="AA70" s="442"/>
      <c r="AB70" s="442"/>
      <c r="AC70" s="444"/>
      <c r="AK70" s="439" t="s">
        <v>942</v>
      </c>
    </row>
    <row r="71" spans="2:37" x14ac:dyDescent="0.3">
      <c r="B71" s="465"/>
      <c r="C71" s="466"/>
      <c r="D71" s="466"/>
      <c r="E71" s="466"/>
      <c r="F71" s="466"/>
      <c r="G71" s="466"/>
      <c r="H71" s="466"/>
      <c r="I71" s="466"/>
      <c r="J71" s="466"/>
      <c r="K71" s="466"/>
      <c r="L71" s="466"/>
      <c r="M71" s="466"/>
      <c r="N71" s="466"/>
      <c r="O71" s="466"/>
      <c r="P71" s="466"/>
      <c r="Q71" s="466"/>
      <c r="R71" s="466"/>
      <c r="S71" s="466"/>
      <c r="T71" s="466"/>
      <c r="U71" s="466"/>
      <c r="V71" s="466"/>
      <c r="W71" s="466"/>
      <c r="X71" s="466"/>
      <c r="Y71" s="466"/>
      <c r="Z71" s="466"/>
      <c r="AA71" s="466"/>
      <c r="AB71" s="466"/>
      <c r="AC71" s="467"/>
      <c r="AK71" s="439" t="s">
        <v>943</v>
      </c>
    </row>
    <row r="72" spans="2:37" x14ac:dyDescent="0.3"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2"/>
      <c r="Q72" s="442"/>
      <c r="R72" s="442"/>
      <c r="S72" s="442"/>
      <c r="T72" s="442"/>
      <c r="U72" s="442"/>
      <c r="V72" s="442"/>
      <c r="W72" s="442"/>
      <c r="X72" s="442"/>
      <c r="Y72" s="442"/>
      <c r="Z72" s="442"/>
      <c r="AA72" s="442"/>
      <c r="AB72" s="442"/>
      <c r="AC72" s="442"/>
      <c r="AK72" s="439" t="s">
        <v>944</v>
      </c>
    </row>
    <row r="73" spans="2:37" x14ac:dyDescent="0.3">
      <c r="B73" s="442"/>
      <c r="C73" s="442"/>
      <c r="D73" s="442"/>
      <c r="E73" s="442"/>
      <c r="F73" s="442"/>
      <c r="G73" s="442"/>
      <c r="H73" s="442"/>
      <c r="I73" s="442"/>
      <c r="J73" s="442"/>
      <c r="K73" s="442"/>
      <c r="L73" s="442"/>
      <c r="M73" s="442"/>
      <c r="N73" s="442"/>
      <c r="O73" s="442"/>
      <c r="P73" s="442"/>
      <c r="Q73" s="442"/>
      <c r="R73" s="442"/>
      <c r="S73" s="442"/>
      <c r="T73" s="442"/>
      <c r="U73" s="442"/>
      <c r="V73" s="442"/>
      <c r="W73" s="442"/>
      <c r="X73" s="442"/>
      <c r="Y73" s="442"/>
      <c r="Z73" s="442"/>
      <c r="AA73" s="442"/>
      <c r="AB73" s="442"/>
      <c r="AC73" s="442"/>
      <c r="AK73" s="439" t="s">
        <v>945</v>
      </c>
    </row>
    <row r="74" spans="2:37" x14ac:dyDescent="0.3"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2"/>
      <c r="Q74" s="442"/>
      <c r="R74" s="442"/>
      <c r="S74" s="442"/>
      <c r="T74" s="442"/>
      <c r="U74" s="442"/>
      <c r="V74" s="442"/>
      <c r="W74" s="442"/>
      <c r="X74" s="442"/>
      <c r="Y74" s="442"/>
      <c r="Z74" s="442"/>
      <c r="AA74" s="442"/>
      <c r="AB74" s="442"/>
      <c r="AC74" s="442"/>
      <c r="AK74" s="439" t="s">
        <v>946</v>
      </c>
    </row>
    <row r="75" spans="2:37" x14ac:dyDescent="0.3">
      <c r="B75" s="442"/>
      <c r="C75" s="442"/>
      <c r="D75" s="442"/>
      <c r="E75" s="442"/>
      <c r="F75" s="442"/>
      <c r="G75" s="442"/>
      <c r="H75" s="442"/>
      <c r="I75" s="442"/>
      <c r="J75" s="442"/>
      <c r="K75" s="442"/>
      <c r="L75" s="442"/>
      <c r="M75" s="442"/>
      <c r="N75" s="442"/>
      <c r="O75" s="442"/>
      <c r="P75" s="442"/>
      <c r="Q75" s="442"/>
      <c r="R75" s="442"/>
      <c r="S75" s="442"/>
      <c r="T75" s="442"/>
      <c r="U75" s="442"/>
      <c r="V75" s="442"/>
      <c r="W75" s="442"/>
      <c r="X75" s="442"/>
      <c r="Y75" s="442"/>
      <c r="Z75" s="442"/>
      <c r="AA75" s="442"/>
      <c r="AB75" s="442"/>
      <c r="AC75" s="442"/>
      <c r="AK75" s="439" t="s">
        <v>947</v>
      </c>
    </row>
    <row r="76" spans="2:37" x14ac:dyDescent="0.3">
      <c r="B76" s="442"/>
      <c r="C76" s="442"/>
      <c r="D76" s="442"/>
      <c r="E76" s="442"/>
      <c r="F76" s="442"/>
      <c r="G76" s="442"/>
      <c r="H76" s="442"/>
      <c r="I76" s="442"/>
      <c r="J76" s="442"/>
      <c r="K76" s="442"/>
      <c r="L76" s="442"/>
      <c r="M76" s="442"/>
      <c r="N76" s="442"/>
      <c r="O76" s="442"/>
      <c r="P76" s="442"/>
      <c r="Q76" s="442"/>
      <c r="R76" s="442"/>
      <c r="S76" s="442"/>
      <c r="T76" s="442"/>
      <c r="U76" s="442"/>
      <c r="V76" s="442"/>
      <c r="W76" s="442"/>
      <c r="X76" s="442"/>
      <c r="Y76" s="442"/>
      <c r="Z76" s="442"/>
      <c r="AA76" s="442"/>
      <c r="AB76" s="442"/>
      <c r="AC76" s="442"/>
      <c r="AK76" s="439" t="s">
        <v>948</v>
      </c>
    </row>
    <row r="77" spans="2:37" x14ac:dyDescent="0.3">
      <c r="B77" s="442"/>
      <c r="C77" s="442"/>
      <c r="D77" s="442"/>
      <c r="E77" s="442"/>
      <c r="F77" s="442"/>
      <c r="G77" s="442"/>
      <c r="H77" s="442"/>
      <c r="I77" s="442"/>
      <c r="J77" s="442"/>
      <c r="K77" s="442"/>
      <c r="L77" s="442"/>
      <c r="M77" s="442"/>
      <c r="N77" s="442"/>
      <c r="O77" s="442"/>
      <c r="P77" s="442"/>
      <c r="Q77" s="442"/>
      <c r="R77" s="442"/>
      <c r="S77" s="442"/>
      <c r="T77" s="442"/>
      <c r="U77" s="442"/>
      <c r="V77" s="442"/>
      <c r="W77" s="442"/>
      <c r="X77" s="442"/>
      <c r="Y77" s="442"/>
      <c r="Z77" s="442"/>
      <c r="AA77" s="442"/>
      <c r="AB77" s="442"/>
      <c r="AC77" s="442"/>
      <c r="AK77" s="439" t="s">
        <v>949</v>
      </c>
    </row>
    <row r="78" spans="2:37" x14ac:dyDescent="0.3">
      <c r="B78" s="442"/>
      <c r="C78" s="442"/>
      <c r="D78" s="442"/>
      <c r="E78" s="442"/>
      <c r="F78" s="442"/>
      <c r="G78" s="442"/>
      <c r="H78" s="442"/>
      <c r="I78" s="442"/>
      <c r="J78" s="442"/>
      <c r="K78" s="442"/>
      <c r="L78" s="442"/>
      <c r="M78" s="442"/>
      <c r="N78" s="442"/>
      <c r="O78" s="442"/>
      <c r="P78" s="442"/>
      <c r="Q78" s="442"/>
      <c r="R78" s="442"/>
      <c r="S78" s="442"/>
      <c r="T78" s="442"/>
      <c r="U78" s="442"/>
      <c r="V78" s="442"/>
      <c r="W78" s="442"/>
      <c r="X78" s="442"/>
      <c r="Y78" s="442"/>
      <c r="Z78" s="442"/>
      <c r="AA78" s="442"/>
      <c r="AB78" s="442"/>
      <c r="AC78" s="442"/>
      <c r="AK78" s="439" t="s">
        <v>950</v>
      </c>
    </row>
    <row r="79" spans="2:37" x14ac:dyDescent="0.3">
      <c r="AK79" s="439" t="s">
        <v>951</v>
      </c>
    </row>
    <row r="80" spans="2:37" x14ac:dyDescent="0.3">
      <c r="AK80" s="439" t="s">
        <v>952</v>
      </c>
    </row>
    <row r="81" spans="37:38" x14ac:dyDescent="0.3">
      <c r="AK81" s="439" t="s">
        <v>953</v>
      </c>
    </row>
    <row r="82" spans="37:38" x14ac:dyDescent="0.3">
      <c r="AK82" s="439" t="s">
        <v>954</v>
      </c>
    </row>
    <row r="83" spans="37:38" x14ac:dyDescent="0.3">
      <c r="AL83" s="439" t="s">
        <v>955</v>
      </c>
    </row>
    <row r="84" spans="37:38" x14ac:dyDescent="0.3">
      <c r="AL84" s="439" t="s">
        <v>956</v>
      </c>
    </row>
    <row r="85" spans="37:38" x14ac:dyDescent="0.3">
      <c r="AL85" s="439" t="s">
        <v>957</v>
      </c>
    </row>
    <row r="86" spans="37:38" x14ac:dyDescent="0.3">
      <c r="AL86" s="439" t="s">
        <v>958</v>
      </c>
    </row>
    <row r="87" spans="37:38" x14ac:dyDescent="0.3">
      <c r="AL87" s="439" t="s">
        <v>959</v>
      </c>
    </row>
    <row r="88" spans="37:38" x14ac:dyDescent="0.3">
      <c r="AL88" s="439" t="s">
        <v>960</v>
      </c>
    </row>
    <row r="89" spans="37:38" x14ac:dyDescent="0.3">
      <c r="AL89" s="439" t="s">
        <v>961</v>
      </c>
    </row>
    <row r="90" spans="37:38" x14ac:dyDescent="0.3">
      <c r="AL90" s="439" t="s">
        <v>962</v>
      </c>
    </row>
    <row r="91" spans="37:38" x14ac:dyDescent="0.3">
      <c r="AL91" s="439" t="s">
        <v>963</v>
      </c>
    </row>
    <row r="92" spans="37:38" x14ac:dyDescent="0.3">
      <c r="AL92" s="439" t="s">
        <v>964</v>
      </c>
    </row>
    <row r="93" spans="37:38" x14ac:dyDescent="0.3">
      <c r="AK93" s="439" t="s">
        <v>965</v>
      </c>
    </row>
    <row r="94" spans="37:38" x14ac:dyDescent="0.3">
      <c r="AK94" s="439" t="s">
        <v>966</v>
      </c>
    </row>
    <row r="95" spans="37:38" x14ac:dyDescent="0.3">
      <c r="AK95" s="439" t="s">
        <v>967</v>
      </c>
    </row>
    <row r="96" spans="37:38" x14ac:dyDescent="0.3">
      <c r="AK96" s="439" t="s">
        <v>968</v>
      </c>
    </row>
    <row r="97" spans="32:37" x14ac:dyDescent="0.3">
      <c r="AK97" s="439" t="s">
        <v>969</v>
      </c>
    </row>
    <row r="98" spans="32:37" x14ac:dyDescent="0.3">
      <c r="AF98" s="439" t="s">
        <v>970</v>
      </c>
      <c r="AJ98" s="439" t="s">
        <v>971</v>
      </c>
    </row>
    <row r="99" spans="32:37" x14ac:dyDescent="0.3">
      <c r="AF99" s="439" t="s">
        <v>972</v>
      </c>
      <c r="AJ99" s="439" t="s">
        <v>971</v>
      </c>
    </row>
    <row r="100" spans="32:37" x14ac:dyDescent="0.3">
      <c r="AF100" s="439" t="s">
        <v>973</v>
      </c>
      <c r="AJ100" s="439" t="s">
        <v>971</v>
      </c>
    </row>
    <row r="101" spans="32:37" x14ac:dyDescent="0.3">
      <c r="AF101" s="439" t="s">
        <v>974</v>
      </c>
      <c r="AJ101" s="439" t="s">
        <v>971</v>
      </c>
    </row>
    <row r="102" spans="32:37" x14ac:dyDescent="0.3">
      <c r="AF102" s="439" t="s">
        <v>975</v>
      </c>
      <c r="AJ102" s="439" t="s">
        <v>971</v>
      </c>
    </row>
    <row r="103" spans="32:37" x14ac:dyDescent="0.3">
      <c r="AF103" s="439" t="s">
        <v>976</v>
      </c>
      <c r="AJ103" s="439" t="s">
        <v>971</v>
      </c>
    </row>
    <row r="104" spans="32:37" x14ac:dyDescent="0.3">
      <c r="AF104" s="439" t="s">
        <v>977</v>
      </c>
      <c r="AJ104" s="439" t="s">
        <v>971</v>
      </c>
    </row>
    <row r="105" spans="32:37" x14ac:dyDescent="0.3">
      <c r="AF105" s="439" t="s">
        <v>978</v>
      </c>
      <c r="AJ105" s="439" t="s">
        <v>971</v>
      </c>
    </row>
    <row r="106" spans="32:37" x14ac:dyDescent="0.3">
      <c r="AF106" s="439" t="s">
        <v>979</v>
      </c>
      <c r="AJ106" s="439" t="s">
        <v>971</v>
      </c>
    </row>
    <row r="107" spans="32:37" x14ac:dyDescent="0.3">
      <c r="AF107" s="439" t="s">
        <v>980</v>
      </c>
      <c r="AJ107" s="439" t="s">
        <v>971</v>
      </c>
    </row>
    <row r="108" spans="32:37" x14ac:dyDescent="0.3">
      <c r="AF108" s="439" t="s">
        <v>981</v>
      </c>
      <c r="AJ108" s="439" t="s">
        <v>982</v>
      </c>
    </row>
    <row r="109" spans="32:37" x14ac:dyDescent="0.3">
      <c r="AJ109" s="439" t="s">
        <v>983</v>
      </c>
    </row>
    <row r="110" spans="32:37" x14ac:dyDescent="0.3">
      <c r="AJ110" s="439" t="s">
        <v>984</v>
      </c>
    </row>
    <row r="111" spans="32:37" x14ac:dyDescent="0.3">
      <c r="AJ111" s="439" t="s">
        <v>985</v>
      </c>
    </row>
    <row r="112" spans="32:37" x14ac:dyDescent="0.3">
      <c r="AF112" s="439" t="s">
        <v>986</v>
      </c>
      <c r="AJ112" s="439" t="s">
        <v>971</v>
      </c>
    </row>
    <row r="113" spans="32:37" x14ac:dyDescent="0.3">
      <c r="AF113" s="439" t="s">
        <v>987</v>
      </c>
      <c r="AJ113" s="439" t="s">
        <v>971</v>
      </c>
    </row>
    <row r="114" spans="32:37" x14ac:dyDescent="0.3">
      <c r="AF114" s="439" t="s">
        <v>988</v>
      </c>
      <c r="AJ114" s="439" t="s">
        <v>989</v>
      </c>
    </row>
    <row r="115" spans="32:37" x14ac:dyDescent="0.3">
      <c r="AJ115" s="439" t="s">
        <v>990</v>
      </c>
    </row>
    <row r="116" spans="32:37" x14ac:dyDescent="0.3">
      <c r="AJ116" s="439" t="s">
        <v>991</v>
      </c>
    </row>
    <row r="117" spans="32:37" x14ac:dyDescent="0.3">
      <c r="AJ117" s="439" t="s">
        <v>992</v>
      </c>
    </row>
    <row r="118" spans="32:37" x14ac:dyDescent="0.3">
      <c r="AJ118" s="439" t="s">
        <v>993</v>
      </c>
    </row>
    <row r="119" spans="32:37" x14ac:dyDescent="0.3">
      <c r="AF119" s="439" t="s">
        <v>994</v>
      </c>
      <c r="AJ119" s="439" t="s">
        <v>995</v>
      </c>
    </row>
    <row r="120" spans="32:37" x14ac:dyDescent="0.3">
      <c r="AJ120" s="439" t="s">
        <v>996</v>
      </c>
    </row>
    <row r="121" spans="32:37" x14ac:dyDescent="0.3">
      <c r="AJ121" s="439" t="s">
        <v>997</v>
      </c>
    </row>
    <row r="122" spans="32:37" x14ac:dyDescent="0.3">
      <c r="AJ122" s="439" t="s">
        <v>998</v>
      </c>
    </row>
    <row r="123" spans="32:37" x14ac:dyDescent="0.3">
      <c r="AJ123" s="439" t="s">
        <v>999</v>
      </c>
    </row>
    <row r="124" spans="32:37" x14ac:dyDescent="0.3">
      <c r="AJ124" s="439" t="s">
        <v>1000</v>
      </c>
    </row>
    <row r="125" spans="32:37" x14ac:dyDescent="0.3">
      <c r="AJ125" s="439" t="s">
        <v>1001</v>
      </c>
    </row>
    <row r="126" spans="32:37" x14ac:dyDescent="0.3">
      <c r="AK126" s="439" t="s">
        <v>1002</v>
      </c>
    </row>
    <row r="127" spans="32:37" x14ac:dyDescent="0.3">
      <c r="AK127" s="439" t="s">
        <v>1003</v>
      </c>
    </row>
    <row r="128" spans="32:37" x14ac:dyDescent="0.3">
      <c r="AK128" s="439" t="s">
        <v>1004</v>
      </c>
    </row>
    <row r="129" spans="37:37" x14ac:dyDescent="0.3">
      <c r="AK129" s="439" t="s">
        <v>1005</v>
      </c>
    </row>
    <row r="130" spans="37:37" x14ac:dyDescent="0.3">
      <c r="AK130" s="439" t="s">
        <v>1006</v>
      </c>
    </row>
    <row r="131" spans="37:37" x14ac:dyDescent="0.3">
      <c r="AK131" s="439" t="s">
        <v>1007</v>
      </c>
    </row>
    <row r="132" spans="37:37" x14ac:dyDescent="0.3">
      <c r="AK132" s="439" t="s">
        <v>1008</v>
      </c>
    </row>
    <row r="133" spans="37:37" x14ac:dyDescent="0.3">
      <c r="AK133" s="439" t="s">
        <v>1009</v>
      </c>
    </row>
    <row r="134" spans="37:37" x14ac:dyDescent="0.3">
      <c r="AK134" s="439" t="s">
        <v>1003</v>
      </c>
    </row>
    <row r="135" spans="37:37" x14ac:dyDescent="0.3">
      <c r="AK135" s="439" t="s">
        <v>1010</v>
      </c>
    </row>
    <row r="136" spans="37:37" x14ac:dyDescent="0.3">
      <c r="AK136" s="439" t="s">
        <v>1011</v>
      </c>
    </row>
    <row r="137" spans="37:37" x14ac:dyDescent="0.3">
      <c r="AK137" s="439" t="s">
        <v>1012</v>
      </c>
    </row>
    <row r="138" spans="37:37" x14ac:dyDescent="0.3">
      <c r="AK138" s="439" t="s">
        <v>1013</v>
      </c>
    </row>
    <row r="139" spans="37:37" x14ac:dyDescent="0.3">
      <c r="AK139" s="439" t="s">
        <v>1014</v>
      </c>
    </row>
    <row r="140" spans="37:37" x14ac:dyDescent="0.3">
      <c r="AK140" s="439" t="s">
        <v>1015</v>
      </c>
    </row>
    <row r="141" spans="37:37" x14ac:dyDescent="0.3">
      <c r="AK141" s="439" t="s">
        <v>1016</v>
      </c>
    </row>
    <row r="142" spans="37:37" x14ac:dyDescent="0.3">
      <c r="AK142" s="439" t="s">
        <v>1017</v>
      </c>
    </row>
    <row r="143" spans="37:37" x14ac:dyDescent="0.3">
      <c r="AK143" s="439" t="s">
        <v>1018</v>
      </c>
    </row>
    <row r="144" spans="37:37" x14ac:dyDescent="0.3">
      <c r="AK144" s="439" t="s">
        <v>1019</v>
      </c>
    </row>
    <row r="145" spans="37:37" x14ac:dyDescent="0.3">
      <c r="AK145" s="439" t="s">
        <v>1020</v>
      </c>
    </row>
    <row r="146" spans="37:37" x14ac:dyDescent="0.3">
      <c r="AK146" s="439" t="s">
        <v>1021</v>
      </c>
    </row>
    <row r="147" spans="37:37" x14ac:dyDescent="0.3">
      <c r="AK147" s="439" t="s">
        <v>1022</v>
      </c>
    </row>
    <row r="148" spans="37:37" x14ac:dyDescent="0.3">
      <c r="AK148" s="439" t="s">
        <v>1023</v>
      </c>
    </row>
    <row r="149" spans="37:37" x14ac:dyDescent="0.3">
      <c r="AK149" s="439" t="s">
        <v>1024</v>
      </c>
    </row>
    <row r="150" spans="37:37" x14ac:dyDescent="0.3">
      <c r="AK150" s="439" t="s">
        <v>1014</v>
      </c>
    </row>
    <row r="151" spans="37:37" x14ac:dyDescent="0.3">
      <c r="AK151" s="439" t="s">
        <v>1025</v>
      </c>
    </row>
    <row r="152" spans="37:37" x14ac:dyDescent="0.3">
      <c r="AK152" s="439" t="s">
        <v>1026</v>
      </c>
    </row>
    <row r="153" spans="37:37" x14ac:dyDescent="0.3">
      <c r="AK153" s="439" t="s">
        <v>1027</v>
      </c>
    </row>
    <row r="154" spans="37:37" x14ac:dyDescent="0.3">
      <c r="AK154" s="439" t="s">
        <v>1028</v>
      </c>
    </row>
    <row r="155" spans="37:37" x14ac:dyDescent="0.3">
      <c r="AK155" s="439" t="s">
        <v>1029</v>
      </c>
    </row>
    <row r="156" spans="37:37" x14ac:dyDescent="0.3">
      <c r="AK156" s="439" t="s">
        <v>1030</v>
      </c>
    </row>
    <row r="157" spans="37:37" x14ac:dyDescent="0.3">
      <c r="AK157" s="439" t="s">
        <v>1031</v>
      </c>
    </row>
    <row r="158" spans="37:37" x14ac:dyDescent="0.3">
      <c r="AK158" s="439" t="s">
        <v>1032</v>
      </c>
    </row>
    <row r="159" spans="37:37" x14ac:dyDescent="0.3">
      <c r="AK159" s="439" t="s">
        <v>1033</v>
      </c>
    </row>
    <row r="160" spans="37:37" x14ac:dyDescent="0.3">
      <c r="AK160" s="439" t="s">
        <v>1034</v>
      </c>
    </row>
    <row r="161" spans="32:37" x14ac:dyDescent="0.3">
      <c r="AK161" s="439" t="s">
        <v>1035</v>
      </c>
    </row>
    <row r="162" spans="32:37" x14ac:dyDescent="0.3">
      <c r="AK162" s="439" t="s">
        <v>1036</v>
      </c>
    </row>
    <row r="163" spans="32:37" x14ac:dyDescent="0.3">
      <c r="AK163" s="439" t="s">
        <v>1037</v>
      </c>
    </row>
    <row r="164" spans="32:37" x14ac:dyDescent="0.3">
      <c r="AK164" s="439" t="s">
        <v>1038</v>
      </c>
    </row>
    <row r="165" spans="32:37" x14ac:dyDescent="0.3">
      <c r="AK165" s="439" t="s">
        <v>1039</v>
      </c>
    </row>
    <row r="166" spans="32:37" x14ac:dyDescent="0.3">
      <c r="AK166" s="439" t="s">
        <v>1040</v>
      </c>
    </row>
    <row r="167" spans="32:37" x14ac:dyDescent="0.3">
      <c r="AF167" s="439" t="s">
        <v>1041</v>
      </c>
      <c r="AJ167" s="439" t="s">
        <v>1042</v>
      </c>
    </row>
    <row r="168" spans="32:37" x14ac:dyDescent="0.3">
      <c r="AJ168" s="439" t="s">
        <v>1043</v>
      </c>
    </row>
    <row r="169" spans="32:37" x14ac:dyDescent="0.3">
      <c r="AJ169" s="439" t="s">
        <v>1044</v>
      </c>
    </row>
    <row r="170" spans="32:37" x14ac:dyDescent="0.3">
      <c r="AJ170" s="439" t="s">
        <v>1045</v>
      </c>
    </row>
    <row r="171" spans="32:37" x14ac:dyDescent="0.3">
      <c r="AJ171" s="439" t="s">
        <v>1046</v>
      </c>
    </row>
    <row r="172" spans="32:37" x14ac:dyDescent="0.3">
      <c r="AJ172" s="439" t="s">
        <v>1047</v>
      </c>
    </row>
    <row r="173" spans="32:37" x14ac:dyDescent="0.3">
      <c r="AJ173" s="439" t="s">
        <v>1048</v>
      </c>
    </row>
    <row r="174" spans="32:37" x14ac:dyDescent="0.3">
      <c r="AF174" s="439" t="s">
        <v>1049</v>
      </c>
      <c r="AJ174" s="439" t="s">
        <v>971</v>
      </c>
    </row>
    <row r="175" spans="32:37" x14ac:dyDescent="0.3">
      <c r="AF175" s="439" t="s">
        <v>1050</v>
      </c>
      <c r="AJ175" s="439" t="s">
        <v>1051</v>
      </c>
    </row>
    <row r="176" spans="32:37" x14ac:dyDescent="0.3">
      <c r="AJ176" s="439" t="s">
        <v>1052</v>
      </c>
    </row>
    <row r="177" spans="32:36" x14ac:dyDescent="0.3">
      <c r="AJ177" s="439" t="s">
        <v>1053</v>
      </c>
    </row>
    <row r="178" spans="32:36" x14ac:dyDescent="0.3">
      <c r="AJ178" s="439" t="s">
        <v>1054</v>
      </c>
    </row>
    <row r="179" spans="32:36" x14ac:dyDescent="0.3">
      <c r="AJ179" s="439" t="s">
        <v>1055</v>
      </c>
    </row>
    <row r="180" spans="32:36" x14ac:dyDescent="0.3">
      <c r="AF180" s="439" t="s">
        <v>1056</v>
      </c>
      <c r="AJ180" s="439" t="s">
        <v>1057</v>
      </c>
    </row>
    <row r="181" spans="32:36" x14ac:dyDescent="0.3">
      <c r="AJ181" s="439" t="s">
        <v>1058</v>
      </c>
    </row>
    <row r="182" spans="32:36" x14ac:dyDescent="0.3">
      <c r="AJ182" s="439" t="s">
        <v>1059</v>
      </c>
    </row>
    <row r="183" spans="32:36" x14ac:dyDescent="0.3">
      <c r="AJ183" s="439" t="s">
        <v>1060</v>
      </c>
    </row>
    <row r="184" spans="32:36" x14ac:dyDescent="0.3">
      <c r="AJ184" s="439" t="s">
        <v>1061</v>
      </c>
    </row>
    <row r="185" spans="32:36" x14ac:dyDescent="0.3">
      <c r="AJ185" s="439" t="s">
        <v>1062</v>
      </c>
    </row>
    <row r="186" spans="32:36" x14ac:dyDescent="0.3">
      <c r="AJ186" s="439" t="s">
        <v>1058</v>
      </c>
    </row>
    <row r="187" spans="32:36" x14ac:dyDescent="0.3">
      <c r="AJ187" s="439" t="s">
        <v>1063</v>
      </c>
    </row>
    <row r="188" spans="32:36" x14ac:dyDescent="0.3">
      <c r="AJ188" s="439" t="s">
        <v>1064</v>
      </c>
    </row>
    <row r="189" spans="32:36" x14ac:dyDescent="0.3">
      <c r="AJ189" s="439" t="s">
        <v>1065</v>
      </c>
    </row>
    <row r="190" spans="32:36" x14ac:dyDescent="0.3">
      <c r="AJ190" s="439" t="s">
        <v>1066</v>
      </c>
    </row>
    <row r="191" spans="32:36" x14ac:dyDescent="0.3">
      <c r="AJ191" s="439" t="s">
        <v>1067</v>
      </c>
    </row>
    <row r="192" spans="32:36" x14ac:dyDescent="0.3">
      <c r="AF192" s="439" t="s">
        <v>1068</v>
      </c>
      <c r="AJ192" s="439" t="s">
        <v>1069</v>
      </c>
    </row>
    <row r="193" spans="32:37" x14ac:dyDescent="0.3">
      <c r="AK193" s="439" t="s">
        <v>1070</v>
      </c>
    </row>
    <row r="194" spans="32:37" x14ac:dyDescent="0.3">
      <c r="AK194" s="439" t="s">
        <v>1071</v>
      </c>
    </row>
    <row r="195" spans="32:37" x14ac:dyDescent="0.3">
      <c r="AK195" s="439" t="s">
        <v>1072</v>
      </c>
    </row>
    <row r="196" spans="32:37" x14ac:dyDescent="0.3">
      <c r="AK196" s="439" t="s">
        <v>1073</v>
      </c>
    </row>
    <row r="197" spans="32:37" x14ac:dyDescent="0.3">
      <c r="AK197" s="439" t="s">
        <v>1074</v>
      </c>
    </row>
    <row r="198" spans="32:37" x14ac:dyDescent="0.3">
      <c r="AK198" s="439" t="s">
        <v>1075</v>
      </c>
    </row>
    <row r="199" spans="32:37" x14ac:dyDescent="0.3">
      <c r="AK199" s="439" t="s">
        <v>1072</v>
      </c>
    </row>
    <row r="200" spans="32:37" x14ac:dyDescent="0.3">
      <c r="AK200" s="439" t="s">
        <v>1076</v>
      </c>
    </row>
    <row r="201" spans="32:37" x14ac:dyDescent="0.3">
      <c r="AK201" s="439" t="s">
        <v>1077</v>
      </c>
    </row>
    <row r="202" spans="32:37" x14ac:dyDescent="0.3">
      <c r="AK202" s="439" t="s">
        <v>1078</v>
      </c>
    </row>
    <row r="203" spans="32:37" x14ac:dyDescent="0.3">
      <c r="AK203" s="439" t="s">
        <v>1079</v>
      </c>
    </row>
    <row r="204" spans="32:37" x14ac:dyDescent="0.3">
      <c r="AF204" s="439" t="s">
        <v>1080</v>
      </c>
      <c r="AJ204" s="439" t="s">
        <v>1081</v>
      </c>
    </row>
    <row r="205" spans="32:37" x14ac:dyDescent="0.3">
      <c r="AJ205" s="439" t="s">
        <v>1082</v>
      </c>
    </row>
    <row r="206" spans="32:37" x14ac:dyDescent="0.3">
      <c r="AJ206" s="439" t="s">
        <v>1083</v>
      </c>
    </row>
    <row r="207" spans="32:37" x14ac:dyDescent="0.3">
      <c r="AJ207" s="439" t="s">
        <v>1084</v>
      </c>
    </row>
    <row r="208" spans="32:37" x14ac:dyDescent="0.3">
      <c r="AJ208" s="439" t="s">
        <v>1085</v>
      </c>
    </row>
    <row r="209" spans="32:36" x14ac:dyDescent="0.3">
      <c r="AJ209" s="439" t="s">
        <v>1086</v>
      </c>
    </row>
    <row r="210" spans="32:36" x14ac:dyDescent="0.3">
      <c r="AJ210" s="439" t="s">
        <v>1087</v>
      </c>
    </row>
    <row r="211" spans="32:36" x14ac:dyDescent="0.3">
      <c r="AJ211" s="439" t="s">
        <v>1088</v>
      </c>
    </row>
    <row r="212" spans="32:36" x14ac:dyDescent="0.3">
      <c r="AJ212" s="439" t="s">
        <v>1089</v>
      </c>
    </row>
    <row r="213" spans="32:36" x14ac:dyDescent="0.3">
      <c r="AJ213" s="439" t="s">
        <v>1090</v>
      </c>
    </row>
    <row r="214" spans="32:36" x14ac:dyDescent="0.3">
      <c r="AJ214" s="439" t="s">
        <v>1091</v>
      </c>
    </row>
    <row r="215" spans="32:36" x14ac:dyDescent="0.3">
      <c r="AJ215" s="439" t="s">
        <v>1092</v>
      </c>
    </row>
    <row r="216" spans="32:36" x14ac:dyDescent="0.3">
      <c r="AJ216" s="439" t="s">
        <v>1093</v>
      </c>
    </row>
    <row r="217" spans="32:36" x14ac:dyDescent="0.3">
      <c r="AF217" s="439" t="s">
        <v>1094</v>
      </c>
      <c r="AJ217" s="439" t="s">
        <v>1095</v>
      </c>
    </row>
    <row r="218" spans="32:36" x14ac:dyDescent="0.3">
      <c r="AJ218" s="439" t="s">
        <v>1096</v>
      </c>
    </row>
    <row r="219" spans="32:36" x14ac:dyDescent="0.3">
      <c r="AJ219" s="439" t="s">
        <v>1097</v>
      </c>
    </row>
    <row r="220" spans="32:36" x14ac:dyDescent="0.3">
      <c r="AJ220" s="439" t="s">
        <v>1098</v>
      </c>
    </row>
    <row r="221" spans="32:36" x14ac:dyDescent="0.3">
      <c r="AJ221" s="439" t="s">
        <v>1099</v>
      </c>
    </row>
    <row r="222" spans="32:36" x14ac:dyDescent="0.3">
      <c r="AJ222" s="439" t="s">
        <v>1100</v>
      </c>
    </row>
    <row r="223" spans="32:36" x14ac:dyDescent="0.3">
      <c r="AJ223" s="439" t="s">
        <v>1101</v>
      </c>
    </row>
    <row r="224" spans="32:36" x14ac:dyDescent="0.3">
      <c r="AJ224" s="439" t="s">
        <v>1102</v>
      </c>
    </row>
    <row r="225" spans="36:36" x14ac:dyDescent="0.3">
      <c r="AJ225" s="439" t="s">
        <v>1103</v>
      </c>
    </row>
    <row r="226" spans="36:36" x14ac:dyDescent="0.3">
      <c r="AJ226" s="439" t="s">
        <v>1104</v>
      </c>
    </row>
    <row r="227" spans="36:36" x14ac:dyDescent="0.3">
      <c r="AJ227" s="439" t="s">
        <v>1105</v>
      </c>
    </row>
    <row r="228" spans="36:36" x14ac:dyDescent="0.3">
      <c r="AJ228" s="439" t="s">
        <v>1106</v>
      </c>
    </row>
    <row r="229" spans="36:36" x14ac:dyDescent="0.3">
      <c r="AJ229" s="439" t="s">
        <v>1107</v>
      </c>
    </row>
    <row r="230" spans="36:36" x14ac:dyDescent="0.3">
      <c r="AJ230" s="439" t="s">
        <v>1108</v>
      </c>
    </row>
    <row r="231" spans="36:36" x14ac:dyDescent="0.3">
      <c r="AJ231" s="439" t="s">
        <v>1109</v>
      </c>
    </row>
    <row r="232" spans="36:36" x14ac:dyDescent="0.3">
      <c r="AJ232" s="439" t="s">
        <v>1110</v>
      </c>
    </row>
    <row r="233" spans="36:36" x14ac:dyDescent="0.3">
      <c r="AJ233" s="439" t="s">
        <v>1111</v>
      </c>
    </row>
    <row r="234" spans="36:36" x14ac:dyDescent="0.3">
      <c r="AJ234" s="439" t="s">
        <v>1112</v>
      </c>
    </row>
    <row r="235" spans="36:36" x14ac:dyDescent="0.3">
      <c r="AJ235" s="439" t="s">
        <v>1113</v>
      </c>
    </row>
    <row r="236" spans="36:36" x14ac:dyDescent="0.3">
      <c r="AJ236" s="439" t="s">
        <v>1114</v>
      </c>
    </row>
    <row r="237" spans="36:36" x14ac:dyDescent="0.3">
      <c r="AJ237" s="439" t="s">
        <v>1115</v>
      </c>
    </row>
    <row r="238" spans="36:36" x14ac:dyDescent="0.3">
      <c r="AJ238" s="439" t="s">
        <v>1116</v>
      </c>
    </row>
    <row r="239" spans="36:36" x14ac:dyDescent="0.3">
      <c r="AJ239" s="439" t="s">
        <v>1099</v>
      </c>
    </row>
    <row r="240" spans="36:36" x14ac:dyDescent="0.3">
      <c r="AJ240" s="439" t="s">
        <v>1100</v>
      </c>
    </row>
    <row r="241" spans="32:36" x14ac:dyDescent="0.3">
      <c r="AJ241" s="439" t="s">
        <v>1101</v>
      </c>
    </row>
    <row r="242" spans="32:36" x14ac:dyDescent="0.3">
      <c r="AJ242" s="439" t="s">
        <v>1117</v>
      </c>
    </row>
    <row r="243" spans="32:36" x14ac:dyDescent="0.3">
      <c r="AJ243" s="439" t="s">
        <v>1118</v>
      </c>
    </row>
    <row r="244" spans="32:36" x14ac:dyDescent="0.3">
      <c r="AJ244" s="439" t="s">
        <v>1119</v>
      </c>
    </row>
    <row r="245" spans="32:36" x14ac:dyDescent="0.3">
      <c r="AJ245" s="439" t="s">
        <v>1120</v>
      </c>
    </row>
    <row r="246" spans="32:36" x14ac:dyDescent="0.3">
      <c r="AF246" s="439" t="s">
        <v>1121</v>
      </c>
      <c r="AJ246" s="439" t="s">
        <v>1122</v>
      </c>
    </row>
    <row r="247" spans="32:36" x14ac:dyDescent="0.3">
      <c r="AJ247" s="439" t="s">
        <v>1123</v>
      </c>
    </row>
    <row r="248" spans="32:36" x14ac:dyDescent="0.3">
      <c r="AJ248" s="439" t="s">
        <v>1124</v>
      </c>
    </row>
    <row r="249" spans="32:36" x14ac:dyDescent="0.3">
      <c r="AJ249" s="439" t="s">
        <v>964</v>
      </c>
    </row>
    <row r="250" spans="32:36" x14ac:dyDescent="0.3">
      <c r="AJ250" s="439" t="s">
        <v>1125</v>
      </c>
    </row>
    <row r="251" spans="32:36" x14ac:dyDescent="0.3">
      <c r="AJ251" s="439" t="s">
        <v>1126</v>
      </c>
    </row>
    <row r="252" spans="32:36" x14ac:dyDescent="0.3">
      <c r="AJ252" s="439" t="s">
        <v>1127</v>
      </c>
    </row>
    <row r="253" spans="32:36" x14ac:dyDescent="0.3">
      <c r="AJ253" s="439" t="s">
        <v>1128</v>
      </c>
    </row>
    <row r="254" spans="32:36" x14ac:dyDescent="0.3">
      <c r="AF254" s="439" t="s">
        <v>1129</v>
      </c>
      <c r="AJ254" s="439" t="s">
        <v>1130</v>
      </c>
    </row>
    <row r="255" spans="32:36" x14ac:dyDescent="0.3">
      <c r="AJ255" s="439" t="s">
        <v>1131</v>
      </c>
    </row>
    <row r="256" spans="32:36" x14ac:dyDescent="0.3">
      <c r="AJ256" s="439" t="s">
        <v>1132</v>
      </c>
    </row>
    <row r="257" spans="32:36" x14ac:dyDescent="0.3">
      <c r="AF257" s="445" t="s">
        <v>1133</v>
      </c>
    </row>
    <row r="258" spans="32:36" x14ac:dyDescent="0.3">
      <c r="AF258" s="439" t="s">
        <v>1134</v>
      </c>
      <c r="AJ258" s="439" t="s">
        <v>1135</v>
      </c>
    </row>
    <row r="259" spans="32:36" x14ac:dyDescent="0.3">
      <c r="AF259" s="439" t="s">
        <v>1136</v>
      </c>
      <c r="AJ259" s="439" t="s">
        <v>1137</v>
      </c>
    </row>
    <row r="260" spans="32:36" x14ac:dyDescent="0.3">
      <c r="AJ260" s="439" t="s">
        <v>1138</v>
      </c>
    </row>
    <row r="261" spans="32:36" x14ac:dyDescent="0.3">
      <c r="AJ261" s="439" t="s">
        <v>1139</v>
      </c>
    </row>
    <row r="262" spans="32:36" x14ac:dyDescent="0.3">
      <c r="AJ262" s="439" t="s">
        <v>1140</v>
      </c>
    </row>
    <row r="263" spans="32:36" x14ac:dyDescent="0.3">
      <c r="AJ263" s="439" t="s">
        <v>1141</v>
      </c>
    </row>
    <row r="264" spans="32:36" x14ac:dyDescent="0.3">
      <c r="AJ264" s="439" t="s">
        <v>1142</v>
      </c>
    </row>
    <row r="265" spans="32:36" x14ac:dyDescent="0.3">
      <c r="AJ265" s="439" t="s">
        <v>1143</v>
      </c>
    </row>
    <row r="266" spans="32:36" x14ac:dyDescent="0.3">
      <c r="AJ266" s="439" t="s">
        <v>1144</v>
      </c>
    </row>
    <row r="267" spans="32:36" x14ac:dyDescent="0.3">
      <c r="AJ267" s="439" t="s">
        <v>1145</v>
      </c>
    </row>
    <row r="268" spans="32:36" x14ac:dyDescent="0.3">
      <c r="AJ268" s="439" t="s">
        <v>1146</v>
      </c>
    </row>
    <row r="269" spans="32:36" x14ac:dyDescent="0.3">
      <c r="AJ269" s="439" t="s">
        <v>1147</v>
      </c>
    </row>
    <row r="270" spans="32:36" x14ac:dyDescent="0.3">
      <c r="AF270" s="439" t="s">
        <v>1148</v>
      </c>
      <c r="AJ270" s="439" t="s">
        <v>1149</v>
      </c>
    </row>
    <row r="271" spans="32:36" x14ac:dyDescent="0.3">
      <c r="AF271" s="439" t="s">
        <v>1150</v>
      </c>
      <c r="AJ271" s="439" t="s">
        <v>1151</v>
      </c>
    </row>
    <row r="272" spans="32:36" x14ac:dyDescent="0.3">
      <c r="AF272" s="439" t="s">
        <v>1152</v>
      </c>
      <c r="AJ272" s="439" t="s">
        <v>1153</v>
      </c>
    </row>
    <row r="273" spans="32:36" x14ac:dyDescent="0.3">
      <c r="AJ273" s="439" t="s">
        <v>1154</v>
      </c>
    </row>
    <row r="274" spans="32:36" x14ac:dyDescent="0.3">
      <c r="AJ274" s="439" t="s">
        <v>1155</v>
      </c>
    </row>
    <row r="275" spans="32:36" x14ac:dyDescent="0.3">
      <c r="AF275" s="439" t="s">
        <v>1156</v>
      </c>
      <c r="AJ275" s="439" t="s">
        <v>1157</v>
      </c>
    </row>
    <row r="276" spans="32:36" x14ac:dyDescent="0.3">
      <c r="AJ276" s="439" t="s">
        <v>1158</v>
      </c>
    </row>
    <row r="277" spans="32:36" x14ac:dyDescent="0.3">
      <c r="AJ277" s="439" t="s">
        <v>1159</v>
      </c>
    </row>
    <row r="278" spans="32:36" x14ac:dyDescent="0.3">
      <c r="AJ278" s="439" t="s">
        <v>1160</v>
      </c>
    </row>
    <row r="279" spans="32:36" x14ac:dyDescent="0.3">
      <c r="AJ279" s="439" t="s">
        <v>1161</v>
      </c>
    </row>
    <row r="280" spans="32:36" x14ac:dyDescent="0.3">
      <c r="AJ280" s="439" t="s">
        <v>1162</v>
      </c>
    </row>
  </sheetData>
  <sheetProtection algorithmName="SHA-512" hashValue="MxGPne9T2Jhsbt5pOMkuApMXe+Gj+UBECq9LRhwNJzl2TQtvHnQwoAED1Jybc66kQXvoH/9cmYjucn4KAiYtLA==" saltValue="PhxoKcwQXTyHPfe9Mr0cUQ==" spinCount="100000" sheet="1" selectLockedCells="1"/>
  <mergeCells count="44">
    <mergeCell ref="X51:AB51"/>
    <mergeCell ref="X52:AB52"/>
    <mergeCell ref="X53:AB53"/>
    <mergeCell ref="S54:AB54"/>
    <mergeCell ref="X45:AB45"/>
    <mergeCell ref="X46:AB46"/>
    <mergeCell ref="X47:AB47"/>
    <mergeCell ref="X48:AB48"/>
    <mergeCell ref="X49:AB49"/>
    <mergeCell ref="X50:AB50"/>
    <mergeCell ref="X44:AB44"/>
    <mergeCell ref="X33:AB33"/>
    <mergeCell ref="X34:AB34"/>
    <mergeCell ref="X35:AB35"/>
    <mergeCell ref="C36:D36"/>
    <mergeCell ref="X37:AB37"/>
    <mergeCell ref="X38:AB38"/>
    <mergeCell ref="X39:AB39"/>
    <mergeCell ref="X40:AB40"/>
    <mergeCell ref="C41:D41"/>
    <mergeCell ref="X42:AB42"/>
    <mergeCell ref="X43:AB43"/>
    <mergeCell ref="X32:AB32"/>
    <mergeCell ref="C23:D23"/>
    <mergeCell ref="C25:D25"/>
    <mergeCell ref="E25:V25"/>
    <mergeCell ref="X25:AB25"/>
    <mergeCell ref="C26:D26"/>
    <mergeCell ref="E26:U26"/>
    <mergeCell ref="X26:AB26"/>
    <mergeCell ref="C27:D27"/>
    <mergeCell ref="X28:AB28"/>
    <mergeCell ref="X29:AB29"/>
    <mergeCell ref="X30:AB30"/>
    <mergeCell ref="X31:AB31"/>
    <mergeCell ref="E9:G9"/>
    <mergeCell ref="K9:O9"/>
    <mergeCell ref="S9:U9"/>
    <mergeCell ref="Y9:AA9"/>
    <mergeCell ref="Z3:AB5"/>
    <mergeCell ref="D8:G8"/>
    <mergeCell ref="K8:O8"/>
    <mergeCell ref="S8:U8"/>
    <mergeCell ref="Y8:AA8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34ACA-457A-4D3B-93A1-7EC82100DFA0}">
  <dimension ref="C3:BH147"/>
  <sheetViews>
    <sheetView showGridLines="0" topLeftCell="B3" zoomScaleNormal="100" workbookViewId="0">
      <selection activeCell="AY107" sqref="AY107"/>
    </sheetView>
  </sheetViews>
  <sheetFormatPr defaultRowHeight="15" x14ac:dyDescent="0.25"/>
  <cols>
    <col min="1" max="1" width="0" hidden="1" customWidth="1"/>
    <col min="2" max="2" width="5.28515625" customWidth="1"/>
    <col min="3" max="3" width="3.5703125" customWidth="1"/>
    <col min="4" max="4" width="5.28515625" customWidth="1"/>
    <col min="5" max="5" width="3.5703125" customWidth="1"/>
    <col min="6" max="6" width="0.28515625" customWidth="1"/>
    <col min="7" max="7" width="1.7109375" customWidth="1"/>
    <col min="8" max="8" width="2.5703125" customWidth="1"/>
    <col min="9" max="9" width="3.5703125" customWidth="1"/>
    <col min="10" max="10" width="0.28515625" customWidth="1"/>
    <col min="11" max="11" width="3.5703125" customWidth="1"/>
    <col min="12" max="12" width="0.5703125" customWidth="1"/>
    <col min="13" max="13" width="4.7109375" customWidth="1"/>
    <col min="14" max="14" width="0.28515625" customWidth="1"/>
    <col min="15" max="15" width="3.5703125" customWidth="1"/>
    <col min="16" max="16" width="4.28515625" customWidth="1"/>
    <col min="17" max="19" width="3.5703125" customWidth="1"/>
    <col min="20" max="20" width="3.42578125" customWidth="1"/>
    <col min="21" max="22" width="3.5703125" customWidth="1"/>
    <col min="23" max="23" width="4.28515625" customWidth="1"/>
    <col min="24" max="24" width="5.28515625" customWidth="1"/>
    <col min="25" max="25" width="4.28515625" customWidth="1"/>
    <col min="26" max="30" width="3.5703125" customWidth="1"/>
    <col min="31" max="31" width="3.7109375" customWidth="1"/>
    <col min="32" max="32" width="4.28515625" customWidth="1"/>
    <col min="33" max="36" width="3.5703125" customWidth="1"/>
    <col min="37" max="37" width="4.42578125" customWidth="1"/>
    <col min="38" max="40" width="3.5703125" customWidth="1"/>
    <col min="41" max="41" width="4.28515625" customWidth="1"/>
    <col min="42" max="55" width="3.5703125" customWidth="1"/>
    <col min="56" max="56" width="6" customWidth="1"/>
    <col min="57" max="57" width="3.5703125" customWidth="1"/>
    <col min="58" max="58" width="12" customWidth="1"/>
    <col min="59" max="59" width="14.28515625" customWidth="1"/>
    <col min="60" max="60" width="12" customWidth="1"/>
  </cols>
  <sheetData>
    <row r="3" spans="3:54" ht="14.65" customHeight="1" x14ac:dyDescent="0.25">
      <c r="C3" s="94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68"/>
    </row>
    <row r="4" spans="3:54" ht="14.65" customHeight="1" x14ac:dyDescent="0.35">
      <c r="C4" s="90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9" t="s">
        <v>585</v>
      </c>
      <c r="Q4" s="9"/>
      <c r="R4" s="9"/>
      <c r="S4" s="9"/>
      <c r="T4" s="9"/>
      <c r="U4" s="9"/>
      <c r="V4" s="9"/>
      <c r="W4" s="10"/>
      <c r="X4" s="10"/>
      <c r="Y4" s="1"/>
      <c r="Z4" s="1"/>
      <c r="AA4" s="1"/>
      <c r="AB4" s="11" t="s">
        <v>0</v>
      </c>
      <c r="AC4" s="12"/>
      <c r="AD4" s="12"/>
      <c r="AE4" s="13"/>
      <c r="AF4" s="13"/>
      <c r="AG4" s="13"/>
      <c r="AH4" s="13"/>
      <c r="AI4" s="13"/>
      <c r="AJ4" s="1"/>
      <c r="AK4" s="1"/>
      <c r="AL4" s="1"/>
      <c r="AM4" s="1"/>
      <c r="AN4" s="1"/>
      <c r="AO4" s="1"/>
      <c r="AP4" s="1"/>
      <c r="AQ4" s="1"/>
      <c r="AR4" s="527" t="s">
        <v>1</v>
      </c>
      <c r="AS4" s="527"/>
      <c r="AT4" s="527"/>
      <c r="AU4" s="527"/>
      <c r="AV4" s="527"/>
      <c r="AW4" s="527"/>
      <c r="AX4" s="527"/>
      <c r="AY4" s="527"/>
      <c r="BB4" s="69"/>
    </row>
    <row r="5" spans="3:54" ht="2.1" customHeight="1" x14ac:dyDescent="0.35">
      <c r="C5" s="90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9"/>
      <c r="Q5" s="9"/>
      <c r="R5" s="9"/>
      <c r="S5" s="9"/>
      <c r="T5" s="9"/>
      <c r="U5" s="9"/>
      <c r="V5" s="9"/>
      <c r="W5" s="9"/>
      <c r="X5" s="10"/>
      <c r="Y5" s="1"/>
      <c r="Z5" s="1"/>
      <c r="AA5" s="1"/>
      <c r="AB5" s="11"/>
      <c r="AC5" s="12"/>
      <c r="AD5" s="12"/>
      <c r="AE5" s="13"/>
      <c r="AF5" s="13"/>
      <c r="AG5" s="13"/>
      <c r="AH5" s="13"/>
      <c r="AI5" s="13"/>
      <c r="AJ5" s="1"/>
      <c r="AK5" s="1"/>
      <c r="AL5" s="1"/>
      <c r="AM5" s="1"/>
      <c r="AN5" s="1"/>
      <c r="AO5" s="1"/>
      <c r="AP5" s="1"/>
      <c r="AQ5" s="1"/>
      <c r="AR5" s="527"/>
      <c r="AS5" s="527"/>
      <c r="AT5" s="527"/>
      <c r="AU5" s="527"/>
      <c r="AV5" s="527"/>
      <c r="AW5" s="527"/>
      <c r="AX5" s="527"/>
      <c r="AY5" s="527"/>
      <c r="BB5" s="69"/>
    </row>
    <row r="6" spans="3:54" ht="14.65" customHeight="1" x14ac:dyDescent="0.35">
      <c r="C6" s="90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9" t="s">
        <v>2</v>
      </c>
      <c r="Q6" s="9"/>
      <c r="R6" s="9"/>
      <c r="S6" s="9"/>
      <c r="T6" s="9"/>
      <c r="U6" s="9"/>
      <c r="V6" s="9"/>
      <c r="W6" s="9"/>
      <c r="X6" s="10"/>
      <c r="Y6" s="1"/>
      <c r="Z6" s="1"/>
      <c r="AA6" s="1"/>
      <c r="AB6" s="11" t="s">
        <v>3</v>
      </c>
      <c r="AC6" s="12"/>
      <c r="AD6" s="12"/>
      <c r="AE6" s="13"/>
      <c r="AF6" s="13"/>
      <c r="AG6" s="13"/>
      <c r="AH6" s="13"/>
      <c r="AI6" s="13"/>
      <c r="AJ6" s="1"/>
      <c r="AK6" s="1"/>
      <c r="AL6" s="1"/>
      <c r="AM6" s="1"/>
      <c r="AN6" s="1"/>
      <c r="AO6" s="1"/>
      <c r="AP6" s="1"/>
      <c r="AQ6" s="1"/>
      <c r="AR6" s="527"/>
      <c r="AS6" s="527"/>
      <c r="AT6" s="527"/>
      <c r="AU6" s="527"/>
      <c r="AV6" s="527"/>
      <c r="AW6" s="527"/>
      <c r="AX6" s="527"/>
      <c r="AY6" s="527"/>
      <c r="BB6" s="69"/>
    </row>
    <row r="7" spans="3:54" ht="2.1" customHeight="1" x14ac:dyDescent="0.35">
      <c r="C7" s="90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526" t="s">
        <v>4</v>
      </c>
      <c r="Q7" s="526"/>
      <c r="R7" s="526"/>
      <c r="S7" s="526"/>
      <c r="T7" s="526"/>
      <c r="U7" s="526"/>
      <c r="V7" s="526"/>
      <c r="W7" s="526"/>
      <c r="X7" s="526"/>
      <c r="Y7" s="1"/>
      <c r="Z7" s="1"/>
      <c r="AA7" s="1"/>
      <c r="AB7" s="11"/>
      <c r="AC7" s="12"/>
      <c r="AD7" s="12"/>
      <c r="AE7" s="13"/>
      <c r="AF7" s="13"/>
      <c r="AG7" s="13"/>
      <c r="AH7" s="13"/>
      <c r="AI7" s="13"/>
      <c r="AJ7" s="1"/>
      <c r="AK7" s="1"/>
      <c r="AL7" s="1"/>
      <c r="AM7" s="1"/>
      <c r="AN7" s="1"/>
      <c r="AO7" s="1"/>
      <c r="AP7" s="1"/>
      <c r="AQ7" s="1"/>
      <c r="AR7" s="527"/>
      <c r="AS7" s="527"/>
      <c r="AT7" s="527"/>
      <c r="AU7" s="527"/>
      <c r="AV7" s="527"/>
      <c r="AW7" s="527"/>
      <c r="AX7" s="527"/>
      <c r="AY7" s="527"/>
      <c r="BB7" s="69"/>
    </row>
    <row r="8" spans="3:54" ht="18.600000000000001" customHeight="1" x14ac:dyDescent="0.35">
      <c r="C8" s="90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526"/>
      <c r="Q8" s="526"/>
      <c r="R8" s="526"/>
      <c r="S8" s="526"/>
      <c r="T8" s="526"/>
      <c r="U8" s="526"/>
      <c r="V8" s="526"/>
      <c r="W8" s="526"/>
      <c r="X8" s="526"/>
      <c r="Y8" s="1"/>
      <c r="Z8" s="1"/>
      <c r="AA8" s="1"/>
      <c r="AB8" s="11" t="s">
        <v>5</v>
      </c>
      <c r="AC8" s="12"/>
      <c r="AD8" s="12"/>
      <c r="AE8" s="13"/>
      <c r="AF8" s="13"/>
      <c r="AG8" s="13"/>
      <c r="AH8" s="13"/>
      <c r="AI8" s="13"/>
      <c r="AJ8" s="1"/>
      <c r="AK8" s="1"/>
      <c r="AL8" s="1"/>
      <c r="AM8" s="1"/>
      <c r="AN8" s="1"/>
      <c r="AO8" s="1"/>
      <c r="AP8" s="1"/>
      <c r="AQ8" s="1"/>
      <c r="AR8" s="528" t="s">
        <v>6</v>
      </c>
      <c r="AS8" s="528"/>
      <c r="AT8" s="528"/>
      <c r="AU8" s="528"/>
      <c r="AV8" s="528"/>
      <c r="AW8" s="528"/>
      <c r="AX8" s="528"/>
      <c r="AY8" s="528"/>
      <c r="BB8" s="69"/>
    </row>
    <row r="9" spans="3:54" x14ac:dyDescent="0.25">
      <c r="C9" s="90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70"/>
    </row>
    <row r="10" spans="3:54" x14ac:dyDescent="0.25">
      <c r="C10" s="95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71"/>
    </row>
    <row r="11" spans="3:54" x14ac:dyDescent="0.25">
      <c r="C11" s="92"/>
      <c r="D11" s="89" t="s">
        <v>10</v>
      </c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98"/>
      <c r="T11" s="3"/>
      <c r="U11" s="517" t="s">
        <v>13</v>
      </c>
      <c r="V11" s="517"/>
      <c r="W11" s="517"/>
      <c r="X11" s="517"/>
      <c r="Y11" s="517"/>
      <c r="Z11" s="24"/>
      <c r="AA11" s="3"/>
      <c r="AB11" s="518" t="s">
        <v>16</v>
      </c>
      <c r="AC11" s="518"/>
      <c r="AD11" s="518"/>
      <c r="AE11" s="518"/>
      <c r="AF11" s="518"/>
      <c r="AG11" s="24"/>
      <c r="AH11" s="3"/>
      <c r="AI11" s="518" t="s">
        <v>23</v>
      </c>
      <c r="AJ11" s="518"/>
      <c r="AK11" s="518"/>
      <c r="AL11" s="518"/>
      <c r="AM11" s="518"/>
      <c r="AN11" s="518"/>
      <c r="AO11" s="518"/>
      <c r="AP11" s="24"/>
      <c r="AQ11" s="3"/>
      <c r="AR11" s="518" t="s">
        <v>24</v>
      </c>
      <c r="AS11" s="518"/>
      <c r="AT11" s="518"/>
      <c r="AU11" s="518"/>
      <c r="AV11" s="518"/>
      <c r="AW11" s="518"/>
      <c r="AX11" s="518"/>
      <c r="AY11" s="518"/>
      <c r="AZ11" s="518"/>
      <c r="BA11" s="518"/>
      <c r="BB11" s="72"/>
    </row>
    <row r="12" spans="3:54" ht="3.6" customHeight="1" x14ac:dyDescent="0.25">
      <c r="C12" s="93"/>
      <c r="D12" s="4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99"/>
      <c r="T12" s="3"/>
      <c r="U12" s="3"/>
      <c r="V12" s="3"/>
      <c r="W12" s="3"/>
      <c r="X12" s="3"/>
      <c r="Y12" s="3"/>
      <c r="Z12" s="24"/>
      <c r="AA12" s="3"/>
      <c r="AB12" s="3"/>
      <c r="AC12" s="3"/>
      <c r="AD12" s="3"/>
      <c r="AE12" s="3"/>
      <c r="AF12" s="3"/>
      <c r="AG12" s="24"/>
      <c r="AH12" s="3"/>
      <c r="AI12" s="3"/>
      <c r="AJ12" s="3"/>
      <c r="AK12" s="3"/>
      <c r="AL12" s="3"/>
      <c r="AM12" s="3"/>
      <c r="AN12" s="3"/>
      <c r="AO12" s="3"/>
      <c r="AP12" s="24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73"/>
    </row>
    <row r="13" spans="3:54" x14ac:dyDescent="0.25">
      <c r="C13" s="91"/>
      <c r="D13" s="353" t="s">
        <v>563</v>
      </c>
      <c r="E13" s="27" t="s">
        <v>11</v>
      </c>
      <c r="F13" s="27"/>
      <c r="G13" s="27"/>
      <c r="H13" s="27"/>
      <c r="I13" s="27"/>
      <c r="J13" s="27"/>
      <c r="K13" s="27"/>
      <c r="L13" s="27"/>
      <c r="M13" s="27"/>
      <c r="N13" s="30"/>
      <c r="O13" s="27"/>
      <c r="P13" s="27"/>
      <c r="Q13" s="27"/>
      <c r="R13" s="27"/>
      <c r="S13" s="100"/>
      <c r="T13" s="3"/>
      <c r="U13" s="523" t="s">
        <v>14</v>
      </c>
      <c r="V13" s="523"/>
      <c r="W13" s="3"/>
      <c r="X13" s="523" t="s">
        <v>14</v>
      </c>
      <c r="Y13" s="523"/>
      <c r="Z13" s="24"/>
      <c r="AA13" s="3"/>
      <c r="AB13" s="318" t="s">
        <v>563</v>
      </c>
      <c r="AC13" s="27" t="s">
        <v>17</v>
      </c>
      <c r="AD13" s="27"/>
      <c r="AE13" s="27"/>
      <c r="AF13" s="27"/>
      <c r="AG13" s="108"/>
      <c r="AH13" s="3"/>
      <c r="AI13" s="318" t="s">
        <v>563</v>
      </c>
      <c r="AJ13" s="27" t="s">
        <v>22</v>
      </c>
      <c r="AK13" s="63"/>
      <c r="AL13" s="63"/>
      <c r="AM13" s="63"/>
      <c r="AN13" s="63"/>
      <c r="AO13" s="63"/>
      <c r="AP13" s="24"/>
      <c r="AQ13" s="3"/>
      <c r="AR13" s="26"/>
      <c r="AS13" s="27" t="s">
        <v>25</v>
      </c>
      <c r="AT13" s="63"/>
      <c r="AU13" s="63"/>
      <c r="AV13" s="63"/>
      <c r="AW13" s="63"/>
      <c r="AX13" s="63"/>
      <c r="AY13" s="63"/>
      <c r="AZ13" s="63"/>
      <c r="BA13" s="27"/>
      <c r="BB13" s="74"/>
    </row>
    <row r="14" spans="3:54" ht="2.65" customHeight="1" x14ac:dyDescent="0.25">
      <c r="C14" s="91"/>
      <c r="D14" s="28"/>
      <c r="E14" s="29"/>
      <c r="F14" s="109"/>
      <c r="G14" s="109"/>
      <c r="H14" s="109"/>
      <c r="I14" s="109"/>
      <c r="J14" s="29"/>
      <c r="K14" s="109"/>
      <c r="L14" s="29"/>
      <c r="M14" s="29"/>
      <c r="N14" s="29"/>
      <c r="O14" s="29"/>
      <c r="P14" s="29"/>
      <c r="Q14" s="3"/>
      <c r="R14" s="3"/>
      <c r="S14" s="101"/>
      <c r="T14" s="3"/>
      <c r="U14" s="523"/>
      <c r="V14" s="523"/>
      <c r="W14" s="3"/>
      <c r="X14" s="523"/>
      <c r="Y14" s="523"/>
      <c r="Z14" s="24"/>
      <c r="AA14" s="3"/>
      <c r="AB14" s="3"/>
      <c r="AC14" s="105"/>
      <c r="AD14" s="105"/>
      <c r="AE14" s="105"/>
      <c r="AF14" s="105"/>
      <c r="AG14" s="108"/>
      <c r="AH14" s="3"/>
      <c r="AI14" s="3"/>
      <c r="AJ14" s="30"/>
      <c r="AK14" s="27"/>
      <c r="AL14" s="27"/>
      <c r="AM14" s="27"/>
      <c r="AN14" s="27"/>
      <c r="AO14" s="27"/>
      <c r="AP14" s="24"/>
      <c r="AQ14" s="3"/>
      <c r="AR14" s="3"/>
      <c r="AS14" s="30"/>
      <c r="AT14" s="30"/>
      <c r="AU14" s="30"/>
      <c r="AV14" s="30"/>
      <c r="AW14" s="30"/>
      <c r="AX14" s="30"/>
      <c r="AY14" s="30"/>
      <c r="AZ14" s="30"/>
      <c r="BA14" s="30"/>
      <c r="BB14" s="75"/>
    </row>
    <row r="15" spans="3:54" x14ac:dyDescent="0.25">
      <c r="C15" s="91"/>
      <c r="D15" s="26"/>
      <c r="E15" s="27" t="s">
        <v>12</v>
      </c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9"/>
      <c r="R15" s="29"/>
      <c r="S15" s="102"/>
      <c r="T15" s="3"/>
      <c r="U15" s="524" t="s">
        <v>15</v>
      </c>
      <c r="V15" s="524"/>
      <c r="W15" s="3"/>
      <c r="X15" s="524" t="s">
        <v>18</v>
      </c>
      <c r="Y15" s="524"/>
      <c r="Z15" s="24"/>
      <c r="AA15" s="3"/>
      <c r="AB15" s="26"/>
      <c r="AC15" s="106" t="s">
        <v>9</v>
      </c>
      <c r="AD15" s="27"/>
      <c r="AE15" s="27"/>
      <c r="AF15" s="27"/>
      <c r="AG15" s="107"/>
      <c r="AH15" s="3"/>
      <c r="AI15" s="318" t="s">
        <v>563</v>
      </c>
      <c r="AJ15" s="27" t="s">
        <v>20</v>
      </c>
      <c r="AK15" s="63"/>
      <c r="AL15" s="63"/>
      <c r="AM15" s="63"/>
      <c r="AN15" s="63"/>
      <c r="AO15" s="63"/>
      <c r="AP15" s="24"/>
      <c r="AQ15" s="3"/>
      <c r="AR15" s="26"/>
      <c r="AS15" s="27" t="s">
        <v>26</v>
      </c>
      <c r="AT15" s="63"/>
      <c r="AU15" s="63"/>
      <c r="AV15" s="63"/>
      <c r="AW15" s="63"/>
      <c r="AX15" s="63"/>
      <c r="AY15" s="63"/>
      <c r="AZ15" s="63"/>
      <c r="BA15" s="27"/>
      <c r="BB15" s="74"/>
    </row>
    <row r="16" spans="3:54" ht="2.65" customHeight="1" x14ac:dyDescent="0.25">
      <c r="C16" s="91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101"/>
      <c r="T16" s="3"/>
      <c r="U16" s="524"/>
      <c r="V16" s="524"/>
      <c r="W16" s="3"/>
      <c r="X16" s="524"/>
      <c r="Y16" s="524"/>
      <c r="Z16" s="24"/>
      <c r="AA16" s="3"/>
      <c r="AB16" s="3"/>
      <c r="AC16" s="30"/>
      <c r="AD16" s="30"/>
      <c r="AE16" s="30"/>
      <c r="AF16" s="30"/>
      <c r="AG16" s="108"/>
      <c r="AH16" s="3"/>
      <c r="AI16" s="3"/>
      <c r="AJ16" s="27"/>
      <c r="AK16" s="27"/>
      <c r="AL16" s="27"/>
      <c r="AM16" s="27"/>
      <c r="AN16" s="27"/>
      <c r="AO16" s="27"/>
      <c r="AP16" s="24"/>
      <c r="AQ16" s="3"/>
      <c r="AR16" s="3"/>
      <c r="AS16" s="105"/>
      <c r="AT16" s="30"/>
      <c r="AU16" s="30"/>
      <c r="AV16" s="30"/>
      <c r="AW16" s="30"/>
      <c r="AX16" s="30"/>
      <c r="AY16" s="30"/>
      <c r="AZ16" s="30"/>
      <c r="BA16" s="30"/>
      <c r="BB16" s="75"/>
    </row>
    <row r="17" spans="3:54" ht="14.1" customHeight="1" x14ac:dyDescent="0.25">
      <c r="C17" s="91"/>
      <c r="D17" s="521">
        <v>2</v>
      </c>
      <c r="E17" s="521"/>
      <c r="F17" s="354"/>
      <c r="G17" s="521">
        <v>0</v>
      </c>
      <c r="H17" s="521"/>
      <c r="I17" s="521"/>
      <c r="J17" s="354"/>
      <c r="K17" s="521">
        <v>2</v>
      </c>
      <c r="L17" s="521"/>
      <c r="M17" s="521"/>
      <c r="N17" s="5"/>
      <c r="O17" s="521">
        <v>5</v>
      </c>
      <c r="P17" s="521"/>
      <c r="Q17" s="4"/>
      <c r="R17" s="4"/>
      <c r="S17" s="103"/>
      <c r="T17" s="104"/>
      <c r="U17" s="521">
        <v>0</v>
      </c>
      <c r="V17" s="521">
        <v>1</v>
      </c>
      <c r="W17" s="522" t="s">
        <v>19</v>
      </c>
      <c r="X17" s="521">
        <v>1</v>
      </c>
      <c r="Y17" s="521">
        <v>2</v>
      </c>
      <c r="Z17" s="24"/>
      <c r="AA17" s="3"/>
      <c r="AB17" s="3"/>
      <c r="AC17" s="3"/>
      <c r="AD17" s="3"/>
      <c r="AE17" s="3"/>
      <c r="AF17" s="3"/>
      <c r="AG17" s="24"/>
      <c r="AH17" s="3"/>
      <c r="AI17" s="26"/>
      <c r="AJ17" s="27" t="s">
        <v>21</v>
      </c>
      <c r="AK17" s="27"/>
      <c r="AL17" s="30"/>
      <c r="AM17" s="30"/>
      <c r="AN17" s="30"/>
      <c r="AO17" s="30"/>
      <c r="AP17" s="24"/>
      <c r="AQ17" s="3"/>
      <c r="AR17" s="353" t="s">
        <v>563</v>
      </c>
      <c r="AS17" s="27" t="s">
        <v>27</v>
      </c>
      <c r="AT17" s="63"/>
      <c r="AU17" s="63"/>
      <c r="AV17" s="63"/>
      <c r="AW17" s="63"/>
      <c r="AX17" s="63"/>
      <c r="AY17" s="63"/>
      <c r="AZ17" s="63"/>
      <c r="BA17" s="27"/>
      <c r="BB17" s="74"/>
    </row>
    <row r="18" spans="3:54" x14ac:dyDescent="0.25">
      <c r="C18" s="91"/>
      <c r="D18" s="521"/>
      <c r="E18" s="521"/>
      <c r="F18" s="354"/>
      <c r="G18" s="521"/>
      <c r="H18" s="521"/>
      <c r="I18" s="521"/>
      <c r="J18" s="354"/>
      <c r="K18" s="521"/>
      <c r="L18" s="521"/>
      <c r="M18" s="521"/>
      <c r="N18" s="5"/>
      <c r="O18" s="521"/>
      <c r="P18" s="521"/>
      <c r="Q18" s="4"/>
      <c r="R18" s="4"/>
      <c r="S18" s="103"/>
      <c r="T18" s="3"/>
      <c r="U18" s="521"/>
      <c r="V18" s="521"/>
      <c r="W18" s="522"/>
      <c r="X18" s="521"/>
      <c r="Y18" s="521"/>
      <c r="Z18" s="24"/>
      <c r="AA18" s="3"/>
      <c r="AB18" s="3"/>
      <c r="AC18" s="3"/>
      <c r="AD18" s="3"/>
      <c r="AE18" s="3"/>
      <c r="AF18" s="3"/>
      <c r="AG18" s="24"/>
      <c r="AH18" s="3"/>
      <c r="AI18" s="3"/>
      <c r="AJ18" s="3"/>
      <c r="AK18" s="3"/>
      <c r="AL18" s="3"/>
      <c r="AM18" s="3"/>
      <c r="AN18" s="3"/>
      <c r="AO18" s="3"/>
      <c r="AP18" s="24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73"/>
    </row>
    <row r="19" spans="3:54" x14ac:dyDescent="0.25">
      <c r="C19" s="9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2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88"/>
    </row>
    <row r="20" spans="3:54" ht="2.1" customHeight="1" x14ac:dyDescent="0.25">
      <c r="C20" s="33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</row>
    <row r="21" spans="3:54" ht="4.5" customHeight="1" x14ac:dyDescent="0.25">
      <c r="C21" s="35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77"/>
    </row>
    <row r="22" spans="3:54" ht="2.1" customHeight="1" x14ac:dyDescent="0.25">
      <c r="C22" s="33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76"/>
      <c r="BB22" s="97"/>
    </row>
    <row r="23" spans="3:54" x14ac:dyDescent="0.25">
      <c r="C23" s="37" t="s">
        <v>28</v>
      </c>
      <c r="D23" s="541" t="s">
        <v>29</v>
      </c>
      <c r="E23" s="541"/>
      <c r="F23" s="541"/>
      <c r="G23" s="541"/>
      <c r="H23" s="541"/>
      <c r="I23" s="541"/>
      <c r="J23" s="541"/>
      <c r="K23" s="541"/>
      <c r="L23" s="541"/>
      <c r="M23" s="541"/>
      <c r="N23" s="38"/>
      <c r="O23" s="38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76"/>
      <c r="BB23" s="97"/>
    </row>
    <row r="24" spans="3:54" ht="4.5" customHeight="1" x14ac:dyDescent="0.25">
      <c r="C24" s="39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</row>
    <row r="25" spans="3:54" ht="4.5" customHeight="1" x14ac:dyDescent="0.25">
      <c r="C25" s="42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79"/>
      <c r="BB25" s="79"/>
    </row>
    <row r="26" spans="3:54" s="149" customFormat="1" x14ac:dyDescent="0.25">
      <c r="C26" s="356"/>
      <c r="D26" s="52" t="s">
        <v>30</v>
      </c>
      <c r="E26" s="516" t="s">
        <v>36</v>
      </c>
      <c r="F26" s="516"/>
      <c r="G26" s="516"/>
      <c r="H26" s="516"/>
      <c r="I26" s="516"/>
      <c r="J26" s="516"/>
      <c r="K26" s="516"/>
      <c r="L26" s="516"/>
      <c r="M26" s="516"/>
      <c r="N26" s="357"/>
      <c r="O26" s="357"/>
      <c r="P26" s="358">
        <v>3</v>
      </c>
      <c r="Q26" s="358">
        <v>4</v>
      </c>
      <c r="R26" s="358">
        <v>0</v>
      </c>
      <c r="S26" s="358">
        <v>2</v>
      </c>
      <c r="T26" s="358">
        <v>0</v>
      </c>
      <c r="U26" s="358">
        <v>1</v>
      </c>
      <c r="V26" s="358">
        <v>1</v>
      </c>
      <c r="W26" s="358">
        <v>2</v>
      </c>
      <c r="X26" s="358">
        <v>3</v>
      </c>
      <c r="Y26" s="358">
        <v>4</v>
      </c>
      <c r="Z26" s="358">
        <v>5</v>
      </c>
      <c r="AA26" s="358">
        <v>6</v>
      </c>
      <c r="AB26" s="358">
        <v>0</v>
      </c>
      <c r="AC26" s="358">
        <v>0</v>
      </c>
      <c r="AD26" s="358">
        <v>0</v>
      </c>
      <c r="AE26" s="358">
        <v>1</v>
      </c>
      <c r="AF26" s="358"/>
      <c r="AG26" s="359"/>
      <c r="AH26" s="50"/>
      <c r="AI26" s="357" t="s">
        <v>43</v>
      </c>
      <c r="AJ26" s="516" t="s">
        <v>44</v>
      </c>
      <c r="AK26" s="516"/>
      <c r="AL26" s="516"/>
      <c r="AM26" s="516"/>
      <c r="AN26" s="516"/>
      <c r="AO26" s="516"/>
      <c r="AP26" s="516"/>
      <c r="AQ26" s="516"/>
      <c r="AR26" s="516"/>
      <c r="AS26" s="516"/>
      <c r="AT26" s="516"/>
      <c r="AU26" s="516"/>
      <c r="AV26" s="516"/>
      <c r="AW26" s="516"/>
      <c r="AX26" s="516"/>
      <c r="AY26" s="516"/>
      <c r="AZ26" s="516"/>
      <c r="BA26" s="360"/>
      <c r="BB26" s="360"/>
    </row>
    <row r="27" spans="3:54" ht="3" customHeight="1" x14ac:dyDescent="0.25">
      <c r="C27" s="42"/>
      <c r="D27" s="45"/>
      <c r="E27" s="535"/>
      <c r="F27" s="535"/>
      <c r="G27" s="535"/>
      <c r="H27" s="535"/>
      <c r="I27" s="535"/>
      <c r="J27" s="535"/>
      <c r="K27" s="535"/>
      <c r="L27" s="535"/>
      <c r="M27" s="535"/>
      <c r="N27" s="46"/>
      <c r="O27" s="46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8"/>
      <c r="AH27" s="44"/>
      <c r="AI27" s="44"/>
      <c r="AJ27" s="44"/>
      <c r="AK27" s="44"/>
      <c r="AL27" s="44"/>
      <c r="AM27" s="44"/>
      <c r="AN27" s="4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76"/>
      <c r="BB27" s="76"/>
    </row>
    <row r="28" spans="3:54" x14ac:dyDescent="0.25">
      <c r="C28" s="42"/>
      <c r="D28" s="45" t="s">
        <v>31</v>
      </c>
      <c r="E28" s="535" t="s">
        <v>7</v>
      </c>
      <c r="F28" s="535"/>
      <c r="G28" s="535"/>
      <c r="H28" s="535"/>
      <c r="I28" s="535"/>
      <c r="J28" s="535"/>
      <c r="K28" s="535"/>
      <c r="L28" s="535"/>
      <c r="M28" s="535"/>
      <c r="N28" s="46"/>
      <c r="O28" s="46"/>
      <c r="P28" s="537" t="s">
        <v>1184</v>
      </c>
      <c r="Q28" s="537"/>
      <c r="R28" s="537"/>
      <c r="S28" s="537"/>
      <c r="T28" s="537"/>
      <c r="U28" s="537"/>
      <c r="V28" s="537"/>
      <c r="W28" s="537"/>
      <c r="X28" s="537"/>
      <c r="Y28" s="537"/>
      <c r="Z28" s="537"/>
      <c r="AA28" s="537"/>
      <c r="AB28" s="537"/>
      <c r="AC28" s="537"/>
      <c r="AD28" s="537"/>
      <c r="AE28" s="537"/>
      <c r="AF28" s="537"/>
      <c r="AG28" s="48"/>
      <c r="AH28" s="44"/>
      <c r="AI28" s="47"/>
      <c r="AJ28" s="532" t="s">
        <v>45</v>
      </c>
      <c r="AK28" s="532"/>
      <c r="AL28" s="532"/>
      <c r="AM28" s="532"/>
      <c r="AN28" s="532"/>
      <c r="AO28" s="532"/>
      <c r="AP28" s="34"/>
      <c r="AQ28" s="26"/>
      <c r="AR28" s="532" t="s">
        <v>46</v>
      </c>
      <c r="AS28" s="532"/>
      <c r="AT28" s="532"/>
      <c r="AU28" s="532"/>
      <c r="AV28" s="532"/>
      <c r="AW28" s="532"/>
      <c r="AX28" s="532"/>
      <c r="AY28" s="49"/>
      <c r="AZ28" s="49"/>
      <c r="BA28" s="80"/>
      <c r="BB28" s="80"/>
    </row>
    <row r="29" spans="3:54" ht="3" customHeight="1" x14ac:dyDescent="0.25">
      <c r="C29" s="42"/>
      <c r="D29" s="45"/>
      <c r="E29" s="535"/>
      <c r="F29" s="535"/>
      <c r="G29" s="535"/>
      <c r="H29" s="535"/>
      <c r="I29" s="535"/>
      <c r="J29" s="535"/>
      <c r="K29" s="535"/>
      <c r="L29" s="535"/>
      <c r="M29" s="535"/>
      <c r="N29" s="46"/>
      <c r="O29" s="46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8"/>
      <c r="AH29" s="44"/>
      <c r="AI29" s="44"/>
      <c r="AJ29" s="50"/>
      <c r="AK29" s="50"/>
      <c r="AL29" s="50"/>
      <c r="AM29" s="50"/>
      <c r="AN29" s="50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76"/>
      <c r="BB29" s="76"/>
    </row>
    <row r="30" spans="3:54" x14ac:dyDescent="0.25">
      <c r="C30" s="42"/>
      <c r="D30" s="45" t="s">
        <v>32</v>
      </c>
      <c r="E30" s="535" t="s">
        <v>37</v>
      </c>
      <c r="F30" s="535"/>
      <c r="G30" s="535"/>
      <c r="H30" s="535"/>
      <c r="I30" s="535"/>
      <c r="J30" s="535"/>
      <c r="K30" s="535"/>
      <c r="L30" s="535"/>
      <c r="M30" s="535"/>
      <c r="N30" s="46"/>
      <c r="O30" s="46"/>
      <c r="P30" s="361" t="s">
        <v>563</v>
      </c>
      <c r="Q30" s="533" t="s">
        <v>40</v>
      </c>
      <c r="R30" s="533"/>
      <c r="S30" s="44"/>
      <c r="T30" s="47"/>
      <c r="U30" s="533" t="s">
        <v>41</v>
      </c>
      <c r="V30" s="533"/>
      <c r="W30" s="533"/>
      <c r="X30" s="44"/>
      <c r="Y30" s="47"/>
      <c r="Z30" s="533" t="s">
        <v>42</v>
      </c>
      <c r="AA30" s="533"/>
      <c r="AB30" s="533"/>
      <c r="AC30" s="44"/>
      <c r="AD30" s="44"/>
      <c r="AE30" s="44"/>
      <c r="AF30" s="44"/>
      <c r="AG30" s="48"/>
      <c r="AH30" s="44"/>
      <c r="AI30" s="66" t="s">
        <v>47</v>
      </c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81"/>
      <c r="BB30" s="81"/>
    </row>
    <row r="31" spans="3:54" ht="3" customHeight="1" x14ac:dyDescent="0.25">
      <c r="C31" s="42"/>
      <c r="D31" s="45"/>
      <c r="E31" s="535"/>
      <c r="F31" s="535"/>
      <c r="G31" s="535"/>
      <c r="H31" s="535"/>
      <c r="I31" s="535"/>
      <c r="J31" s="535"/>
      <c r="K31" s="535"/>
      <c r="L31" s="535"/>
      <c r="M31" s="535"/>
      <c r="N31" s="46"/>
      <c r="O31" s="46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8"/>
      <c r="AH31" s="44"/>
      <c r="AI31" s="64"/>
      <c r="AJ31" s="64"/>
      <c r="AK31" s="64"/>
      <c r="AL31" s="64"/>
      <c r="AM31" s="64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82"/>
      <c r="BB31" s="82"/>
    </row>
    <row r="32" spans="3:54" x14ac:dyDescent="0.25">
      <c r="C32" s="42"/>
      <c r="D32" s="45" t="s">
        <v>33</v>
      </c>
      <c r="E32" s="535" t="s">
        <v>38</v>
      </c>
      <c r="F32" s="535"/>
      <c r="G32" s="535"/>
      <c r="H32" s="535"/>
      <c r="I32" s="535"/>
      <c r="J32" s="535"/>
      <c r="K32" s="535"/>
      <c r="L32" s="535"/>
      <c r="M32" s="535"/>
      <c r="N32" s="46"/>
      <c r="O32" s="46"/>
      <c r="P32" s="538" t="s">
        <v>664</v>
      </c>
      <c r="Q32" s="537"/>
      <c r="R32" s="537"/>
      <c r="S32" s="537"/>
      <c r="T32" s="537"/>
      <c r="U32" s="537"/>
      <c r="V32" s="537"/>
      <c r="W32" s="537"/>
      <c r="X32" s="537"/>
      <c r="Y32" s="537"/>
      <c r="Z32" s="537"/>
      <c r="AA32" s="537"/>
      <c r="AB32" s="537"/>
      <c r="AC32" s="537"/>
      <c r="AD32" s="537"/>
      <c r="AE32" s="537"/>
      <c r="AF32" s="537"/>
      <c r="AG32" s="48"/>
      <c r="AH32" s="44"/>
      <c r="AI32" s="66" t="s">
        <v>48</v>
      </c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7"/>
      <c r="BA32" s="83"/>
      <c r="BB32" s="83"/>
    </row>
    <row r="33" spans="3:54" ht="3" customHeight="1" x14ac:dyDescent="0.25">
      <c r="C33" s="42"/>
      <c r="D33" s="45"/>
      <c r="E33" s="535"/>
      <c r="F33" s="535"/>
      <c r="G33" s="535"/>
      <c r="H33" s="535"/>
      <c r="I33" s="535"/>
      <c r="J33" s="535"/>
      <c r="K33" s="535"/>
      <c r="L33" s="535"/>
      <c r="M33" s="535"/>
      <c r="N33" s="46"/>
      <c r="O33" s="46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8"/>
      <c r="AH33" s="44"/>
      <c r="AI33" s="44"/>
      <c r="AJ33" s="44"/>
      <c r="AK33" s="44"/>
      <c r="AL33" s="44"/>
      <c r="AM33" s="44"/>
      <c r="AN33" s="4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76"/>
      <c r="BB33" s="76"/>
    </row>
    <row r="34" spans="3:54" x14ac:dyDescent="0.25">
      <c r="C34" s="42"/>
      <c r="D34" s="45" t="s">
        <v>34</v>
      </c>
      <c r="E34" s="535" t="s">
        <v>8</v>
      </c>
      <c r="F34" s="535"/>
      <c r="G34" s="535"/>
      <c r="H34" s="535"/>
      <c r="I34" s="535"/>
      <c r="J34" s="535"/>
      <c r="K34" s="535"/>
      <c r="L34" s="535"/>
      <c r="M34" s="535"/>
      <c r="N34" s="46"/>
      <c r="O34" s="46"/>
      <c r="P34" s="538" t="s">
        <v>665</v>
      </c>
      <c r="Q34" s="537"/>
      <c r="R34" s="537"/>
      <c r="S34" s="537"/>
      <c r="T34" s="537"/>
      <c r="U34" s="537"/>
      <c r="V34" s="537"/>
      <c r="W34" s="537"/>
      <c r="X34" s="537"/>
      <c r="Y34" s="537"/>
      <c r="Z34" s="537"/>
      <c r="AA34" s="537"/>
      <c r="AB34" s="537"/>
      <c r="AC34" s="537"/>
      <c r="AD34" s="537"/>
      <c r="AE34" s="537"/>
      <c r="AF34" s="537"/>
      <c r="AG34" s="48"/>
      <c r="AH34" s="44"/>
      <c r="AI34" s="44" t="s">
        <v>49</v>
      </c>
      <c r="AJ34" s="44" t="s">
        <v>50</v>
      </c>
      <c r="AK34" s="44"/>
      <c r="AL34" s="44"/>
      <c r="AM34" s="44"/>
      <c r="AN34" s="4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76"/>
      <c r="BB34" s="76"/>
    </row>
    <row r="35" spans="3:54" ht="3" customHeight="1" x14ac:dyDescent="0.25">
      <c r="C35" s="42"/>
      <c r="D35" s="45"/>
      <c r="E35" s="535"/>
      <c r="F35" s="535"/>
      <c r="G35" s="535"/>
      <c r="H35" s="535"/>
      <c r="I35" s="535"/>
      <c r="J35" s="535"/>
      <c r="K35" s="535"/>
      <c r="L35" s="535"/>
      <c r="M35" s="535"/>
      <c r="N35" s="46"/>
      <c r="O35" s="46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8"/>
      <c r="AH35" s="44"/>
      <c r="AI35" s="44"/>
      <c r="AJ35" s="44"/>
      <c r="AK35" s="44"/>
      <c r="AL35" s="44"/>
      <c r="AM35" s="44"/>
      <c r="AN35" s="4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76"/>
      <c r="BB35" s="76"/>
    </row>
    <row r="36" spans="3:54" x14ac:dyDescent="0.25">
      <c r="C36" s="42"/>
      <c r="D36" s="45" t="s">
        <v>35</v>
      </c>
      <c r="E36" s="535" t="s">
        <v>39</v>
      </c>
      <c r="F36" s="535"/>
      <c r="G36" s="535"/>
      <c r="H36" s="535"/>
      <c r="I36" s="535"/>
      <c r="J36" s="535"/>
      <c r="K36" s="535"/>
      <c r="L36" s="535"/>
      <c r="M36" s="535"/>
      <c r="N36" s="46"/>
      <c r="O36" s="46"/>
      <c r="P36" s="539" t="s">
        <v>1209</v>
      </c>
      <c r="Q36" s="540"/>
      <c r="R36" s="540"/>
      <c r="S36" s="540"/>
      <c r="T36" s="540"/>
      <c r="U36" s="540"/>
      <c r="V36" s="540"/>
      <c r="W36" s="540"/>
      <c r="X36" s="540"/>
      <c r="Y36" s="540"/>
      <c r="Z36" s="540"/>
      <c r="AA36" s="540"/>
      <c r="AB36" s="540"/>
      <c r="AC36" s="540"/>
      <c r="AD36" s="540"/>
      <c r="AE36" s="540"/>
      <c r="AF36" s="540"/>
      <c r="AG36" s="48"/>
      <c r="AH36" s="44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4"/>
      <c r="BA36" s="79"/>
      <c r="BB36" s="79"/>
    </row>
    <row r="37" spans="3:54" ht="5.0999999999999996" customHeight="1" x14ac:dyDescent="0.25">
      <c r="C37" s="33"/>
      <c r="D37" s="34"/>
      <c r="E37" s="536"/>
      <c r="F37" s="536"/>
      <c r="G37" s="536"/>
      <c r="H37" s="536"/>
      <c r="I37" s="536"/>
      <c r="J37" s="536"/>
      <c r="K37" s="536"/>
      <c r="L37" s="536"/>
      <c r="M37" s="536"/>
      <c r="N37" s="51"/>
      <c r="O37" s="51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76"/>
      <c r="BB37" s="76"/>
    </row>
    <row r="38" spans="3:54" ht="4.5" customHeight="1" x14ac:dyDescent="0.25">
      <c r="C38" s="39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78"/>
    </row>
    <row r="39" spans="3:54" ht="18" customHeight="1" x14ac:dyDescent="0.25">
      <c r="C39" s="37" t="s">
        <v>51</v>
      </c>
      <c r="D39" s="516" t="s">
        <v>52</v>
      </c>
      <c r="E39" s="516"/>
      <c r="F39" s="516"/>
      <c r="G39" s="516"/>
      <c r="H39" s="516"/>
      <c r="I39" s="516"/>
      <c r="J39" s="516"/>
      <c r="K39" s="516"/>
      <c r="L39" s="516"/>
      <c r="M39" s="516"/>
      <c r="N39" s="516"/>
      <c r="O39" s="516"/>
      <c r="P39" s="516"/>
      <c r="Q39" s="516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79"/>
      <c r="BB39" s="79"/>
    </row>
    <row r="40" spans="3:54" s="1" customFormat="1" ht="3" customHeight="1" x14ac:dyDescent="0.25">
      <c r="C40" s="53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84"/>
    </row>
    <row r="41" spans="3:54" ht="4.5" customHeight="1" thickBot="1" x14ac:dyDescent="0.3">
      <c r="C41" s="25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73"/>
    </row>
    <row r="42" spans="3:54" ht="15.75" thickBot="1" x14ac:dyDescent="0.3">
      <c r="C42" s="25"/>
      <c r="D42" s="17">
        <v>1</v>
      </c>
      <c r="E42" s="530" t="s">
        <v>53</v>
      </c>
      <c r="F42" s="530"/>
      <c r="G42" s="530"/>
      <c r="H42" s="18"/>
      <c r="I42" s="15" t="s">
        <v>54</v>
      </c>
      <c r="J42" s="15"/>
      <c r="K42" s="15"/>
      <c r="L42" s="15"/>
      <c r="M42" s="15"/>
      <c r="N42" s="15"/>
      <c r="O42" s="15"/>
      <c r="P42" s="15"/>
      <c r="Q42" s="15"/>
      <c r="R42" s="15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3"/>
      <c r="AO42" s="3"/>
      <c r="AP42" s="2"/>
      <c r="AQ42" s="534">
        <f>'Lampiran 1.3'!AG59</f>
        <v>283300000</v>
      </c>
      <c r="AR42" s="534"/>
      <c r="AS42" s="534"/>
      <c r="AT42" s="534"/>
      <c r="AU42" s="534"/>
      <c r="AV42" s="534"/>
      <c r="AW42" s="534"/>
      <c r="AX42" s="534"/>
      <c r="AY42" s="534"/>
      <c r="AZ42" s="534"/>
      <c r="BA42" s="534"/>
      <c r="BB42" s="87"/>
    </row>
    <row r="43" spans="3:54" ht="3" customHeight="1" x14ac:dyDescent="0.25">
      <c r="C43" s="25"/>
      <c r="D43" s="20"/>
      <c r="E43" s="21"/>
      <c r="F43" s="21"/>
      <c r="G43" s="21"/>
      <c r="H43" s="21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73"/>
    </row>
    <row r="44" spans="3:54" x14ac:dyDescent="0.25">
      <c r="C44" s="25"/>
      <c r="D44" s="20"/>
      <c r="E44" s="20"/>
      <c r="F44" s="20"/>
      <c r="G44" s="20"/>
      <c r="H44" s="531"/>
      <c r="I44" s="531"/>
      <c r="J44" s="20"/>
      <c r="K44" s="20" t="s">
        <v>55</v>
      </c>
      <c r="L44" s="20"/>
      <c r="M44" s="20"/>
      <c r="N44" s="20"/>
      <c r="O44" s="20"/>
      <c r="P44" s="20"/>
      <c r="Q44" s="20"/>
      <c r="R44" s="20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73"/>
    </row>
    <row r="45" spans="3:54" ht="3" customHeight="1" x14ac:dyDescent="0.25">
      <c r="C45" s="25"/>
      <c r="D45" s="20"/>
      <c r="E45" s="20"/>
      <c r="F45" s="20"/>
      <c r="G45" s="20"/>
      <c r="H45" s="21"/>
      <c r="I45" s="21"/>
      <c r="J45" s="20"/>
      <c r="K45" s="20"/>
      <c r="L45" s="20"/>
      <c r="M45" s="20"/>
      <c r="N45" s="20"/>
      <c r="O45" s="20"/>
      <c r="P45" s="20"/>
      <c r="Q45" s="20"/>
      <c r="R45" s="20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73"/>
    </row>
    <row r="46" spans="3:54" x14ac:dyDescent="0.25">
      <c r="C46" s="25"/>
      <c r="D46" s="20"/>
      <c r="E46" s="20"/>
      <c r="F46" s="20"/>
      <c r="G46" s="20"/>
      <c r="H46" s="531" t="s">
        <v>1213</v>
      </c>
      <c r="I46" s="531"/>
      <c r="J46" s="20"/>
      <c r="K46" s="20" t="s">
        <v>56</v>
      </c>
      <c r="L46" s="20"/>
      <c r="M46" s="20"/>
      <c r="N46" s="20"/>
      <c r="O46" s="20"/>
      <c r="P46" s="20"/>
      <c r="Q46" s="20"/>
      <c r="R46" s="20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73"/>
    </row>
    <row r="47" spans="3:54" ht="3" customHeight="1" x14ac:dyDescent="0.25">
      <c r="C47" s="25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73"/>
    </row>
    <row r="48" spans="3:54" x14ac:dyDescent="0.25">
      <c r="C48" s="25"/>
      <c r="D48" s="20"/>
      <c r="E48" s="530" t="s">
        <v>57</v>
      </c>
      <c r="F48" s="530"/>
      <c r="G48" s="530"/>
      <c r="H48" s="15"/>
      <c r="I48" s="18" t="s">
        <v>59</v>
      </c>
      <c r="J48" s="15" t="s">
        <v>58</v>
      </c>
      <c r="K48" s="15"/>
      <c r="L48" s="15"/>
      <c r="M48" s="15"/>
      <c r="N48" s="15"/>
      <c r="O48" s="15"/>
      <c r="P48" s="15"/>
      <c r="Q48" s="15"/>
      <c r="R48" s="15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73"/>
    </row>
    <row r="49" spans="3:54" x14ac:dyDescent="0.25">
      <c r="C49" s="25"/>
      <c r="D49" s="20"/>
      <c r="E49" s="20"/>
      <c r="F49" s="20"/>
      <c r="G49" s="20"/>
      <c r="H49" s="15"/>
      <c r="I49" s="15"/>
      <c r="J49" s="15" t="s">
        <v>60</v>
      </c>
      <c r="K49" s="15"/>
      <c r="L49" s="15"/>
      <c r="M49" s="15"/>
      <c r="N49" s="15"/>
      <c r="O49" s="15"/>
      <c r="P49" s="15"/>
      <c r="Q49" s="15"/>
      <c r="R49" s="15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73"/>
    </row>
    <row r="50" spans="3:54" ht="3" customHeight="1" x14ac:dyDescent="0.25">
      <c r="C50" s="25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73"/>
    </row>
    <row r="51" spans="3:54" x14ac:dyDescent="0.25">
      <c r="C51" s="25"/>
      <c r="D51" s="20"/>
      <c r="E51" s="20"/>
      <c r="F51" s="20"/>
      <c r="G51" s="20"/>
      <c r="H51" s="531"/>
      <c r="I51" s="531"/>
      <c r="J51" s="20"/>
      <c r="K51" s="20" t="s">
        <v>62</v>
      </c>
      <c r="L51" s="20"/>
      <c r="M51" s="20"/>
      <c r="N51" s="20"/>
      <c r="O51" s="20"/>
      <c r="P51" s="20"/>
      <c r="Q51" s="20"/>
      <c r="R51" s="20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73"/>
    </row>
    <row r="52" spans="3:54" ht="3" customHeight="1" x14ac:dyDescent="0.25">
      <c r="C52" s="25"/>
      <c r="D52" s="20"/>
      <c r="E52" s="20"/>
      <c r="F52" s="20"/>
      <c r="G52" s="20"/>
      <c r="H52" s="21"/>
      <c r="I52" s="21"/>
      <c r="J52" s="20"/>
      <c r="K52" s="20"/>
      <c r="L52" s="20"/>
      <c r="M52" s="20"/>
      <c r="N52" s="20"/>
      <c r="O52" s="20"/>
      <c r="P52" s="20"/>
      <c r="Q52" s="20"/>
      <c r="R52" s="20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73"/>
    </row>
    <row r="53" spans="3:54" x14ac:dyDescent="0.25">
      <c r="C53" s="25"/>
      <c r="D53" s="20"/>
      <c r="E53" s="20"/>
      <c r="F53" s="20"/>
      <c r="G53" s="20"/>
      <c r="H53" s="531" t="s">
        <v>1213</v>
      </c>
      <c r="I53" s="531"/>
      <c r="J53" s="20"/>
      <c r="K53" s="20" t="s">
        <v>61</v>
      </c>
      <c r="L53" s="20"/>
      <c r="M53" s="20"/>
      <c r="N53" s="20"/>
      <c r="O53" s="20"/>
      <c r="P53" s="20"/>
      <c r="Q53" s="20"/>
      <c r="R53" s="20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73"/>
    </row>
    <row r="54" spans="3:54" ht="3" customHeight="1" x14ac:dyDescent="0.25">
      <c r="C54" s="25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73"/>
    </row>
    <row r="55" spans="3:54" x14ac:dyDescent="0.25">
      <c r="C55" s="25"/>
      <c r="D55" s="20"/>
      <c r="E55" s="20"/>
      <c r="F55" s="20"/>
      <c r="G55" s="20"/>
      <c r="H55" s="15"/>
      <c r="I55" s="15" t="s">
        <v>63</v>
      </c>
      <c r="J55" s="15" t="s">
        <v>64</v>
      </c>
      <c r="K55" s="15"/>
      <c r="L55" s="15"/>
      <c r="M55" s="15"/>
      <c r="N55" s="15"/>
      <c r="O55" s="15"/>
      <c r="P55" s="15"/>
      <c r="Q55" s="15"/>
      <c r="R55" s="15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73"/>
    </row>
    <row r="56" spans="3:54" x14ac:dyDescent="0.25">
      <c r="C56" s="25"/>
      <c r="D56" s="20"/>
      <c r="E56" s="20"/>
      <c r="F56" s="20"/>
      <c r="G56" s="20"/>
      <c r="H56" s="15"/>
      <c r="I56" s="15"/>
      <c r="J56" s="15" t="s">
        <v>65</v>
      </c>
      <c r="K56" s="15"/>
      <c r="L56" s="15"/>
      <c r="M56" s="15"/>
      <c r="N56" s="15"/>
      <c r="O56" s="15"/>
      <c r="P56" s="15"/>
      <c r="Q56" s="15"/>
      <c r="R56" s="15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73"/>
    </row>
    <row r="57" spans="3:54" ht="3" customHeight="1" x14ac:dyDescent="0.25">
      <c r="C57" s="25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73"/>
    </row>
    <row r="58" spans="3:54" x14ac:dyDescent="0.25">
      <c r="C58" s="25"/>
      <c r="D58" s="20"/>
      <c r="E58" s="20"/>
      <c r="F58" s="20"/>
      <c r="G58" s="20"/>
      <c r="H58" s="531"/>
      <c r="I58" s="531"/>
      <c r="J58" s="20"/>
      <c r="K58" s="20" t="s">
        <v>55</v>
      </c>
      <c r="L58" s="20"/>
      <c r="M58" s="20"/>
      <c r="N58" s="20"/>
      <c r="O58" s="20"/>
      <c r="P58" s="20"/>
      <c r="Q58" s="20"/>
      <c r="R58" s="20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73"/>
    </row>
    <row r="59" spans="3:54" s="2" customFormat="1" ht="3" customHeight="1" x14ac:dyDescent="0.25">
      <c r="C59" s="25"/>
      <c r="D59" s="20"/>
      <c r="E59" s="20"/>
      <c r="F59" s="20"/>
      <c r="G59" s="20"/>
      <c r="H59" s="21"/>
      <c r="I59" s="21"/>
      <c r="J59" s="20"/>
      <c r="K59" s="20"/>
      <c r="L59" s="20"/>
      <c r="M59" s="20"/>
      <c r="N59" s="20"/>
      <c r="O59" s="20"/>
      <c r="P59" s="20"/>
      <c r="Q59" s="20"/>
      <c r="R59" s="20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73"/>
    </row>
    <row r="60" spans="3:54" x14ac:dyDescent="0.25">
      <c r="C60" s="25"/>
      <c r="D60" s="20"/>
      <c r="E60" s="20"/>
      <c r="F60" s="20"/>
      <c r="G60" s="20"/>
      <c r="H60" s="531" t="s">
        <v>1213</v>
      </c>
      <c r="I60" s="531"/>
      <c r="J60" s="20"/>
      <c r="K60" s="20" t="s">
        <v>66</v>
      </c>
      <c r="L60" s="20"/>
      <c r="M60" s="20"/>
      <c r="N60" s="20"/>
      <c r="O60" s="20"/>
      <c r="P60" s="20"/>
      <c r="Q60" s="20"/>
      <c r="R60" s="20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73"/>
    </row>
    <row r="61" spans="3:54" x14ac:dyDescent="0.25">
      <c r="C61" s="25"/>
      <c r="D61" s="20"/>
      <c r="E61" s="20"/>
      <c r="F61" s="20"/>
      <c r="G61" s="20"/>
      <c r="H61" s="20"/>
      <c r="I61" s="20"/>
      <c r="J61" s="20"/>
      <c r="K61" s="20" t="s">
        <v>586</v>
      </c>
      <c r="L61" s="20"/>
      <c r="M61" s="20"/>
      <c r="N61" s="20"/>
      <c r="O61" s="20"/>
      <c r="P61" s="20"/>
      <c r="Q61" s="20"/>
      <c r="R61" s="20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73"/>
    </row>
    <row r="62" spans="3:54" ht="3" customHeight="1" x14ac:dyDescent="0.25">
      <c r="C62" s="25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73"/>
    </row>
    <row r="63" spans="3:54" x14ac:dyDescent="0.25">
      <c r="C63" s="25"/>
      <c r="D63" s="20"/>
      <c r="E63" s="20"/>
      <c r="F63" s="20"/>
      <c r="G63" s="20"/>
      <c r="H63" s="531"/>
      <c r="I63" s="531"/>
      <c r="J63" s="20"/>
      <c r="K63" s="20" t="s">
        <v>587</v>
      </c>
      <c r="L63" s="20"/>
      <c r="M63" s="20"/>
      <c r="N63" s="20"/>
      <c r="O63" s="20"/>
      <c r="P63" s="20"/>
      <c r="Q63" s="20"/>
      <c r="R63" s="20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73"/>
    </row>
    <row r="64" spans="3:54" ht="3" customHeight="1" x14ac:dyDescent="0.25">
      <c r="C64" s="25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73"/>
    </row>
    <row r="65" spans="3:54" x14ac:dyDescent="0.25">
      <c r="C65" s="25"/>
      <c r="D65" s="20"/>
      <c r="E65" s="20"/>
      <c r="F65" s="20"/>
      <c r="G65" s="20"/>
      <c r="H65" s="15"/>
      <c r="I65" s="15" t="s">
        <v>67</v>
      </c>
      <c r="J65" s="15" t="s">
        <v>68</v>
      </c>
      <c r="K65" s="15"/>
      <c r="L65" s="15"/>
      <c r="M65" s="15"/>
      <c r="N65" s="15"/>
      <c r="O65" s="15"/>
      <c r="P65" s="15"/>
      <c r="Q65" s="15"/>
      <c r="R65" s="15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73"/>
    </row>
    <row r="66" spans="3:54" ht="3" customHeight="1" x14ac:dyDescent="0.25">
      <c r="C66" s="25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73"/>
    </row>
    <row r="67" spans="3:54" x14ac:dyDescent="0.25">
      <c r="C67" s="25"/>
      <c r="D67" s="20"/>
      <c r="E67" s="20"/>
      <c r="F67" s="20"/>
      <c r="G67" s="20"/>
      <c r="H67" s="531" t="s">
        <v>1213</v>
      </c>
      <c r="I67" s="531"/>
      <c r="J67" s="20"/>
      <c r="K67" s="20" t="s">
        <v>69</v>
      </c>
      <c r="L67" s="20"/>
      <c r="M67" s="20"/>
      <c r="N67" s="20"/>
      <c r="O67" s="20"/>
      <c r="P67" s="20"/>
      <c r="Q67" s="20"/>
      <c r="R67" s="20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73"/>
    </row>
    <row r="68" spans="3:54" ht="3" customHeight="1" x14ac:dyDescent="0.25">
      <c r="C68" s="25"/>
      <c r="D68" s="20"/>
      <c r="E68" s="20"/>
      <c r="F68" s="20"/>
      <c r="G68" s="20"/>
      <c r="H68" s="21"/>
      <c r="I68" s="21"/>
      <c r="J68" s="20"/>
      <c r="K68" s="20"/>
      <c r="L68" s="20"/>
      <c r="M68" s="20"/>
      <c r="N68" s="20"/>
      <c r="O68" s="20"/>
      <c r="P68" s="20"/>
      <c r="Q68" s="20"/>
      <c r="R68" s="20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73"/>
    </row>
    <row r="69" spans="3:54" x14ac:dyDescent="0.25">
      <c r="C69" s="25"/>
      <c r="D69" s="20"/>
      <c r="E69" s="20"/>
      <c r="F69" s="20"/>
      <c r="G69" s="20"/>
      <c r="H69" s="531"/>
      <c r="I69" s="531"/>
      <c r="J69" s="20"/>
      <c r="K69" s="20" t="s">
        <v>70</v>
      </c>
      <c r="L69" s="20"/>
      <c r="M69" s="20"/>
      <c r="N69" s="20"/>
      <c r="O69" s="20"/>
      <c r="P69" s="20"/>
      <c r="Q69" s="20"/>
      <c r="R69" s="20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73"/>
    </row>
    <row r="70" spans="3:54" x14ac:dyDescent="0.25">
      <c r="C70" s="25"/>
      <c r="D70" s="20"/>
      <c r="E70" s="20"/>
      <c r="F70" s="20"/>
      <c r="G70" s="20"/>
      <c r="H70" s="20"/>
      <c r="I70" s="20"/>
      <c r="J70" s="20"/>
      <c r="K70" s="20" t="s">
        <v>71</v>
      </c>
      <c r="L70" s="20"/>
      <c r="M70" s="20"/>
      <c r="N70" s="20"/>
      <c r="O70" s="20"/>
      <c r="P70" s="20"/>
      <c r="Q70" s="20"/>
      <c r="R70" s="20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73"/>
    </row>
    <row r="71" spans="3:54" ht="3" customHeight="1" x14ac:dyDescent="0.25">
      <c r="C71" s="25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73"/>
    </row>
    <row r="72" spans="3:54" x14ac:dyDescent="0.25">
      <c r="C72" s="25"/>
      <c r="D72" s="20"/>
      <c r="E72" s="20"/>
      <c r="F72" s="20"/>
      <c r="G72" s="20"/>
      <c r="H72" s="531"/>
      <c r="I72" s="531"/>
      <c r="J72" s="20"/>
      <c r="K72" s="20" t="s">
        <v>588</v>
      </c>
      <c r="L72" s="20"/>
      <c r="M72" s="20"/>
      <c r="N72" s="20"/>
      <c r="O72" s="20"/>
      <c r="P72" s="20"/>
      <c r="Q72" s="20"/>
      <c r="R72" s="20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73"/>
    </row>
    <row r="73" spans="3:54" x14ac:dyDescent="0.25">
      <c r="C73" s="25"/>
      <c r="D73" s="20"/>
      <c r="E73" s="20"/>
      <c r="F73" s="20"/>
      <c r="G73" s="20"/>
      <c r="H73" s="20"/>
      <c r="I73" s="20"/>
      <c r="J73" s="20"/>
      <c r="K73" s="20" t="s">
        <v>72</v>
      </c>
      <c r="L73" s="20"/>
      <c r="M73" s="20"/>
      <c r="N73" s="20"/>
      <c r="O73" s="20"/>
      <c r="P73" s="20"/>
      <c r="Q73" s="20"/>
      <c r="R73" s="20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73"/>
    </row>
    <row r="74" spans="3:54" ht="3" customHeight="1" x14ac:dyDescent="0.25">
      <c r="C74" s="25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73"/>
    </row>
    <row r="75" spans="3:54" x14ac:dyDescent="0.25">
      <c r="C75" s="25"/>
      <c r="D75" s="20"/>
      <c r="E75" s="20"/>
      <c r="F75" s="20"/>
      <c r="G75" s="20"/>
      <c r="H75" s="15"/>
      <c r="I75" s="15" t="s">
        <v>73</v>
      </c>
      <c r="J75" s="15" t="s">
        <v>589</v>
      </c>
      <c r="K75" s="15"/>
      <c r="L75" s="15"/>
      <c r="M75" s="15"/>
      <c r="N75" s="15"/>
      <c r="O75" s="15"/>
      <c r="P75" s="15"/>
      <c r="Q75" s="15"/>
      <c r="R75" s="15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73"/>
    </row>
    <row r="76" spans="3:54" ht="3" customHeight="1" x14ac:dyDescent="0.25">
      <c r="C76" s="25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73"/>
    </row>
    <row r="77" spans="3:54" x14ac:dyDescent="0.25">
      <c r="C77" s="25"/>
      <c r="D77" s="20"/>
      <c r="E77" s="20"/>
      <c r="F77" s="20"/>
      <c r="G77" s="20"/>
      <c r="H77" s="531"/>
      <c r="I77" s="531"/>
      <c r="J77" s="20"/>
      <c r="K77" s="20" t="s">
        <v>590</v>
      </c>
      <c r="L77" s="20"/>
      <c r="M77" s="20"/>
      <c r="N77" s="20"/>
      <c r="O77" s="20"/>
      <c r="P77" s="20"/>
      <c r="Q77" s="20"/>
      <c r="R77" s="20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73"/>
    </row>
    <row r="78" spans="3:54" ht="3" customHeight="1" x14ac:dyDescent="0.25">
      <c r="C78" s="25"/>
      <c r="D78" s="20"/>
      <c r="E78" s="20"/>
      <c r="F78" s="20"/>
      <c r="G78" s="20"/>
      <c r="H78" s="21"/>
      <c r="I78" s="21"/>
      <c r="J78" s="20"/>
      <c r="K78" s="20"/>
      <c r="L78" s="20"/>
      <c r="M78" s="20"/>
      <c r="N78" s="20"/>
      <c r="O78" s="20"/>
      <c r="P78" s="20"/>
      <c r="Q78" s="20"/>
      <c r="R78" s="20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73"/>
    </row>
    <row r="79" spans="3:54" x14ac:dyDescent="0.25">
      <c r="C79" s="25"/>
      <c r="D79" s="20"/>
      <c r="E79" s="20"/>
      <c r="F79" s="20"/>
      <c r="G79" s="20"/>
      <c r="H79" s="531"/>
      <c r="I79" s="531"/>
      <c r="J79" s="20"/>
      <c r="K79" s="20" t="s">
        <v>74</v>
      </c>
      <c r="L79" s="20"/>
      <c r="M79" s="20"/>
      <c r="N79" s="20"/>
      <c r="O79" s="20"/>
      <c r="P79" s="20"/>
      <c r="Q79" s="20"/>
      <c r="R79" s="20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73"/>
    </row>
    <row r="80" spans="3:54" ht="3" customHeight="1" x14ac:dyDescent="0.25">
      <c r="C80" s="25"/>
      <c r="D80" s="20"/>
      <c r="E80" s="20"/>
      <c r="F80" s="20"/>
      <c r="G80" s="20"/>
      <c r="H80" s="21"/>
      <c r="I80" s="21"/>
      <c r="J80" s="20"/>
      <c r="K80" s="20"/>
      <c r="L80" s="20"/>
      <c r="M80" s="20"/>
      <c r="N80" s="20"/>
      <c r="O80" s="20"/>
      <c r="P80" s="20"/>
      <c r="Q80" s="20"/>
      <c r="R80" s="20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73"/>
    </row>
    <row r="81" spans="3:54" x14ac:dyDescent="0.25">
      <c r="C81" s="25"/>
      <c r="D81" s="20"/>
      <c r="E81" s="20"/>
      <c r="F81" s="20"/>
      <c r="G81" s="20"/>
      <c r="H81" s="531"/>
      <c r="I81" s="531"/>
      <c r="J81" s="20"/>
      <c r="K81" s="20" t="s">
        <v>75</v>
      </c>
      <c r="L81" s="20"/>
      <c r="M81" s="20"/>
      <c r="N81" s="20"/>
      <c r="O81" s="20"/>
      <c r="P81" s="20"/>
      <c r="Q81" s="20"/>
      <c r="R81" s="20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73"/>
    </row>
    <row r="82" spans="3:54" ht="3" customHeight="1" x14ac:dyDescent="0.25">
      <c r="C82" s="25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73"/>
    </row>
    <row r="83" spans="3:54" x14ac:dyDescent="0.25">
      <c r="C83" s="25"/>
      <c r="D83" s="20"/>
      <c r="E83" s="20"/>
      <c r="F83" s="20"/>
      <c r="G83" s="20"/>
      <c r="H83" s="20"/>
      <c r="I83" s="20" t="s">
        <v>76</v>
      </c>
      <c r="J83" s="20"/>
      <c r="K83" s="20" t="s">
        <v>77</v>
      </c>
      <c r="L83" s="20"/>
      <c r="M83" s="20"/>
      <c r="N83" s="20"/>
      <c r="O83" s="20"/>
      <c r="P83" s="20"/>
      <c r="Q83" s="20"/>
      <c r="R83" s="20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520"/>
      <c r="AR83" s="520"/>
      <c r="AS83" s="520"/>
      <c r="AT83" s="520"/>
      <c r="AU83" s="520"/>
      <c r="AV83" s="520"/>
      <c r="AW83" s="520"/>
      <c r="AX83" s="520"/>
      <c r="AY83" s="520"/>
      <c r="AZ83" s="520"/>
      <c r="BA83" s="520"/>
      <c r="BB83" s="87"/>
    </row>
    <row r="84" spans="3:54" ht="3" customHeight="1" x14ac:dyDescent="0.25">
      <c r="C84" s="25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73"/>
    </row>
    <row r="85" spans="3:54" x14ac:dyDescent="0.25">
      <c r="C85" s="25"/>
      <c r="D85" s="20"/>
      <c r="E85" s="530" t="s">
        <v>104</v>
      </c>
      <c r="F85" s="530"/>
      <c r="G85" s="530"/>
      <c r="H85" s="15"/>
      <c r="I85" s="15" t="s">
        <v>78</v>
      </c>
      <c r="J85" s="15"/>
      <c r="K85" s="15"/>
      <c r="L85" s="15"/>
      <c r="M85" s="15"/>
      <c r="N85" s="15"/>
      <c r="O85" s="15"/>
      <c r="P85" s="15"/>
      <c r="Q85" s="15"/>
      <c r="R85" s="15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3"/>
      <c r="AO85" s="3"/>
      <c r="AP85" s="3"/>
      <c r="AQ85" s="525">
        <f>'Lampiran 3A-4'!AE92</f>
        <v>12500000</v>
      </c>
      <c r="AR85" s="525"/>
      <c r="AS85" s="525"/>
      <c r="AT85" s="525"/>
      <c r="AU85" s="525"/>
      <c r="AV85" s="525"/>
      <c r="AW85" s="525"/>
      <c r="AX85" s="525"/>
      <c r="AY85" s="525"/>
      <c r="AZ85" s="525"/>
      <c r="BA85" s="525"/>
      <c r="BB85" s="87"/>
    </row>
    <row r="86" spans="3:54" ht="3" customHeight="1" x14ac:dyDescent="0.25">
      <c r="C86" s="25"/>
      <c r="D86" s="20"/>
      <c r="E86" s="21"/>
      <c r="F86" s="21"/>
      <c r="G86" s="21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73"/>
    </row>
    <row r="87" spans="3:54" x14ac:dyDescent="0.25">
      <c r="C87" s="25"/>
      <c r="D87" s="20"/>
      <c r="E87" s="20"/>
      <c r="F87" s="20"/>
      <c r="G87" s="20"/>
      <c r="H87" s="531"/>
      <c r="I87" s="531"/>
      <c r="J87" s="20"/>
      <c r="K87" s="20" t="s">
        <v>55</v>
      </c>
      <c r="L87" s="20"/>
      <c r="M87" s="20"/>
      <c r="N87" s="20"/>
      <c r="O87" s="20"/>
      <c r="P87" s="20"/>
      <c r="Q87" s="20"/>
      <c r="R87" s="20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73"/>
    </row>
    <row r="88" spans="3:54" ht="3" customHeight="1" x14ac:dyDescent="0.25">
      <c r="C88" s="25"/>
      <c r="D88" s="20"/>
      <c r="E88" s="20"/>
      <c r="F88" s="20"/>
      <c r="G88" s="20"/>
      <c r="H88" s="21"/>
      <c r="I88" s="21"/>
      <c r="J88" s="20"/>
      <c r="K88" s="20"/>
      <c r="L88" s="20"/>
      <c r="M88" s="20"/>
      <c r="N88" s="20"/>
      <c r="O88" s="20"/>
      <c r="P88" s="20"/>
      <c r="Q88" s="20"/>
      <c r="R88" s="20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73"/>
    </row>
    <row r="89" spans="3:54" x14ac:dyDescent="0.25">
      <c r="C89" s="25"/>
      <c r="D89" s="20"/>
      <c r="E89" s="20"/>
      <c r="F89" s="20"/>
      <c r="G89" s="20"/>
      <c r="H89" s="531" t="s">
        <v>1213</v>
      </c>
      <c r="I89" s="531"/>
      <c r="J89" s="20"/>
      <c r="K89" s="20" t="s">
        <v>79</v>
      </c>
      <c r="L89" s="20"/>
      <c r="M89" s="20"/>
      <c r="N89" s="20"/>
      <c r="O89" s="20"/>
      <c r="P89" s="20"/>
      <c r="Q89" s="20"/>
      <c r="R89" s="20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73"/>
    </row>
    <row r="90" spans="3:54" ht="3" customHeight="1" x14ac:dyDescent="0.25">
      <c r="C90" s="25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73"/>
    </row>
    <row r="91" spans="3:54" x14ac:dyDescent="0.25">
      <c r="C91" s="25"/>
      <c r="D91" s="20"/>
      <c r="E91" s="530" t="s">
        <v>100</v>
      </c>
      <c r="F91" s="530"/>
      <c r="G91" s="530"/>
      <c r="H91" s="15"/>
      <c r="I91" s="15" t="s">
        <v>591</v>
      </c>
      <c r="J91" s="15"/>
      <c r="K91" s="15"/>
      <c r="L91" s="15"/>
      <c r="M91" s="15"/>
      <c r="N91" s="15"/>
      <c r="O91" s="15"/>
      <c r="P91" s="15"/>
      <c r="Q91" s="15"/>
      <c r="R91" s="15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3"/>
      <c r="AO91" s="3"/>
      <c r="AP91" s="3"/>
      <c r="AQ91" s="520"/>
      <c r="AR91" s="520"/>
      <c r="AS91" s="520"/>
      <c r="AT91" s="520"/>
      <c r="AU91" s="520"/>
      <c r="AV91" s="520"/>
      <c r="AW91" s="520"/>
      <c r="AX91" s="520"/>
      <c r="AY91" s="520"/>
      <c r="AZ91" s="520"/>
      <c r="BA91" s="520"/>
      <c r="BB91" s="87"/>
    </row>
    <row r="92" spans="3:54" ht="3" customHeight="1" x14ac:dyDescent="0.25">
      <c r="C92" s="25"/>
      <c r="D92" s="20"/>
      <c r="E92" s="21"/>
      <c r="F92" s="21"/>
      <c r="G92" s="21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73"/>
    </row>
    <row r="93" spans="3:54" x14ac:dyDescent="0.25">
      <c r="C93" s="25"/>
      <c r="D93" s="20"/>
      <c r="E93" s="20"/>
      <c r="F93" s="20"/>
      <c r="G93" s="20"/>
      <c r="H93" s="531" t="s">
        <v>1213</v>
      </c>
      <c r="I93" s="531"/>
      <c r="J93" s="20"/>
      <c r="K93" s="20" t="s">
        <v>55</v>
      </c>
      <c r="L93" s="20"/>
      <c r="M93" s="20"/>
      <c r="N93" s="20"/>
      <c r="O93" s="20"/>
      <c r="P93" s="20"/>
      <c r="Q93" s="20"/>
      <c r="R93" s="20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73"/>
    </row>
    <row r="94" spans="3:54" ht="3" customHeight="1" x14ac:dyDescent="0.25">
      <c r="C94" s="25"/>
      <c r="D94" s="20"/>
      <c r="E94" s="20"/>
      <c r="F94" s="20"/>
      <c r="G94" s="20"/>
      <c r="H94" s="21"/>
      <c r="I94" s="21"/>
      <c r="J94" s="20"/>
      <c r="K94" s="20"/>
      <c r="L94" s="20"/>
      <c r="M94" s="20"/>
      <c r="N94" s="20"/>
      <c r="O94" s="20"/>
      <c r="P94" s="20"/>
      <c r="Q94" s="20"/>
      <c r="R94" s="20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73"/>
    </row>
    <row r="95" spans="3:54" x14ac:dyDescent="0.25">
      <c r="C95" s="25"/>
      <c r="D95" s="20"/>
      <c r="E95" s="20"/>
      <c r="F95" s="20"/>
      <c r="G95" s="20"/>
      <c r="H95" s="531"/>
      <c r="I95" s="531"/>
      <c r="J95" s="20"/>
      <c r="K95" s="20" t="s">
        <v>80</v>
      </c>
      <c r="L95" s="20"/>
      <c r="M95" s="20"/>
      <c r="N95" s="20"/>
      <c r="O95" s="20"/>
      <c r="P95" s="20"/>
      <c r="Q95" s="20"/>
      <c r="R95" s="20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73"/>
    </row>
    <row r="96" spans="3:54" ht="3" customHeight="1" x14ac:dyDescent="0.25">
      <c r="C96" s="25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73"/>
    </row>
    <row r="97" spans="3:54" ht="4.5" customHeight="1" x14ac:dyDescent="0.25">
      <c r="C97" s="56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7"/>
      <c r="AH97" s="57"/>
      <c r="AI97" s="57"/>
      <c r="AJ97" s="57"/>
      <c r="AK97" s="57"/>
      <c r="AL97" s="57"/>
      <c r="AM97" s="57"/>
      <c r="AN97" s="57"/>
      <c r="AO97" s="57"/>
      <c r="AP97" s="96"/>
      <c r="AQ97" s="57"/>
      <c r="AR97" s="57"/>
      <c r="AS97" s="57"/>
      <c r="AT97" s="57"/>
      <c r="AU97" s="57"/>
      <c r="AV97" s="57"/>
      <c r="AW97" s="57"/>
      <c r="AX97" s="57"/>
      <c r="AY97" s="57"/>
      <c r="AZ97" s="57"/>
      <c r="BA97" s="57"/>
      <c r="BB97" s="85"/>
    </row>
    <row r="98" spans="3:54" x14ac:dyDescent="0.25">
      <c r="C98" s="37" t="s">
        <v>81</v>
      </c>
      <c r="D98" s="52" t="s">
        <v>82</v>
      </c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86"/>
    </row>
    <row r="99" spans="3:54" ht="4.5" customHeight="1" x14ac:dyDescent="0.25">
      <c r="C99" s="35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77"/>
    </row>
    <row r="100" spans="3:54" ht="3" customHeight="1" x14ac:dyDescent="0.25">
      <c r="C100" s="25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73"/>
    </row>
    <row r="101" spans="3:54" x14ac:dyDescent="0.25">
      <c r="C101" s="25"/>
      <c r="D101" s="22">
        <v>2</v>
      </c>
      <c r="E101" s="20" t="s">
        <v>83</v>
      </c>
      <c r="F101" s="20"/>
      <c r="G101" s="20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58" t="s">
        <v>105</v>
      </c>
      <c r="AE101" s="59" t="s">
        <v>106</v>
      </c>
      <c r="AF101" s="5" t="s">
        <v>107</v>
      </c>
      <c r="AG101" s="59" t="s">
        <v>108</v>
      </c>
      <c r="AH101" s="5" t="s">
        <v>107</v>
      </c>
      <c r="AI101" s="59" t="s">
        <v>109</v>
      </c>
      <c r="AJ101" s="5" t="s">
        <v>107</v>
      </c>
      <c r="AK101" s="59" t="s">
        <v>110</v>
      </c>
      <c r="AL101" s="60" t="s">
        <v>111</v>
      </c>
      <c r="AM101" s="3"/>
      <c r="AN101" s="3"/>
      <c r="AO101" s="3"/>
      <c r="AP101" s="3"/>
      <c r="AQ101" s="519">
        <f>AQ42+AQ83+AQ85+AQ91</f>
        <v>295800000</v>
      </c>
      <c r="AR101" s="520"/>
      <c r="AS101" s="520"/>
      <c r="AT101" s="520"/>
      <c r="AU101" s="520"/>
      <c r="AV101" s="520"/>
      <c r="AW101" s="520"/>
      <c r="AX101" s="520"/>
      <c r="AY101" s="520"/>
      <c r="AZ101" s="520"/>
      <c r="BA101" s="520"/>
      <c r="BB101" s="87"/>
    </row>
    <row r="102" spans="3:54" ht="3" customHeight="1" x14ac:dyDescent="0.25">
      <c r="C102" s="25"/>
      <c r="D102" s="22"/>
      <c r="E102" s="20"/>
      <c r="F102" s="20"/>
      <c r="G102" s="20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73"/>
    </row>
    <row r="103" spans="3:54" x14ac:dyDescent="0.25">
      <c r="C103" s="25"/>
      <c r="D103" s="22">
        <v>3</v>
      </c>
      <c r="E103" s="15" t="s">
        <v>84</v>
      </c>
      <c r="F103" s="15"/>
      <c r="G103" s="15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3"/>
      <c r="AO103" s="3"/>
      <c r="AP103" s="3"/>
      <c r="AQ103" s="520"/>
      <c r="AR103" s="520"/>
      <c r="AS103" s="520"/>
      <c r="AT103" s="520"/>
      <c r="AU103" s="520"/>
      <c r="AV103" s="520"/>
      <c r="AW103" s="520"/>
      <c r="AX103" s="520"/>
      <c r="AY103" s="520"/>
      <c r="AZ103" s="520"/>
      <c r="BA103" s="520"/>
      <c r="BB103" s="87"/>
    </row>
    <row r="104" spans="3:54" x14ac:dyDescent="0.25">
      <c r="C104" s="25"/>
      <c r="D104" s="20"/>
      <c r="E104" s="15" t="s">
        <v>85</v>
      </c>
      <c r="F104" s="15"/>
      <c r="G104" s="15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73"/>
    </row>
    <row r="105" spans="3:54" x14ac:dyDescent="0.25">
      <c r="C105" s="25"/>
      <c r="D105" s="20"/>
      <c r="E105" s="15" t="s">
        <v>86</v>
      </c>
      <c r="F105" s="15"/>
      <c r="G105" s="15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73"/>
    </row>
    <row r="106" spans="3:54" ht="3" customHeight="1" x14ac:dyDescent="0.25">
      <c r="C106" s="25"/>
      <c r="D106" s="20"/>
      <c r="E106" s="20"/>
      <c r="F106" s="20"/>
      <c r="G106" s="20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73"/>
    </row>
    <row r="107" spans="3:54" x14ac:dyDescent="0.25">
      <c r="C107" s="25"/>
      <c r="D107" s="20"/>
      <c r="E107" s="531"/>
      <c r="F107" s="531"/>
      <c r="G107" s="531"/>
      <c r="H107" s="20" t="s">
        <v>55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73"/>
    </row>
    <row r="108" spans="3:54" ht="3" customHeight="1" x14ac:dyDescent="0.25">
      <c r="C108" s="25"/>
      <c r="D108" s="20"/>
      <c r="E108" s="21"/>
      <c r="F108" s="21"/>
      <c r="G108" s="21"/>
      <c r="H108" s="20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73"/>
    </row>
    <row r="109" spans="3:54" x14ac:dyDescent="0.25">
      <c r="C109" s="25"/>
      <c r="D109" s="20"/>
      <c r="E109" s="531"/>
      <c r="F109" s="531"/>
      <c r="G109" s="531"/>
      <c r="H109" s="20" t="s">
        <v>87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73"/>
    </row>
    <row r="110" spans="3:54" ht="3" customHeight="1" x14ac:dyDescent="0.25">
      <c r="C110" s="25"/>
      <c r="D110" s="20"/>
      <c r="E110" s="20"/>
      <c r="F110" s="20"/>
      <c r="G110" s="20"/>
      <c r="H110" s="20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73"/>
    </row>
    <row r="111" spans="3:54" x14ac:dyDescent="0.25">
      <c r="C111" s="25"/>
      <c r="D111" s="22">
        <v>4</v>
      </c>
      <c r="E111" s="20" t="s">
        <v>88</v>
      </c>
      <c r="F111" s="20"/>
      <c r="G111" s="20"/>
      <c r="H111" s="20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58" t="s">
        <v>105</v>
      </c>
      <c r="AE111" s="59">
        <v>2</v>
      </c>
      <c r="AF111" s="5" t="s">
        <v>112</v>
      </c>
      <c r="AG111" s="59">
        <v>3</v>
      </c>
      <c r="AH111" s="60" t="s">
        <v>111</v>
      </c>
      <c r="AI111" s="3"/>
      <c r="AJ111" s="3"/>
      <c r="AK111" s="3"/>
      <c r="AL111" s="3"/>
      <c r="AM111" s="3"/>
      <c r="AN111" s="3"/>
      <c r="AO111" s="3"/>
      <c r="AP111" s="3"/>
      <c r="AQ111" s="519">
        <f>AQ101-AQ103</f>
        <v>295800000</v>
      </c>
      <c r="AR111" s="520"/>
      <c r="AS111" s="520"/>
      <c r="AT111" s="520"/>
      <c r="AU111" s="520"/>
      <c r="AV111" s="520"/>
      <c r="AW111" s="520"/>
      <c r="AX111" s="520"/>
      <c r="AY111" s="520"/>
      <c r="AZ111" s="520"/>
      <c r="BA111" s="520"/>
      <c r="BB111" s="87"/>
    </row>
    <row r="112" spans="3:54" ht="3" customHeight="1" x14ac:dyDescent="0.25">
      <c r="C112" s="25"/>
      <c r="D112" s="22"/>
      <c r="E112" s="20"/>
      <c r="F112" s="20"/>
      <c r="G112" s="20"/>
      <c r="H112" s="20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73"/>
    </row>
    <row r="113" spans="3:60" x14ac:dyDescent="0.25">
      <c r="C113" s="25"/>
      <c r="D113" s="22">
        <v>5</v>
      </c>
      <c r="E113" s="20" t="s">
        <v>89</v>
      </c>
      <c r="F113" s="20"/>
      <c r="G113" s="20"/>
      <c r="H113" s="20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529" t="s">
        <v>1219</v>
      </c>
      <c r="AF113" s="529"/>
      <c r="AG113" s="529"/>
      <c r="AH113" s="529"/>
      <c r="AI113" s="529"/>
      <c r="AJ113" s="529"/>
      <c r="AK113" s="529"/>
      <c r="AL113" s="529"/>
      <c r="AM113" s="3"/>
      <c r="AN113" s="3"/>
      <c r="AO113" s="3"/>
      <c r="AP113" s="3"/>
      <c r="AQ113" s="525">
        <v>67500000</v>
      </c>
      <c r="AR113" s="525"/>
      <c r="AS113" s="525"/>
      <c r="AT113" s="525"/>
      <c r="AU113" s="525"/>
      <c r="AV113" s="525"/>
      <c r="AW113" s="525"/>
      <c r="AX113" s="525"/>
      <c r="AY113" s="525"/>
      <c r="AZ113" s="525"/>
      <c r="BA113" s="525"/>
      <c r="BB113" s="87"/>
    </row>
    <row r="114" spans="3:60" ht="3" customHeight="1" x14ac:dyDescent="0.25">
      <c r="C114" s="25"/>
      <c r="D114" s="22"/>
      <c r="E114" s="20"/>
      <c r="F114" s="20"/>
      <c r="G114" s="20"/>
      <c r="H114" s="20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73"/>
    </row>
    <row r="115" spans="3:60" x14ac:dyDescent="0.25">
      <c r="C115" s="25"/>
      <c r="D115" s="22">
        <v>6</v>
      </c>
      <c r="E115" s="20" t="s">
        <v>90</v>
      </c>
      <c r="F115" s="20"/>
      <c r="G115" s="20"/>
      <c r="H115" s="20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58" t="s">
        <v>105</v>
      </c>
      <c r="AE115" s="59">
        <v>4</v>
      </c>
      <c r="AF115" s="5" t="s">
        <v>112</v>
      </c>
      <c r="AG115" s="59">
        <v>5</v>
      </c>
      <c r="AH115" s="60" t="s">
        <v>111</v>
      </c>
      <c r="AI115" s="3"/>
      <c r="AJ115" s="3"/>
      <c r="AK115" s="3"/>
      <c r="AL115" s="3"/>
      <c r="AM115" s="3"/>
      <c r="AN115" s="3"/>
      <c r="AO115" s="3"/>
      <c r="AP115" s="3"/>
      <c r="AQ115" s="519">
        <f>AQ111-AQ113</f>
        <v>228300000</v>
      </c>
      <c r="AR115" s="520"/>
      <c r="AS115" s="520"/>
      <c r="AT115" s="520"/>
      <c r="AU115" s="520"/>
      <c r="AV115" s="520"/>
      <c r="AW115" s="520"/>
      <c r="AX115" s="520"/>
      <c r="AY115" s="520"/>
      <c r="AZ115" s="520"/>
      <c r="BA115" s="520"/>
      <c r="BB115" s="87"/>
      <c r="BF115" s="416"/>
      <c r="BG115" s="414"/>
      <c r="BH115" s="414"/>
    </row>
    <row r="116" spans="3:60" ht="4.1500000000000004" customHeight="1" x14ac:dyDescent="0.25">
      <c r="C116" s="25"/>
      <c r="D116" s="22"/>
      <c r="E116" s="20"/>
      <c r="F116" s="20"/>
      <c r="G116" s="20"/>
      <c r="H116" s="20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73"/>
      <c r="BG116" s="414"/>
    </row>
    <row r="117" spans="3:60" x14ac:dyDescent="0.25">
      <c r="C117" s="25"/>
      <c r="D117" s="22">
        <v>7</v>
      </c>
      <c r="E117" s="20" t="s">
        <v>91</v>
      </c>
      <c r="F117" s="20"/>
      <c r="G117" s="20"/>
      <c r="H117" s="20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525" cm="1">
        <f t="array" ref="AQ117">_xlfn.IFS(AQ115&lt;=60000000,(5%*AQ115),AND(60000000&lt;AQ115,AQ115&lt;=250000000),((60000000*5%)+((AQ115-60000000)*15%)),AND(250000001&lt;AQ115,AQ115&lt;=500000000),(60000000*5%)+(15%*190000000)+((AQ115-250000000)*25%),AND(500000001&lt;AQ115,AQ115&lt;=5000000000),(5%*60000000)+(190000000*15%)+(250000000*25%)+((AQ115-500000000)*30%),5000000001&lt;AQ115,(60000000*5%)+(190000000*15%)+(250000000*25%)+(4500000000*30%)+((AQ115-5000000000)*35%))</f>
        <v>28245000</v>
      </c>
      <c r="AR117" s="525"/>
      <c r="AS117" s="525"/>
      <c r="AT117" s="525"/>
      <c r="AU117" s="525"/>
      <c r="AV117" s="525"/>
      <c r="AW117" s="525"/>
      <c r="AX117" s="525"/>
      <c r="AY117" s="525"/>
      <c r="AZ117" s="525"/>
      <c r="BA117" s="525"/>
      <c r="BB117" s="87"/>
      <c r="BF117" s="416"/>
      <c r="BG117" s="414"/>
      <c r="BH117" s="415"/>
    </row>
    <row r="118" spans="3:60" ht="3" customHeight="1" x14ac:dyDescent="0.25">
      <c r="C118" s="25"/>
      <c r="D118" s="22"/>
      <c r="E118" s="20"/>
      <c r="F118" s="20"/>
      <c r="G118" s="20"/>
      <c r="H118" s="20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73"/>
    </row>
    <row r="119" spans="3:60" x14ac:dyDescent="0.25">
      <c r="C119" s="25"/>
      <c r="D119" s="22">
        <v>8</v>
      </c>
      <c r="E119" s="15" t="s">
        <v>92</v>
      </c>
      <c r="F119" s="15"/>
      <c r="G119" s="15"/>
      <c r="H119" s="15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3"/>
      <c r="AO119" s="3"/>
      <c r="AP119" s="3"/>
      <c r="AQ119" s="525">
        <v>0</v>
      </c>
      <c r="AR119" s="525"/>
      <c r="AS119" s="525"/>
      <c r="AT119" s="525"/>
      <c r="AU119" s="525"/>
      <c r="AV119" s="525"/>
      <c r="AW119" s="525"/>
      <c r="AX119" s="525"/>
      <c r="AY119" s="525"/>
      <c r="AZ119" s="525"/>
      <c r="BA119" s="525"/>
      <c r="BB119" s="87"/>
      <c r="BH119" s="415"/>
    </row>
    <row r="120" spans="3:60" ht="3" customHeight="1" x14ac:dyDescent="0.25">
      <c r="C120" s="25"/>
      <c r="D120" s="20"/>
      <c r="E120" s="20"/>
      <c r="F120" s="20"/>
      <c r="G120" s="20"/>
      <c r="H120" s="20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73"/>
    </row>
    <row r="121" spans="3:60" x14ac:dyDescent="0.25">
      <c r="C121" s="25"/>
      <c r="D121" s="20"/>
      <c r="E121" s="531"/>
      <c r="F121" s="531"/>
      <c r="G121" s="531"/>
      <c r="H121" s="20" t="s">
        <v>55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73"/>
    </row>
    <row r="122" spans="3:60" ht="3" customHeight="1" x14ac:dyDescent="0.25">
      <c r="C122" s="25"/>
      <c r="D122" s="20"/>
      <c r="E122" s="21"/>
      <c r="F122" s="21"/>
      <c r="G122" s="21"/>
      <c r="H122" s="20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73"/>
    </row>
    <row r="123" spans="3:60" x14ac:dyDescent="0.25">
      <c r="C123" s="25"/>
      <c r="D123" s="20"/>
      <c r="E123" s="531"/>
      <c r="F123" s="531"/>
      <c r="G123" s="531"/>
      <c r="H123" s="20" t="s">
        <v>93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73"/>
    </row>
    <row r="124" spans="3:60" x14ac:dyDescent="0.25">
      <c r="C124" s="25"/>
      <c r="D124" s="20"/>
      <c r="E124" s="20"/>
      <c r="F124" s="20"/>
      <c r="G124" s="20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73"/>
    </row>
    <row r="125" spans="3:60" x14ac:dyDescent="0.25">
      <c r="C125" s="25"/>
      <c r="D125" s="22">
        <v>9</v>
      </c>
      <c r="E125" s="20" t="s">
        <v>94</v>
      </c>
      <c r="F125" s="20"/>
      <c r="G125" s="20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58" t="s">
        <v>105</v>
      </c>
      <c r="AE125" s="59">
        <v>7</v>
      </c>
      <c r="AF125" s="5" t="s">
        <v>112</v>
      </c>
      <c r="AG125" s="59">
        <v>8</v>
      </c>
      <c r="AH125" s="60" t="s">
        <v>111</v>
      </c>
      <c r="AI125" s="3"/>
      <c r="AJ125" s="3"/>
      <c r="AK125" s="3"/>
      <c r="AL125" s="3"/>
      <c r="AM125" s="3"/>
      <c r="AN125" s="3"/>
      <c r="AO125" s="3"/>
      <c r="AP125" s="3"/>
      <c r="AQ125" s="519">
        <f>AQ117-AQ119</f>
        <v>28245000</v>
      </c>
      <c r="AR125" s="520"/>
      <c r="AS125" s="520"/>
      <c r="AT125" s="520"/>
      <c r="AU125" s="520"/>
      <c r="AV125" s="520"/>
      <c r="AW125" s="520"/>
      <c r="AX125" s="520"/>
      <c r="AY125" s="520"/>
      <c r="AZ125" s="520"/>
      <c r="BA125" s="520"/>
      <c r="BB125" s="87"/>
    </row>
    <row r="126" spans="3:60" ht="3" customHeight="1" x14ac:dyDescent="0.25">
      <c r="C126" s="25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73"/>
    </row>
    <row r="127" spans="3:60" ht="3" customHeight="1" x14ac:dyDescent="0.25">
      <c r="C127" s="56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  <c r="AJ127" s="57"/>
      <c r="AK127" s="57"/>
      <c r="AL127" s="57"/>
      <c r="AM127" s="57"/>
      <c r="AN127" s="57"/>
      <c r="AO127" s="57"/>
      <c r="AP127" s="57"/>
      <c r="AQ127" s="57"/>
      <c r="AR127" s="57"/>
      <c r="AS127" s="57"/>
      <c r="AT127" s="57"/>
      <c r="AU127" s="57"/>
      <c r="AV127" s="57"/>
      <c r="AW127" s="57"/>
      <c r="AX127" s="57"/>
      <c r="AY127" s="57"/>
      <c r="AZ127" s="57"/>
      <c r="BA127" s="57"/>
      <c r="BB127" s="85"/>
    </row>
    <row r="128" spans="3:60" x14ac:dyDescent="0.25">
      <c r="C128" s="37" t="s">
        <v>95</v>
      </c>
      <c r="D128" s="52" t="s">
        <v>96</v>
      </c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52"/>
      <c r="AK128" s="52"/>
      <c r="AL128" s="52"/>
      <c r="AM128" s="52"/>
      <c r="AN128" s="52"/>
      <c r="AO128" s="52"/>
      <c r="AP128" s="52"/>
      <c r="AQ128" s="52"/>
      <c r="AR128" s="52"/>
      <c r="AS128" s="52"/>
      <c r="AT128" s="52"/>
      <c r="AU128" s="52"/>
      <c r="AV128" s="52"/>
      <c r="AW128" s="52"/>
      <c r="AX128" s="52"/>
      <c r="AY128" s="52"/>
      <c r="AZ128" s="52"/>
      <c r="BA128" s="52"/>
      <c r="BB128" s="86"/>
    </row>
    <row r="129" spans="3:54" ht="3" customHeight="1" x14ac:dyDescent="0.25">
      <c r="C129" s="35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77"/>
    </row>
    <row r="130" spans="3:54" ht="3" customHeight="1" x14ac:dyDescent="0.25">
      <c r="C130" s="25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73"/>
    </row>
    <row r="131" spans="3:54" x14ac:dyDescent="0.25">
      <c r="C131" s="25"/>
      <c r="D131" s="22">
        <v>10</v>
      </c>
      <c r="E131" s="22" t="s">
        <v>53</v>
      </c>
      <c r="F131" s="20"/>
      <c r="G131" s="15" t="s">
        <v>97</v>
      </c>
      <c r="H131" s="15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3"/>
      <c r="AO131" s="3"/>
      <c r="AP131" s="3"/>
      <c r="AQ131" s="525">
        <f>'Lampiran 1.3'!AG100</f>
        <v>26370000</v>
      </c>
      <c r="AR131" s="525"/>
      <c r="AS131" s="525"/>
      <c r="AT131" s="525"/>
      <c r="AU131" s="525"/>
      <c r="AV131" s="525"/>
      <c r="AW131" s="525"/>
      <c r="AX131" s="525"/>
      <c r="AY131" s="525"/>
      <c r="AZ131" s="525"/>
      <c r="BA131" s="525"/>
      <c r="BB131" s="87"/>
    </row>
    <row r="132" spans="3:54" ht="3" customHeight="1" x14ac:dyDescent="0.25">
      <c r="C132" s="25"/>
      <c r="D132" s="20"/>
      <c r="E132" s="20"/>
      <c r="F132" s="20"/>
      <c r="G132" s="20"/>
      <c r="H132" s="20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73"/>
    </row>
    <row r="133" spans="3:54" x14ac:dyDescent="0.25">
      <c r="C133" s="25"/>
      <c r="D133" s="20"/>
      <c r="E133" s="531"/>
      <c r="F133" s="531"/>
      <c r="G133" s="531"/>
      <c r="H133" s="20" t="s">
        <v>55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73"/>
    </row>
    <row r="134" spans="3:54" ht="3" customHeight="1" x14ac:dyDescent="0.25">
      <c r="C134" s="25"/>
      <c r="D134" s="20"/>
      <c r="E134" s="21"/>
      <c r="F134" s="21"/>
      <c r="G134" s="21"/>
      <c r="H134" s="20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73"/>
    </row>
    <row r="135" spans="3:54" x14ac:dyDescent="0.25">
      <c r="C135" s="25"/>
      <c r="D135" s="20"/>
      <c r="E135" s="531"/>
      <c r="F135" s="531"/>
      <c r="G135" s="531"/>
      <c r="H135" s="20" t="s">
        <v>98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73"/>
    </row>
    <row r="136" spans="3:54" ht="3" customHeight="1" x14ac:dyDescent="0.25">
      <c r="C136" s="25"/>
      <c r="D136" s="20"/>
      <c r="E136" s="20"/>
      <c r="F136" s="20"/>
      <c r="G136" s="20"/>
      <c r="H136" s="20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73"/>
    </row>
    <row r="137" spans="3:54" x14ac:dyDescent="0.25">
      <c r="C137" s="25"/>
      <c r="D137" s="20"/>
      <c r="E137" s="22" t="s">
        <v>57</v>
      </c>
      <c r="F137" s="20"/>
      <c r="G137" s="20" t="s">
        <v>592</v>
      </c>
      <c r="H137" s="20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525">
        <v>0</v>
      </c>
      <c r="AR137" s="525"/>
      <c r="AS137" s="525"/>
      <c r="AT137" s="525"/>
      <c r="AU137" s="525"/>
      <c r="AV137" s="525"/>
      <c r="AW137" s="525"/>
      <c r="AX137" s="525"/>
      <c r="AY137" s="525"/>
      <c r="AZ137" s="525"/>
      <c r="BA137" s="525"/>
      <c r="BB137" s="87"/>
    </row>
    <row r="138" spans="3:54" ht="3" customHeight="1" x14ac:dyDescent="0.25">
      <c r="C138" s="25"/>
      <c r="D138" s="20"/>
      <c r="E138" s="22"/>
      <c r="F138" s="20"/>
      <c r="G138" s="20"/>
      <c r="H138" s="20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73"/>
    </row>
    <row r="139" spans="3:54" x14ac:dyDescent="0.25">
      <c r="C139" s="25"/>
      <c r="D139" s="20"/>
      <c r="E139" s="22" t="s">
        <v>104</v>
      </c>
      <c r="F139" s="20"/>
      <c r="G139" s="20" t="s">
        <v>99</v>
      </c>
      <c r="H139" s="20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525">
        <v>0</v>
      </c>
      <c r="AR139" s="525"/>
      <c r="AS139" s="525"/>
      <c r="AT139" s="525"/>
      <c r="AU139" s="525"/>
      <c r="AV139" s="525"/>
      <c r="AW139" s="525"/>
      <c r="AX139" s="525"/>
      <c r="AY139" s="525"/>
      <c r="AZ139" s="525"/>
      <c r="BA139" s="525"/>
      <c r="BB139" s="87"/>
    </row>
    <row r="140" spans="3:54" ht="3" customHeight="1" x14ac:dyDescent="0.25">
      <c r="C140" s="25"/>
      <c r="D140" s="20"/>
      <c r="E140" s="22"/>
      <c r="F140" s="20"/>
      <c r="G140" s="20"/>
      <c r="H140" s="20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87"/>
    </row>
    <row r="141" spans="3:54" x14ac:dyDescent="0.25">
      <c r="C141" s="25"/>
      <c r="D141" s="20"/>
      <c r="E141" s="22" t="s">
        <v>100</v>
      </c>
      <c r="F141" s="20"/>
      <c r="G141" s="15" t="s">
        <v>101</v>
      </c>
      <c r="H141" s="15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3"/>
      <c r="AO141" s="3"/>
      <c r="AP141" s="3"/>
      <c r="AQ141" s="520"/>
      <c r="AR141" s="520"/>
      <c r="AS141" s="520"/>
      <c r="AT141" s="520"/>
      <c r="AU141" s="520"/>
      <c r="AV141" s="520"/>
      <c r="AW141" s="520"/>
      <c r="AX141" s="520"/>
      <c r="AY141" s="520"/>
      <c r="AZ141" s="520"/>
      <c r="BA141" s="520"/>
      <c r="BB141" s="87"/>
    </row>
    <row r="142" spans="3:54" x14ac:dyDescent="0.25">
      <c r="C142" s="25"/>
      <c r="D142" s="20"/>
      <c r="E142" s="20"/>
      <c r="F142" s="20"/>
      <c r="G142" s="15" t="s">
        <v>102</v>
      </c>
      <c r="H142" s="15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73"/>
    </row>
    <row r="143" spans="3:54" ht="3" customHeight="1" x14ac:dyDescent="0.25">
      <c r="C143" s="25"/>
      <c r="D143" s="20"/>
      <c r="E143" s="20"/>
      <c r="F143" s="20"/>
      <c r="G143" s="20"/>
      <c r="H143" s="20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73"/>
    </row>
    <row r="144" spans="3:54" x14ac:dyDescent="0.25">
      <c r="C144" s="25"/>
      <c r="D144" s="20"/>
      <c r="E144" s="531"/>
      <c r="F144" s="531"/>
      <c r="G144" s="531"/>
      <c r="H144" s="20" t="s">
        <v>55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73"/>
    </row>
    <row r="145" spans="3:54" ht="3" customHeight="1" x14ac:dyDescent="0.25">
      <c r="C145" s="25"/>
      <c r="D145" s="20"/>
      <c r="E145" s="21"/>
      <c r="F145" s="21"/>
      <c r="G145" s="21"/>
      <c r="H145" s="20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73"/>
    </row>
    <row r="146" spans="3:54" x14ac:dyDescent="0.25">
      <c r="C146" s="25"/>
      <c r="D146" s="20"/>
      <c r="E146" s="531"/>
      <c r="F146" s="531"/>
      <c r="G146" s="531"/>
      <c r="H146" s="20" t="s">
        <v>103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73"/>
    </row>
    <row r="147" spans="3:54" x14ac:dyDescent="0.25">
      <c r="C147" s="61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  <c r="AN147" s="62"/>
      <c r="AO147" s="62"/>
      <c r="AP147" s="62"/>
      <c r="AQ147" s="62"/>
      <c r="AR147" s="62"/>
      <c r="AS147" s="62"/>
      <c r="AT147" s="62"/>
      <c r="AU147" s="62"/>
      <c r="AV147" s="62"/>
      <c r="AW147" s="62"/>
      <c r="AX147" s="62"/>
      <c r="AY147" s="62"/>
      <c r="AZ147" s="62"/>
      <c r="BA147" s="62"/>
      <c r="BB147" s="88"/>
    </row>
  </sheetData>
  <mergeCells count="90">
    <mergeCell ref="D17:E18"/>
    <mergeCell ref="G17:I18"/>
    <mergeCell ref="D23:M23"/>
    <mergeCell ref="E26:M26"/>
    <mergeCell ref="E27:M27"/>
    <mergeCell ref="E35:M35"/>
    <mergeCell ref="E36:M36"/>
    <mergeCell ref="E37:M37"/>
    <mergeCell ref="P28:AF28"/>
    <mergeCell ref="E29:M29"/>
    <mergeCell ref="E30:M30"/>
    <mergeCell ref="E31:M31"/>
    <mergeCell ref="E32:M32"/>
    <mergeCell ref="E33:M33"/>
    <mergeCell ref="E34:M34"/>
    <mergeCell ref="E28:M28"/>
    <mergeCell ref="Z30:AB30"/>
    <mergeCell ref="P32:AF32"/>
    <mergeCell ref="P34:AF34"/>
    <mergeCell ref="P36:AF36"/>
    <mergeCell ref="H77:I77"/>
    <mergeCell ref="H79:I79"/>
    <mergeCell ref="H81:I81"/>
    <mergeCell ref="E85:G85"/>
    <mergeCell ref="H51:I51"/>
    <mergeCell ref="H53:I53"/>
    <mergeCell ref="H58:I58"/>
    <mergeCell ref="H60:I60"/>
    <mergeCell ref="H63:I63"/>
    <mergeCell ref="H67:I67"/>
    <mergeCell ref="E133:G133"/>
    <mergeCell ref="E135:G135"/>
    <mergeCell ref="E144:G144"/>
    <mergeCell ref="E146:G146"/>
    <mergeCell ref="AQ42:BA42"/>
    <mergeCell ref="E107:G107"/>
    <mergeCell ref="E109:G109"/>
    <mergeCell ref="E121:G121"/>
    <mergeCell ref="E123:G123"/>
    <mergeCell ref="H87:I87"/>
    <mergeCell ref="H89:I89"/>
    <mergeCell ref="E91:G91"/>
    <mergeCell ref="H93:I93"/>
    <mergeCell ref="H95:I95"/>
    <mergeCell ref="H69:I69"/>
    <mergeCell ref="H72:I72"/>
    <mergeCell ref="P7:X8"/>
    <mergeCell ref="AR4:AY7"/>
    <mergeCell ref="AR8:AY8"/>
    <mergeCell ref="AE113:AL113"/>
    <mergeCell ref="AQ115:BA115"/>
    <mergeCell ref="D39:Q39"/>
    <mergeCell ref="E42:G42"/>
    <mergeCell ref="E48:G48"/>
    <mergeCell ref="H44:I44"/>
    <mergeCell ref="H46:I46"/>
    <mergeCell ref="AR28:AX28"/>
    <mergeCell ref="AJ28:AO28"/>
    <mergeCell ref="O17:P18"/>
    <mergeCell ref="K17:M18"/>
    <mergeCell ref="Q30:R30"/>
    <mergeCell ref="U30:W30"/>
    <mergeCell ref="AQ137:BA137"/>
    <mergeCell ref="AQ139:BA139"/>
    <mergeCell ref="AQ141:BA141"/>
    <mergeCell ref="AQ83:BA83"/>
    <mergeCell ref="AQ85:BA85"/>
    <mergeCell ref="AQ91:BA91"/>
    <mergeCell ref="AQ101:BA101"/>
    <mergeCell ref="AQ103:BA103"/>
    <mergeCell ref="AQ111:BA111"/>
    <mergeCell ref="AQ113:BA113"/>
    <mergeCell ref="AQ117:BA117"/>
    <mergeCell ref="AQ119:BA119"/>
    <mergeCell ref="AQ131:BA131"/>
    <mergeCell ref="AJ26:AZ26"/>
    <mergeCell ref="U11:Y11"/>
    <mergeCell ref="AB11:AF11"/>
    <mergeCell ref="AR11:BA11"/>
    <mergeCell ref="AQ125:BA125"/>
    <mergeCell ref="AI11:AO11"/>
    <mergeCell ref="U17:U18"/>
    <mergeCell ref="V17:V18"/>
    <mergeCell ref="X17:X18"/>
    <mergeCell ref="Y17:Y18"/>
    <mergeCell ref="W17:W18"/>
    <mergeCell ref="X13:Y14"/>
    <mergeCell ref="X15:Y16"/>
    <mergeCell ref="U13:V14"/>
    <mergeCell ref="U15:V16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308F0-67B2-431E-AB84-7B0D678E80A8}">
  <sheetPr>
    <pageSetUpPr fitToPage="1"/>
  </sheetPr>
  <dimension ref="B3:BC151"/>
  <sheetViews>
    <sheetView showGridLines="0" topLeftCell="A125" zoomScale="85" zoomScaleNormal="85" workbookViewId="0">
      <selection activeCell="G108" sqref="G108:H108"/>
    </sheetView>
  </sheetViews>
  <sheetFormatPr defaultRowHeight="15" x14ac:dyDescent="0.25"/>
  <cols>
    <col min="2" max="2" width="5.28515625" customWidth="1"/>
    <col min="3" max="5" width="3.5703125" customWidth="1"/>
    <col min="6" max="6" width="0.28515625" customWidth="1"/>
    <col min="7" max="7" width="1.7109375" customWidth="1"/>
    <col min="8" max="8" width="2.5703125" customWidth="1"/>
    <col min="9" max="9" width="3.5703125" customWidth="1"/>
    <col min="10" max="10" width="0.28515625" customWidth="1"/>
    <col min="11" max="11" width="3.5703125" customWidth="1"/>
    <col min="12" max="12" width="0.5703125" customWidth="1"/>
    <col min="13" max="13" width="4.7109375" customWidth="1"/>
    <col min="14" max="14" width="0.28515625" customWidth="1"/>
    <col min="15" max="15" width="3.5703125" customWidth="1"/>
    <col min="16" max="16" width="4.28515625" customWidth="1"/>
    <col min="17" max="19" width="3.5703125" customWidth="1"/>
    <col min="20" max="20" width="3.42578125" customWidth="1"/>
    <col min="21" max="22" width="3.5703125" customWidth="1"/>
    <col min="23" max="23" width="4.42578125" customWidth="1"/>
    <col min="24" max="24" width="3.5703125" customWidth="1"/>
    <col min="25" max="25" width="4.28515625" customWidth="1"/>
    <col min="26" max="30" width="3.5703125" customWidth="1"/>
    <col min="31" max="31" width="3.7109375" customWidth="1"/>
    <col min="32" max="32" width="4.28515625" customWidth="1"/>
    <col min="33" max="36" width="3.5703125" customWidth="1"/>
    <col min="37" max="37" width="4.42578125" customWidth="1"/>
    <col min="38" max="40" width="3.5703125" customWidth="1"/>
    <col min="41" max="41" width="4.28515625" customWidth="1"/>
    <col min="42" max="43" width="3.5703125" customWidth="1"/>
    <col min="44" max="44" width="3" customWidth="1"/>
    <col min="45" max="45" width="3.7109375" customWidth="1"/>
    <col min="46" max="46" width="4.7109375" customWidth="1"/>
    <col min="47" max="55" width="3.5703125" customWidth="1"/>
    <col min="56" max="56" width="6" customWidth="1"/>
    <col min="57" max="57" width="3.5703125" customWidth="1"/>
    <col min="58" max="58" width="8.28515625" customWidth="1"/>
  </cols>
  <sheetData>
    <row r="3" spans="2:54" ht="14.65" customHeight="1" x14ac:dyDescent="0.25">
      <c r="C3" s="94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2"/>
      <c r="AQ3" s="122"/>
      <c r="AR3" s="122"/>
      <c r="AS3" s="122"/>
      <c r="AT3" s="122"/>
      <c r="AU3" s="122"/>
      <c r="AV3" s="122"/>
      <c r="AW3" s="122"/>
      <c r="AX3" s="122"/>
      <c r="AY3" s="122"/>
      <c r="AZ3" s="122"/>
      <c r="BA3" s="122"/>
      <c r="BB3" s="123"/>
    </row>
    <row r="4" spans="2:54" ht="14.65" customHeight="1" x14ac:dyDescent="0.35">
      <c r="C4" s="90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9" t="s">
        <v>585</v>
      </c>
      <c r="Q4" s="9"/>
      <c r="R4" s="9"/>
      <c r="S4" s="9"/>
      <c r="T4" s="9"/>
      <c r="U4" s="9"/>
      <c r="V4" s="9"/>
      <c r="W4" s="10"/>
      <c r="X4" s="10"/>
      <c r="Y4" s="1"/>
      <c r="Z4" s="1"/>
      <c r="AA4" s="1"/>
      <c r="AB4" s="11" t="s">
        <v>0</v>
      </c>
      <c r="AC4" s="12"/>
      <c r="AD4" s="12"/>
      <c r="AE4" s="13"/>
      <c r="AF4" s="13"/>
      <c r="AG4" s="13"/>
      <c r="AH4" s="13"/>
      <c r="AI4" s="13"/>
      <c r="AJ4" s="1"/>
      <c r="AK4" s="1"/>
      <c r="AL4" s="1"/>
      <c r="AM4" s="1"/>
      <c r="AN4" s="1"/>
      <c r="AO4" s="1"/>
      <c r="AP4" s="1"/>
      <c r="AQ4" s="1"/>
      <c r="AR4" s="527" t="s">
        <v>1</v>
      </c>
      <c r="AS4" s="527"/>
      <c r="AT4" s="527"/>
      <c r="AU4" s="527"/>
      <c r="AV4" s="527"/>
      <c r="AW4" s="527"/>
      <c r="AX4" s="527"/>
      <c r="AY4" s="527"/>
      <c r="BB4" s="69"/>
    </row>
    <row r="5" spans="2:54" ht="2.1" customHeight="1" x14ac:dyDescent="0.35">
      <c r="C5" s="90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9"/>
      <c r="Q5" s="9"/>
      <c r="R5" s="9"/>
      <c r="S5" s="9"/>
      <c r="T5" s="9"/>
      <c r="U5" s="9"/>
      <c r="V5" s="9"/>
      <c r="W5" s="9"/>
      <c r="X5" s="10"/>
      <c r="Y5" s="1"/>
      <c r="Z5" s="1"/>
      <c r="AA5" s="1"/>
      <c r="AB5" s="11"/>
      <c r="AC5" s="12"/>
      <c r="AD5" s="12"/>
      <c r="AE5" s="13"/>
      <c r="AF5" s="13"/>
      <c r="AG5" s="13"/>
      <c r="AH5" s="13"/>
      <c r="AI5" s="13"/>
      <c r="AJ5" s="1"/>
      <c r="AK5" s="1"/>
      <c r="AL5" s="1"/>
      <c r="AM5" s="1"/>
      <c r="AN5" s="1"/>
      <c r="AO5" s="1"/>
      <c r="AP5" s="1"/>
      <c r="AQ5" s="1"/>
      <c r="AR5" s="527"/>
      <c r="AS5" s="527"/>
      <c r="AT5" s="527"/>
      <c r="AU5" s="527"/>
      <c r="AV5" s="527"/>
      <c r="AW5" s="527"/>
      <c r="AX5" s="527"/>
      <c r="AY5" s="527"/>
      <c r="BB5" s="69"/>
    </row>
    <row r="6" spans="2:54" ht="14.65" customHeight="1" x14ac:dyDescent="0.35">
      <c r="C6" s="90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9" t="s">
        <v>2</v>
      </c>
      <c r="Q6" s="9"/>
      <c r="R6" s="9"/>
      <c r="S6" s="9"/>
      <c r="T6" s="9"/>
      <c r="U6" s="9"/>
      <c r="V6" s="9"/>
      <c r="W6" s="9"/>
      <c r="X6" s="10"/>
      <c r="Y6" s="1"/>
      <c r="Z6" s="1"/>
      <c r="AA6" s="1"/>
      <c r="AB6" s="11" t="s">
        <v>3</v>
      </c>
      <c r="AC6" s="12"/>
      <c r="AD6" s="12"/>
      <c r="AE6" s="13"/>
      <c r="AF6" s="13"/>
      <c r="AG6" s="13"/>
      <c r="AH6" s="13"/>
      <c r="AI6" s="13"/>
      <c r="AJ6" s="1"/>
      <c r="AK6" s="1"/>
      <c r="AL6" s="1"/>
      <c r="AM6" s="1"/>
      <c r="AN6" s="1"/>
      <c r="AO6" s="1"/>
      <c r="AP6" s="1"/>
      <c r="AQ6" s="1"/>
      <c r="AR6" s="527"/>
      <c r="AS6" s="527"/>
      <c r="AT6" s="527"/>
      <c r="AU6" s="527"/>
      <c r="AV6" s="527"/>
      <c r="AW6" s="527"/>
      <c r="AX6" s="527"/>
      <c r="AY6" s="527"/>
      <c r="BB6" s="69"/>
    </row>
    <row r="7" spans="2:54" ht="2.1" customHeight="1" x14ac:dyDescent="0.35">
      <c r="C7" s="90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526" t="s">
        <v>4</v>
      </c>
      <c r="Q7" s="526"/>
      <c r="R7" s="526"/>
      <c r="S7" s="526"/>
      <c r="T7" s="526"/>
      <c r="U7" s="526"/>
      <c r="V7" s="526"/>
      <c r="W7" s="526"/>
      <c r="X7" s="526"/>
      <c r="Y7" s="1"/>
      <c r="Z7" s="1"/>
      <c r="AA7" s="1"/>
      <c r="AB7" s="11"/>
      <c r="AC7" s="12"/>
      <c r="AD7" s="12"/>
      <c r="AE7" s="13"/>
      <c r="AF7" s="13"/>
      <c r="AG7" s="13"/>
      <c r="AH7" s="13"/>
      <c r="AI7" s="13"/>
      <c r="AJ7" s="1"/>
      <c r="AK7" s="1"/>
      <c r="AL7" s="1"/>
      <c r="AM7" s="1"/>
      <c r="AN7" s="1"/>
      <c r="AO7" s="1"/>
      <c r="AP7" s="1"/>
      <c r="AQ7" s="1"/>
      <c r="AR7" s="527"/>
      <c r="AS7" s="527"/>
      <c r="AT7" s="527"/>
      <c r="AU7" s="527"/>
      <c r="AV7" s="527"/>
      <c r="AW7" s="527"/>
      <c r="AX7" s="527"/>
      <c r="AY7" s="527"/>
      <c r="BB7" s="69"/>
    </row>
    <row r="8" spans="2:54" ht="18.600000000000001" customHeight="1" x14ac:dyDescent="0.35">
      <c r="C8" s="90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526"/>
      <c r="Q8" s="526"/>
      <c r="R8" s="526"/>
      <c r="S8" s="526"/>
      <c r="T8" s="526"/>
      <c r="U8" s="526"/>
      <c r="V8" s="526"/>
      <c r="W8" s="526"/>
      <c r="X8" s="526"/>
      <c r="Y8" s="1"/>
      <c r="Z8" s="1"/>
      <c r="AA8" s="1"/>
      <c r="AB8" s="11" t="s">
        <v>5</v>
      </c>
      <c r="AC8" s="12"/>
      <c r="AD8" s="12"/>
      <c r="AE8" s="13"/>
      <c r="AF8" s="13"/>
      <c r="AG8" s="13"/>
      <c r="AH8" s="13"/>
      <c r="AI8" s="13"/>
      <c r="AJ8" s="1"/>
      <c r="AK8" s="1"/>
      <c r="AL8" s="1"/>
      <c r="AM8" s="1"/>
      <c r="AN8" s="1"/>
      <c r="AO8" s="1"/>
      <c r="AP8" s="1"/>
      <c r="AQ8" s="1"/>
      <c r="AR8" s="528" t="s">
        <v>114</v>
      </c>
      <c r="AS8" s="528"/>
      <c r="AT8" s="528"/>
      <c r="AU8" s="528"/>
      <c r="AV8" s="528"/>
      <c r="AW8" s="528"/>
      <c r="AX8" s="528"/>
      <c r="AY8" s="528"/>
      <c r="BB8" s="69"/>
    </row>
    <row r="9" spans="2:54" x14ac:dyDescent="0.25">
      <c r="C9" s="90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70"/>
    </row>
    <row r="10" spans="2:54" ht="4.5" customHeight="1" x14ac:dyDescent="0.25">
      <c r="C10" s="124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78"/>
    </row>
    <row r="11" spans="2:54" ht="18" customHeight="1" x14ac:dyDescent="0.25">
      <c r="B11" s="115"/>
      <c r="C11" s="125" t="s">
        <v>119</v>
      </c>
      <c r="D11" s="110" t="s">
        <v>120</v>
      </c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113"/>
      <c r="BB11" s="113"/>
    </row>
    <row r="12" spans="2:54" s="1" customFormat="1" ht="3" customHeight="1" x14ac:dyDescent="0.25">
      <c r="B12" s="117"/>
      <c r="C12" s="126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85"/>
    </row>
    <row r="13" spans="2:54" ht="4.5" customHeight="1" x14ac:dyDescent="0.25">
      <c r="B13" s="115"/>
      <c r="C13" s="127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114"/>
    </row>
    <row r="14" spans="2:54" x14ac:dyDescent="0.25">
      <c r="B14" s="115"/>
      <c r="C14" s="127"/>
      <c r="D14" s="17">
        <v>11</v>
      </c>
      <c r="E14" s="530" t="s">
        <v>53</v>
      </c>
      <c r="F14" s="530"/>
      <c r="G14" s="530"/>
      <c r="H14" s="21"/>
      <c r="I14" s="20" t="s">
        <v>113</v>
      </c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146" t="s">
        <v>105</v>
      </c>
      <c r="AE14" s="22">
        <v>9</v>
      </c>
      <c r="AF14" s="145" t="s">
        <v>112</v>
      </c>
      <c r="AG14" s="22" t="s">
        <v>185</v>
      </c>
      <c r="AH14" s="145" t="s">
        <v>112</v>
      </c>
      <c r="AI14" s="22" t="s">
        <v>184</v>
      </c>
      <c r="AJ14" s="145" t="s">
        <v>112</v>
      </c>
      <c r="AK14" s="22" t="s">
        <v>183</v>
      </c>
      <c r="AL14" s="145" t="s">
        <v>107</v>
      </c>
      <c r="AM14" s="22" t="s">
        <v>182</v>
      </c>
      <c r="AN14" s="20" t="s">
        <v>111</v>
      </c>
      <c r="AO14" s="20"/>
      <c r="AP14" s="20"/>
      <c r="AQ14" s="554">
        <f>'INDUK 1'!AQ125-'INDUK 1'!AQ131-'INDUK 1'!AQ137-'INDUK 1'!AQ139-'INDUK 1'!AQ141</f>
        <v>1875000</v>
      </c>
      <c r="AR14" s="554"/>
      <c r="AS14" s="554"/>
      <c r="AT14" s="554"/>
      <c r="AU14" s="554"/>
      <c r="AV14" s="554"/>
      <c r="AW14" s="554"/>
      <c r="AX14" s="554"/>
      <c r="AY14" s="554"/>
      <c r="AZ14" s="554"/>
      <c r="BA14" s="554"/>
      <c r="BB14" s="72"/>
    </row>
    <row r="15" spans="2:54" ht="3" customHeight="1" x14ac:dyDescent="0.25">
      <c r="B15" s="115"/>
      <c r="C15" s="127"/>
      <c r="D15" s="20"/>
      <c r="E15" s="21"/>
      <c r="F15" s="21"/>
      <c r="G15" s="21"/>
      <c r="H15" s="21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114"/>
    </row>
    <row r="16" spans="2:54" ht="3" customHeight="1" x14ac:dyDescent="0.25">
      <c r="B16" s="115"/>
      <c r="C16" s="127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114"/>
    </row>
    <row r="17" spans="2:54" x14ac:dyDescent="0.25">
      <c r="B17" s="115"/>
      <c r="C17" s="127"/>
      <c r="D17" s="20"/>
      <c r="E17" s="530" t="s">
        <v>57</v>
      </c>
      <c r="F17" s="530"/>
      <c r="G17" s="530"/>
      <c r="H17" s="18"/>
      <c r="I17" s="15" t="s">
        <v>593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20"/>
      <c r="AP17" s="20"/>
      <c r="AQ17" s="555"/>
      <c r="AR17" s="555"/>
      <c r="AS17" s="555"/>
      <c r="AT17" s="555"/>
      <c r="AU17" s="555"/>
      <c r="AV17" s="555"/>
      <c r="AW17" s="555"/>
      <c r="AX17" s="555"/>
      <c r="AY17" s="555"/>
      <c r="AZ17" s="555"/>
      <c r="BA17" s="555"/>
      <c r="BB17" s="114"/>
    </row>
    <row r="18" spans="2:54" x14ac:dyDescent="0.25">
      <c r="B18" s="115"/>
      <c r="C18" s="127"/>
      <c r="D18" s="20"/>
      <c r="E18" s="20"/>
      <c r="F18" s="20"/>
      <c r="G18" s="20"/>
      <c r="H18" s="15"/>
      <c r="I18" s="15" t="s">
        <v>594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114"/>
    </row>
    <row r="19" spans="2:54" ht="3" customHeight="1" x14ac:dyDescent="0.25">
      <c r="B19" s="115"/>
      <c r="C19" s="127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114"/>
    </row>
    <row r="20" spans="2:54" x14ac:dyDescent="0.25">
      <c r="B20" s="115"/>
      <c r="C20" s="127"/>
      <c r="D20" s="20"/>
      <c r="E20" s="20"/>
      <c r="F20" s="20"/>
      <c r="G20" s="20"/>
      <c r="H20" s="555" t="s">
        <v>1213</v>
      </c>
      <c r="I20" s="555"/>
      <c r="J20" s="20"/>
      <c r="K20" s="20" t="s">
        <v>115</v>
      </c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114"/>
    </row>
    <row r="21" spans="2:54" ht="3" customHeight="1" x14ac:dyDescent="0.25">
      <c r="B21" s="115"/>
      <c r="C21" s="127"/>
      <c r="D21" s="20"/>
      <c r="E21" s="20"/>
      <c r="F21" s="20"/>
      <c r="G21" s="20"/>
      <c r="H21" s="21"/>
      <c r="I21" s="21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114"/>
    </row>
    <row r="22" spans="2:54" x14ac:dyDescent="0.25">
      <c r="B22" s="115"/>
      <c r="C22" s="127"/>
      <c r="D22" s="20"/>
      <c r="E22" s="20"/>
      <c r="F22" s="20"/>
      <c r="G22" s="20"/>
      <c r="H22" s="555"/>
      <c r="I22" s="555"/>
      <c r="J22" s="20"/>
      <c r="K22" s="20" t="s">
        <v>116</v>
      </c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114"/>
    </row>
    <row r="23" spans="2:54" x14ac:dyDescent="0.25">
      <c r="B23" s="115"/>
      <c r="C23" s="127"/>
      <c r="D23" s="20"/>
      <c r="E23" s="20"/>
      <c r="F23" s="20"/>
      <c r="G23" s="20"/>
      <c r="H23" s="21"/>
      <c r="I23" s="21"/>
      <c r="J23" s="20"/>
      <c r="K23" s="20" t="s">
        <v>117</v>
      </c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114"/>
    </row>
    <row r="24" spans="2:54" ht="3" customHeight="1" x14ac:dyDescent="0.25">
      <c r="B24" s="115"/>
      <c r="C24" s="127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114"/>
    </row>
    <row r="25" spans="2:54" x14ac:dyDescent="0.25">
      <c r="B25" s="115"/>
      <c r="C25" s="127"/>
      <c r="D25" s="20"/>
      <c r="E25" s="530" t="s">
        <v>104</v>
      </c>
      <c r="F25" s="530"/>
      <c r="G25" s="530"/>
      <c r="H25" s="20"/>
      <c r="I25" s="20" t="s">
        <v>118</v>
      </c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146" t="s">
        <v>105</v>
      </c>
      <c r="AH25" s="22" t="s">
        <v>186</v>
      </c>
      <c r="AI25" s="145" t="s">
        <v>112</v>
      </c>
      <c r="AJ25" s="22" t="s">
        <v>187</v>
      </c>
      <c r="AK25" s="20" t="s">
        <v>111</v>
      </c>
      <c r="AL25" s="20"/>
      <c r="AM25" s="20"/>
      <c r="AN25" s="20"/>
      <c r="AO25" s="20"/>
      <c r="AP25" s="20"/>
      <c r="AQ25" s="556">
        <f>AQ14-AQ17</f>
        <v>1875000</v>
      </c>
      <c r="AR25" s="555"/>
      <c r="AS25" s="555"/>
      <c r="AT25" s="555"/>
      <c r="AU25" s="555"/>
      <c r="AV25" s="555"/>
      <c r="AW25" s="555"/>
      <c r="AX25" s="555"/>
      <c r="AY25" s="555"/>
      <c r="AZ25" s="555"/>
      <c r="BA25" s="555"/>
      <c r="BB25" s="114"/>
    </row>
    <row r="26" spans="2:54" ht="3" customHeight="1" x14ac:dyDescent="0.25">
      <c r="B26" s="115"/>
      <c r="C26" s="127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114"/>
    </row>
    <row r="27" spans="2:54" ht="3" customHeight="1" x14ac:dyDescent="0.25">
      <c r="B27" s="115"/>
      <c r="C27" s="124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  <c r="AG27" s="115"/>
      <c r="AH27" s="115"/>
      <c r="AI27" s="115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6"/>
    </row>
    <row r="28" spans="2:54" ht="17.649999999999999" customHeight="1" x14ac:dyDescent="0.25">
      <c r="B28" s="115"/>
      <c r="C28" s="125" t="s">
        <v>121</v>
      </c>
      <c r="D28" s="110" t="s">
        <v>595</v>
      </c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113"/>
      <c r="BB28" s="113"/>
    </row>
    <row r="29" spans="2:54" ht="3" customHeight="1" x14ac:dyDescent="0.25">
      <c r="B29" s="115"/>
      <c r="C29" s="126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85"/>
    </row>
    <row r="30" spans="2:54" ht="3" customHeight="1" x14ac:dyDescent="0.25">
      <c r="B30" s="115"/>
      <c r="C30" s="127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114"/>
    </row>
    <row r="31" spans="2:54" x14ac:dyDescent="0.25">
      <c r="B31" s="115"/>
      <c r="C31" s="127"/>
      <c r="D31" s="17">
        <v>12</v>
      </c>
      <c r="E31" s="518" t="s">
        <v>53</v>
      </c>
      <c r="F31" s="518"/>
      <c r="G31" s="518"/>
      <c r="H31" s="20"/>
      <c r="I31" s="20" t="s">
        <v>122</v>
      </c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147"/>
      <c r="AH31" s="130" t="s">
        <v>188</v>
      </c>
      <c r="AI31" s="20"/>
      <c r="AJ31" s="20"/>
      <c r="AK31" s="20"/>
      <c r="AL31" s="20"/>
      <c r="AM31" s="20"/>
      <c r="AN31" s="20"/>
      <c r="AO31" s="20"/>
      <c r="AP31" s="2"/>
      <c r="AQ31" s="554">
        <v>0</v>
      </c>
      <c r="AR31" s="554"/>
      <c r="AS31" s="554"/>
      <c r="AT31" s="554"/>
      <c r="AU31" s="554"/>
      <c r="AV31" s="554"/>
      <c r="AW31" s="554"/>
      <c r="AX31" s="554"/>
      <c r="AY31" s="554"/>
      <c r="AZ31" s="554"/>
      <c r="BA31" s="554"/>
      <c r="BB31" s="114"/>
    </row>
    <row r="32" spans="2:54" ht="3" customHeight="1" x14ac:dyDescent="0.25">
      <c r="B32" s="115"/>
      <c r="C32" s="127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114"/>
    </row>
    <row r="33" spans="2:54" x14ac:dyDescent="0.25">
      <c r="B33" s="115"/>
      <c r="C33" s="127"/>
      <c r="D33" s="20"/>
      <c r="E33" s="518" t="s">
        <v>53</v>
      </c>
      <c r="F33" s="518"/>
      <c r="G33" s="518"/>
      <c r="H33" s="20"/>
      <c r="I33" s="20" t="s">
        <v>123</v>
      </c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146" t="s">
        <v>105</v>
      </c>
      <c r="AH33" s="22" t="s">
        <v>186</v>
      </c>
      <c r="AI33" s="145" t="s">
        <v>112</v>
      </c>
      <c r="AJ33" s="22" t="s">
        <v>189</v>
      </c>
      <c r="AK33" s="20" t="s">
        <v>111</v>
      </c>
      <c r="AL33" s="20"/>
      <c r="AM33" s="20"/>
      <c r="AN33" s="20"/>
      <c r="AO33" s="20"/>
      <c r="AP33" s="20"/>
      <c r="AQ33" s="554">
        <v>0</v>
      </c>
      <c r="AR33" s="554"/>
      <c r="AS33" s="554"/>
      <c r="AT33" s="554"/>
      <c r="AU33" s="554"/>
      <c r="AV33" s="554"/>
      <c r="AW33" s="554"/>
      <c r="AX33" s="554"/>
      <c r="AY33" s="554"/>
      <c r="AZ33" s="554"/>
      <c r="BA33" s="554"/>
      <c r="BB33" s="114"/>
    </row>
    <row r="34" spans="2:54" ht="3" customHeight="1" x14ac:dyDescent="0.25">
      <c r="B34" s="115"/>
      <c r="C34" s="127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114"/>
    </row>
    <row r="35" spans="2:54" ht="3" customHeight="1" x14ac:dyDescent="0.25">
      <c r="B35" s="115"/>
      <c r="C35" s="128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7"/>
      <c r="AQ35" s="117"/>
      <c r="AR35" s="117"/>
      <c r="AS35" s="117"/>
      <c r="AT35" s="117"/>
      <c r="AU35" s="117"/>
      <c r="AV35" s="117"/>
      <c r="AW35" s="117"/>
      <c r="AX35" s="117"/>
      <c r="AY35" s="117"/>
      <c r="AZ35" s="117"/>
      <c r="BA35" s="117"/>
      <c r="BB35" s="118"/>
    </row>
    <row r="36" spans="2:54" ht="17.649999999999999" customHeight="1" x14ac:dyDescent="0.25">
      <c r="B36" s="115"/>
      <c r="C36" s="125" t="s">
        <v>124</v>
      </c>
      <c r="D36" s="110" t="s">
        <v>125</v>
      </c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113"/>
      <c r="BB36" s="113"/>
    </row>
    <row r="37" spans="2:54" ht="3" customHeight="1" x14ac:dyDescent="0.25">
      <c r="B37" s="115"/>
      <c r="C37" s="128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  <c r="AA37" s="117"/>
      <c r="AB37" s="117"/>
      <c r="AC37" s="117"/>
      <c r="AD37" s="117"/>
      <c r="AE37" s="117"/>
      <c r="AF37" s="117"/>
      <c r="AG37" s="117"/>
      <c r="AH37" s="117"/>
      <c r="AI37" s="117"/>
      <c r="AJ37" s="117"/>
      <c r="AK37" s="117"/>
      <c r="AL37" s="117"/>
      <c r="AM37" s="117"/>
      <c r="AN37" s="117"/>
      <c r="AO37" s="117"/>
      <c r="AP37" s="117"/>
      <c r="AQ37" s="117"/>
      <c r="AR37" s="117"/>
      <c r="AS37" s="117"/>
      <c r="AT37" s="117"/>
      <c r="AU37" s="117"/>
      <c r="AV37" s="117"/>
      <c r="AW37" s="117"/>
      <c r="AX37" s="117"/>
      <c r="AY37" s="117"/>
      <c r="AZ37" s="117"/>
      <c r="BA37" s="117"/>
      <c r="BB37" s="118"/>
    </row>
    <row r="38" spans="2:54" x14ac:dyDescent="0.25">
      <c r="B38" s="115"/>
      <c r="C38" s="127"/>
      <c r="D38" s="20" t="s">
        <v>596</v>
      </c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114"/>
      <c r="AB38" s="20"/>
      <c r="AC38" s="20" t="s">
        <v>126</v>
      </c>
      <c r="AD38" s="20"/>
      <c r="AE38" s="20"/>
      <c r="AF38" s="20"/>
      <c r="AG38" s="20"/>
      <c r="AH38" s="20"/>
      <c r="AI38" s="555"/>
      <c r="AJ38" s="555"/>
      <c r="AK38" s="555"/>
      <c r="AL38" s="555"/>
      <c r="AM38" s="555"/>
      <c r="AN38" s="555"/>
      <c r="AO38" s="555"/>
      <c r="AP38" s="20"/>
      <c r="AQ38" s="20" t="s">
        <v>127</v>
      </c>
      <c r="AR38" s="20"/>
      <c r="AS38" s="20"/>
      <c r="AT38" s="20"/>
      <c r="AU38" s="555"/>
      <c r="AV38" s="555"/>
      <c r="AW38" s="555"/>
      <c r="AX38" s="555"/>
      <c r="AY38" s="555"/>
      <c r="AZ38" s="555"/>
      <c r="BA38" s="555"/>
      <c r="BB38" s="114"/>
    </row>
    <row r="39" spans="2:54" ht="3" customHeight="1" x14ac:dyDescent="0.25">
      <c r="B39" s="115"/>
      <c r="C39" s="127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114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114"/>
    </row>
    <row r="40" spans="2:54" x14ac:dyDescent="0.25">
      <c r="B40" s="115"/>
      <c r="C40" s="127"/>
      <c r="D40" s="121"/>
      <c r="E40" s="20" t="s">
        <v>597</v>
      </c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114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114"/>
    </row>
    <row r="41" spans="2:54" ht="3" customHeight="1" x14ac:dyDescent="0.25">
      <c r="B41" s="115"/>
      <c r="C41" s="127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114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114"/>
    </row>
    <row r="42" spans="2:54" x14ac:dyDescent="0.25">
      <c r="B42" s="115"/>
      <c r="C42" s="127"/>
      <c r="D42" s="121"/>
      <c r="E42" s="20" t="s">
        <v>598</v>
      </c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114"/>
      <c r="AB42" s="20"/>
      <c r="AC42" s="20" t="s">
        <v>128</v>
      </c>
      <c r="AD42" s="20"/>
      <c r="AE42" s="20"/>
      <c r="AF42" s="20"/>
      <c r="AG42" s="20"/>
      <c r="AH42" s="20"/>
      <c r="AI42" s="20"/>
      <c r="AJ42" s="20"/>
      <c r="AK42" s="555"/>
      <c r="AL42" s="555"/>
      <c r="AM42" s="555"/>
      <c r="AN42" s="555"/>
      <c r="AO42" s="555"/>
      <c r="AP42" s="555"/>
      <c r="AQ42" s="555"/>
      <c r="AR42" s="555"/>
      <c r="AS42" s="555"/>
      <c r="AT42" s="555"/>
      <c r="AU42" s="555"/>
      <c r="AV42" s="555"/>
      <c r="AW42" s="555"/>
      <c r="AX42" s="555"/>
      <c r="AY42" s="555"/>
      <c r="AZ42" s="555"/>
      <c r="BA42" s="555"/>
      <c r="BB42" s="114"/>
    </row>
    <row r="43" spans="2:54" ht="3" customHeight="1" x14ac:dyDescent="0.25">
      <c r="B43" s="115"/>
      <c r="C43" s="127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114"/>
    </row>
    <row r="44" spans="2:54" ht="3" customHeight="1" x14ac:dyDescent="0.25">
      <c r="B44" s="115"/>
      <c r="C44" s="128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  <c r="AA44" s="117"/>
      <c r="AB44" s="117"/>
      <c r="AC44" s="117"/>
      <c r="AD44" s="117"/>
      <c r="AE44" s="117"/>
      <c r="AF44" s="117"/>
      <c r="AG44" s="117"/>
      <c r="AH44" s="117"/>
      <c r="AI44" s="117"/>
      <c r="AJ44" s="117"/>
      <c r="AK44" s="117"/>
      <c r="AL44" s="117"/>
      <c r="AM44" s="117"/>
      <c r="AN44" s="117"/>
      <c r="AO44" s="117"/>
      <c r="AP44" s="117"/>
      <c r="AQ44" s="117"/>
      <c r="AR44" s="117"/>
      <c r="AS44" s="117"/>
      <c r="AT44" s="117"/>
      <c r="AU44" s="117"/>
      <c r="AV44" s="117"/>
      <c r="AW44" s="117"/>
      <c r="AX44" s="117"/>
      <c r="AY44" s="117"/>
      <c r="AZ44" s="117"/>
      <c r="BA44" s="117"/>
      <c r="BB44" s="118"/>
    </row>
    <row r="45" spans="2:54" ht="17.649999999999999" customHeight="1" x14ac:dyDescent="0.25">
      <c r="B45" s="115"/>
      <c r="C45" s="125" t="s">
        <v>129</v>
      </c>
      <c r="D45" s="110" t="s">
        <v>130</v>
      </c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113"/>
      <c r="BB45" s="113"/>
    </row>
    <row r="46" spans="2:54" ht="3" customHeight="1" x14ac:dyDescent="0.25">
      <c r="B46" s="115"/>
      <c r="C46" s="128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  <c r="AA46" s="117"/>
      <c r="AB46" s="117"/>
      <c r="AC46" s="117"/>
      <c r="AD46" s="117"/>
      <c r="AE46" s="117"/>
      <c r="AF46" s="117"/>
      <c r="AG46" s="117"/>
      <c r="AH46" s="117"/>
      <c r="AI46" s="117"/>
      <c r="AJ46" s="117"/>
      <c r="AK46" s="117"/>
      <c r="AL46" s="117"/>
      <c r="AM46" s="117"/>
      <c r="AN46" s="117"/>
      <c r="AO46" s="117"/>
      <c r="AP46" s="117"/>
      <c r="AQ46" s="117"/>
      <c r="AR46" s="117"/>
      <c r="AS46" s="117"/>
      <c r="AT46" s="117"/>
      <c r="AU46" s="117"/>
      <c r="AV46" s="117"/>
      <c r="AW46" s="117"/>
      <c r="AX46" s="117"/>
      <c r="AY46" s="117"/>
      <c r="AZ46" s="117"/>
      <c r="BA46" s="117"/>
      <c r="BB46" s="118"/>
    </row>
    <row r="47" spans="2:54" ht="3" customHeight="1" x14ac:dyDescent="0.25">
      <c r="B47" s="115"/>
      <c r="C47" s="127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114"/>
    </row>
    <row r="48" spans="2:54" x14ac:dyDescent="0.25">
      <c r="B48" s="115"/>
      <c r="C48" s="127"/>
      <c r="D48" s="17">
        <v>13</v>
      </c>
      <c r="E48" s="17" t="s">
        <v>53</v>
      </c>
      <c r="F48" s="20"/>
      <c r="G48" s="137" t="s">
        <v>131</v>
      </c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5"/>
      <c r="AN48" s="15"/>
      <c r="AO48" s="20"/>
      <c r="AP48" s="20"/>
      <c r="AQ48" s="554">
        <f>(1/12*('INDUK 1'!AQ125-'INDUK 1'!AQ131))</f>
        <v>156250</v>
      </c>
      <c r="AR48" s="554"/>
      <c r="AS48" s="554"/>
      <c r="AT48" s="554"/>
      <c r="AU48" s="554"/>
      <c r="AV48" s="554"/>
      <c r="AW48" s="554"/>
      <c r="AX48" s="554"/>
      <c r="AY48" s="554"/>
      <c r="AZ48" s="554"/>
      <c r="BA48" s="554"/>
      <c r="BB48" s="114"/>
    </row>
    <row r="49" spans="2:54" x14ac:dyDescent="0.25">
      <c r="B49" s="115"/>
      <c r="C49" s="127"/>
      <c r="D49" s="20"/>
      <c r="E49" s="20"/>
      <c r="F49" s="20"/>
      <c r="G49" s="137" t="s">
        <v>599</v>
      </c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7"/>
      <c r="AE49" s="137"/>
      <c r="AF49" s="137"/>
      <c r="AG49" s="137"/>
      <c r="AH49" s="137"/>
      <c r="AI49" s="137"/>
      <c r="AJ49" s="137"/>
      <c r="AK49" s="137"/>
      <c r="AL49" s="137"/>
      <c r="AM49" s="15"/>
      <c r="AN49" s="15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114"/>
    </row>
    <row r="50" spans="2:54" ht="3" customHeight="1" x14ac:dyDescent="0.25">
      <c r="B50" s="115"/>
      <c r="C50" s="127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114"/>
    </row>
    <row r="51" spans="2:54" x14ac:dyDescent="0.25">
      <c r="B51" s="115"/>
      <c r="C51" s="127"/>
      <c r="D51" s="20"/>
      <c r="E51" s="20"/>
      <c r="F51" s="20"/>
      <c r="G51" s="555"/>
      <c r="H51" s="555"/>
      <c r="I51" s="20" t="s">
        <v>55</v>
      </c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114"/>
    </row>
    <row r="52" spans="2:54" ht="3" customHeight="1" x14ac:dyDescent="0.25">
      <c r="B52" s="115"/>
      <c r="C52" s="127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114"/>
    </row>
    <row r="53" spans="2:54" x14ac:dyDescent="0.25">
      <c r="B53" s="115"/>
      <c r="C53" s="127"/>
      <c r="D53" s="20"/>
      <c r="E53" s="20"/>
      <c r="F53" s="20"/>
      <c r="G53" s="555" t="s">
        <v>1213</v>
      </c>
      <c r="H53" s="555"/>
      <c r="I53" s="20" t="s">
        <v>132</v>
      </c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146" t="s">
        <v>105</v>
      </c>
      <c r="AE53" s="146" t="s">
        <v>190</v>
      </c>
      <c r="AF53" s="148"/>
      <c r="AG53" s="145" t="s">
        <v>191</v>
      </c>
      <c r="AH53" s="145" t="s">
        <v>105</v>
      </c>
      <c r="AI53" s="22">
        <v>9</v>
      </c>
      <c r="AJ53" s="145" t="s">
        <v>112</v>
      </c>
      <c r="AK53" s="22">
        <v>10</v>
      </c>
      <c r="AL53" s="20" t="s">
        <v>111</v>
      </c>
      <c r="AM53" s="2"/>
      <c r="AN53" s="2"/>
      <c r="AO53" s="2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114"/>
    </row>
    <row r="54" spans="2:54" ht="3" customHeight="1" x14ac:dyDescent="0.25">
      <c r="B54" s="115"/>
      <c r="C54" s="127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114"/>
    </row>
    <row r="55" spans="2:54" x14ac:dyDescent="0.25">
      <c r="B55" s="115"/>
      <c r="C55" s="127"/>
      <c r="D55" s="20"/>
      <c r="E55" s="17" t="s">
        <v>57</v>
      </c>
      <c r="F55" s="20"/>
      <c r="G55" s="137" t="s">
        <v>133</v>
      </c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5"/>
      <c r="AN55" s="15"/>
      <c r="AO55" s="20"/>
      <c r="AP55" s="20"/>
      <c r="AQ55" s="555"/>
      <c r="AR55" s="555"/>
      <c r="AS55" s="555"/>
      <c r="AT55" s="555"/>
      <c r="AU55" s="555"/>
      <c r="AV55" s="555"/>
      <c r="AW55" s="555"/>
      <c r="AX55" s="555"/>
      <c r="AY55" s="555"/>
      <c r="AZ55" s="555"/>
      <c r="BA55" s="555"/>
      <c r="BB55" s="114"/>
    </row>
    <row r="56" spans="2:54" x14ac:dyDescent="0.25">
      <c r="B56" s="115"/>
      <c r="C56" s="127"/>
      <c r="D56" s="20"/>
      <c r="E56" s="20"/>
      <c r="F56" s="20"/>
      <c r="G56" s="137" t="s">
        <v>134</v>
      </c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  <c r="AL56" s="137"/>
      <c r="AM56" s="15"/>
      <c r="AN56" s="15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114"/>
    </row>
    <row r="57" spans="2:54" ht="3" customHeight="1" x14ac:dyDescent="0.25">
      <c r="B57" s="115"/>
      <c r="C57" s="127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114"/>
    </row>
    <row r="58" spans="2:54" x14ac:dyDescent="0.25">
      <c r="B58" s="115"/>
      <c r="C58" s="127"/>
      <c r="D58" s="20"/>
      <c r="E58" s="20"/>
      <c r="F58" s="20"/>
      <c r="G58" s="555" t="s">
        <v>1213</v>
      </c>
      <c r="H58" s="555"/>
      <c r="I58" s="20" t="s">
        <v>55</v>
      </c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114"/>
    </row>
    <row r="59" spans="2:54" ht="3" customHeight="1" x14ac:dyDescent="0.25">
      <c r="B59" s="115"/>
      <c r="C59" s="127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114"/>
    </row>
    <row r="60" spans="2:54" x14ac:dyDescent="0.25">
      <c r="B60" s="115"/>
      <c r="C60" s="127"/>
      <c r="D60" s="20"/>
      <c r="E60" s="20"/>
      <c r="F60" s="20"/>
      <c r="G60" s="555"/>
      <c r="H60" s="555"/>
      <c r="I60" s="20" t="s">
        <v>135</v>
      </c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114"/>
    </row>
    <row r="61" spans="2:54" ht="3" customHeight="1" x14ac:dyDescent="0.25">
      <c r="B61" s="115"/>
      <c r="C61" s="127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114"/>
    </row>
    <row r="62" spans="2:54" x14ac:dyDescent="0.25">
      <c r="B62" s="115"/>
      <c r="C62" s="127"/>
      <c r="D62" s="20"/>
      <c r="E62" s="17" t="s">
        <v>104</v>
      </c>
      <c r="F62" s="20"/>
      <c r="G62" s="137" t="s">
        <v>600</v>
      </c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  <c r="AA62" s="137"/>
      <c r="AB62" s="137"/>
      <c r="AC62" s="137"/>
      <c r="AD62" s="137"/>
      <c r="AE62" s="137"/>
      <c r="AF62" s="137"/>
      <c r="AG62" s="137"/>
      <c r="AH62" s="137"/>
      <c r="AI62" s="137"/>
      <c r="AJ62" s="137"/>
      <c r="AK62" s="137"/>
      <c r="AL62" s="137"/>
      <c r="AM62" s="15"/>
      <c r="AN62" s="15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114"/>
    </row>
    <row r="63" spans="2:54" ht="3" customHeight="1" x14ac:dyDescent="0.25">
      <c r="B63" s="115"/>
      <c r="C63" s="127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114"/>
    </row>
    <row r="64" spans="2:54" x14ac:dyDescent="0.25">
      <c r="B64" s="115"/>
      <c r="C64" s="127"/>
      <c r="D64" s="20"/>
      <c r="E64" s="20"/>
      <c r="F64" s="20"/>
      <c r="G64" s="555" t="s">
        <v>1213</v>
      </c>
      <c r="H64" s="555"/>
      <c r="I64" s="20" t="s">
        <v>136</v>
      </c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114"/>
    </row>
    <row r="65" spans="2:55" ht="3" customHeight="1" x14ac:dyDescent="0.25">
      <c r="B65" s="115"/>
      <c r="C65" s="127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114"/>
    </row>
    <row r="66" spans="2:55" x14ac:dyDescent="0.25">
      <c r="B66" s="115"/>
      <c r="C66" s="127"/>
      <c r="D66" s="20"/>
      <c r="E66" s="20"/>
      <c r="F66" s="20"/>
      <c r="G66" s="555"/>
      <c r="H66" s="555"/>
      <c r="I66" s="20" t="s">
        <v>137</v>
      </c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114"/>
    </row>
    <row r="67" spans="2:55" ht="3" customHeight="1" x14ac:dyDescent="0.25">
      <c r="B67" s="115"/>
      <c r="C67" s="129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114"/>
      <c r="BC67" s="2"/>
    </row>
    <row r="68" spans="2:55" ht="3" customHeight="1" x14ac:dyDescent="0.25">
      <c r="B68" s="115"/>
      <c r="C68" s="128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  <c r="AA68" s="117"/>
      <c r="AB68" s="117"/>
      <c r="AC68" s="117"/>
      <c r="AD68" s="117"/>
      <c r="AE68" s="117"/>
      <c r="AF68" s="117"/>
      <c r="AG68" s="117"/>
      <c r="AH68" s="117"/>
      <c r="AI68" s="117"/>
      <c r="AJ68" s="117"/>
      <c r="AK68" s="117"/>
      <c r="AL68" s="117"/>
      <c r="AM68" s="117"/>
      <c r="AN68" s="117"/>
      <c r="AO68" s="117"/>
      <c r="AP68" s="117"/>
      <c r="AQ68" s="117"/>
      <c r="AR68" s="117"/>
      <c r="AS68" s="117"/>
      <c r="AT68" s="117"/>
      <c r="AU68" s="117"/>
      <c r="AV68" s="117"/>
      <c r="AW68" s="117"/>
      <c r="AX68" s="117"/>
      <c r="AY68" s="117"/>
      <c r="AZ68" s="117"/>
      <c r="BA68" s="117"/>
      <c r="BB68" s="118"/>
    </row>
    <row r="69" spans="2:55" ht="17.649999999999999" customHeight="1" x14ac:dyDescent="0.25">
      <c r="B69" s="115"/>
      <c r="C69" s="125" t="s">
        <v>138</v>
      </c>
      <c r="D69" s="110" t="s">
        <v>139</v>
      </c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113"/>
      <c r="BB69" s="113"/>
    </row>
    <row r="70" spans="2:55" ht="3" customHeight="1" x14ac:dyDescent="0.25">
      <c r="B70" s="115"/>
      <c r="C70" s="128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7"/>
      <c r="AH70" s="117"/>
      <c r="AI70" s="117"/>
      <c r="AJ70" s="117"/>
      <c r="AK70" s="117"/>
      <c r="AL70" s="117"/>
      <c r="AM70" s="117"/>
      <c r="AN70" s="117"/>
      <c r="AO70" s="117"/>
      <c r="AP70" s="117"/>
      <c r="AQ70" s="117"/>
      <c r="AR70" s="117"/>
      <c r="AS70" s="117"/>
      <c r="AT70" s="117"/>
      <c r="AU70" s="117"/>
      <c r="AV70" s="117"/>
      <c r="AW70" s="117"/>
      <c r="AX70" s="117"/>
      <c r="AY70" s="117"/>
      <c r="AZ70" s="117"/>
      <c r="BA70" s="117"/>
      <c r="BB70" s="118"/>
    </row>
    <row r="71" spans="2:55" x14ac:dyDescent="0.25">
      <c r="B71" s="115"/>
      <c r="C71" s="127"/>
      <c r="D71" s="17">
        <v>14</v>
      </c>
      <c r="E71" s="17" t="s">
        <v>53</v>
      </c>
      <c r="F71" s="20"/>
      <c r="G71" s="20" t="s">
        <v>140</v>
      </c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554">
        <f>'Lampiran 1.2'!J96</f>
        <v>1475000000</v>
      </c>
      <c r="AR71" s="554"/>
      <c r="AS71" s="554"/>
      <c r="AT71" s="554"/>
      <c r="AU71" s="554"/>
      <c r="AV71" s="554"/>
      <c r="AW71" s="554"/>
      <c r="AX71" s="554"/>
      <c r="AY71" s="554"/>
      <c r="AZ71" s="554"/>
      <c r="BA71" s="554"/>
      <c r="BB71" s="114"/>
    </row>
    <row r="72" spans="2:55" ht="3" customHeight="1" x14ac:dyDescent="0.25">
      <c r="B72" s="115"/>
      <c r="C72" s="127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114"/>
    </row>
    <row r="73" spans="2:55" x14ac:dyDescent="0.25">
      <c r="B73" s="115"/>
      <c r="C73" s="127"/>
      <c r="D73" s="20"/>
      <c r="E73" s="17" t="s">
        <v>57</v>
      </c>
      <c r="F73" s="20"/>
      <c r="G73" s="137" t="s">
        <v>141</v>
      </c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  <c r="AA73" s="137"/>
      <c r="AB73" s="137"/>
      <c r="AC73" s="137"/>
      <c r="AD73" s="137"/>
      <c r="AE73" s="137"/>
      <c r="AF73" s="137"/>
      <c r="AG73" s="137"/>
      <c r="AH73" s="137"/>
      <c r="AI73" s="137"/>
      <c r="AJ73" s="137"/>
      <c r="AK73" s="137"/>
      <c r="AL73" s="137"/>
      <c r="AM73" s="15"/>
      <c r="AN73" s="15"/>
      <c r="AO73" s="20"/>
      <c r="AP73" s="20"/>
      <c r="AQ73" s="554">
        <f>'Lampiran 1.2'!AB122</f>
        <v>50000000</v>
      </c>
      <c r="AR73" s="554"/>
      <c r="AS73" s="554"/>
      <c r="AT73" s="554"/>
      <c r="AU73" s="554"/>
      <c r="AV73" s="554"/>
      <c r="AW73" s="554"/>
      <c r="AX73" s="554"/>
      <c r="AY73" s="554"/>
      <c r="AZ73" s="554"/>
      <c r="BA73" s="554"/>
      <c r="BB73" s="114"/>
    </row>
    <row r="74" spans="2:55" ht="3" customHeight="1" x14ac:dyDescent="0.25">
      <c r="B74" s="115"/>
      <c r="C74" s="127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114"/>
    </row>
    <row r="75" spans="2:55" x14ac:dyDescent="0.25">
      <c r="B75" s="115"/>
      <c r="C75" s="127"/>
      <c r="D75" s="20"/>
      <c r="E75" s="20"/>
      <c r="F75" s="20"/>
      <c r="G75" s="555"/>
      <c r="H75" s="555"/>
      <c r="I75" s="20" t="s">
        <v>55</v>
      </c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114"/>
    </row>
    <row r="76" spans="2:55" ht="3" customHeight="1" x14ac:dyDescent="0.25">
      <c r="B76" s="115"/>
      <c r="C76" s="127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114"/>
    </row>
    <row r="77" spans="2:55" x14ac:dyDescent="0.25">
      <c r="B77" s="115"/>
      <c r="C77" s="127"/>
      <c r="D77" s="20"/>
      <c r="E77" s="20"/>
      <c r="F77" s="20"/>
      <c r="G77" s="555" t="s">
        <v>1213</v>
      </c>
      <c r="H77" s="555"/>
      <c r="I77" s="20" t="s">
        <v>142</v>
      </c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114"/>
    </row>
    <row r="78" spans="2:55" ht="3" customHeight="1" x14ac:dyDescent="0.25">
      <c r="B78" s="115"/>
      <c r="C78" s="127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114"/>
    </row>
    <row r="79" spans="2:55" x14ac:dyDescent="0.25">
      <c r="B79" s="115"/>
      <c r="C79" s="127"/>
      <c r="D79" s="20"/>
      <c r="E79" s="17" t="s">
        <v>104</v>
      </c>
      <c r="F79" s="20"/>
      <c r="G79" s="137" t="s">
        <v>143</v>
      </c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20"/>
      <c r="AP79" s="20"/>
      <c r="AQ79" s="554">
        <f>'Lampiran 2'!W59</f>
        <v>150000000</v>
      </c>
      <c r="AR79" s="554"/>
      <c r="AS79" s="554"/>
      <c r="AT79" s="554"/>
      <c r="AU79" s="554"/>
      <c r="AV79" s="554"/>
      <c r="AW79" s="554"/>
      <c r="AX79" s="554"/>
      <c r="AY79" s="554"/>
      <c r="AZ79" s="554"/>
      <c r="BA79" s="554"/>
      <c r="BB79" s="114"/>
    </row>
    <row r="80" spans="2:55" ht="3" customHeight="1" x14ac:dyDescent="0.25">
      <c r="B80" s="115"/>
      <c r="C80" s="127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114"/>
    </row>
    <row r="81" spans="2:54" x14ac:dyDescent="0.25">
      <c r="B81" s="115"/>
      <c r="C81" s="127"/>
      <c r="D81" s="20"/>
      <c r="E81" s="20"/>
      <c r="F81" s="20"/>
      <c r="G81" s="555"/>
      <c r="H81" s="555"/>
      <c r="I81" s="20" t="s">
        <v>55</v>
      </c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114"/>
    </row>
    <row r="82" spans="2:54" ht="3" customHeight="1" x14ac:dyDescent="0.25">
      <c r="B82" s="115"/>
      <c r="C82" s="127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114"/>
    </row>
    <row r="83" spans="2:54" x14ac:dyDescent="0.25">
      <c r="B83" s="115"/>
      <c r="C83" s="127"/>
      <c r="D83" s="20"/>
      <c r="E83" s="20"/>
      <c r="F83" s="20"/>
      <c r="G83" s="555" t="s">
        <v>1213</v>
      </c>
      <c r="H83" s="555"/>
      <c r="I83" s="20" t="s">
        <v>144</v>
      </c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114"/>
    </row>
    <row r="84" spans="2:54" ht="3" customHeight="1" x14ac:dyDescent="0.25">
      <c r="B84" s="115"/>
      <c r="C84" s="127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114"/>
    </row>
    <row r="85" spans="2:54" x14ac:dyDescent="0.25">
      <c r="B85" s="115"/>
      <c r="C85" s="127"/>
      <c r="D85" s="20"/>
      <c r="E85" s="17" t="s">
        <v>100</v>
      </c>
      <c r="F85" s="20"/>
      <c r="G85" s="15" t="s">
        <v>145</v>
      </c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20"/>
      <c r="AP85" s="20"/>
      <c r="AQ85" s="554">
        <f>'Lampiran 2'!AJ80</f>
        <v>50000000</v>
      </c>
      <c r="AR85" s="554"/>
      <c r="AS85" s="554"/>
      <c r="AT85" s="554"/>
      <c r="AU85" s="554"/>
      <c r="AV85" s="554"/>
      <c r="AW85" s="554"/>
      <c r="AX85" s="554"/>
      <c r="AY85" s="554"/>
      <c r="AZ85" s="554"/>
      <c r="BA85" s="554"/>
      <c r="BB85" s="114"/>
    </row>
    <row r="86" spans="2:54" ht="3" customHeight="1" x14ac:dyDescent="0.25">
      <c r="B86" s="115"/>
      <c r="C86" s="127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114"/>
    </row>
    <row r="87" spans="2:54" x14ac:dyDescent="0.25">
      <c r="B87" s="115"/>
      <c r="C87" s="127"/>
      <c r="D87" s="20"/>
      <c r="E87" s="20"/>
      <c r="F87" s="20"/>
      <c r="G87" s="555"/>
      <c r="H87" s="555"/>
      <c r="I87" s="20" t="s">
        <v>55</v>
      </c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114"/>
    </row>
    <row r="88" spans="2:54" ht="3" customHeight="1" x14ac:dyDescent="0.25">
      <c r="B88" s="115"/>
      <c r="C88" s="127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114"/>
    </row>
    <row r="89" spans="2:54" x14ac:dyDescent="0.25">
      <c r="B89" s="115"/>
      <c r="C89" s="127"/>
      <c r="D89" s="20"/>
      <c r="E89" s="20"/>
      <c r="F89" s="20"/>
      <c r="G89" s="555" t="s">
        <v>1213</v>
      </c>
      <c r="H89" s="555"/>
      <c r="I89" s="20" t="s">
        <v>146</v>
      </c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114"/>
    </row>
    <row r="90" spans="2:54" ht="3" customHeight="1" x14ac:dyDescent="0.25">
      <c r="B90" s="115"/>
      <c r="C90" s="127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114"/>
    </row>
    <row r="91" spans="2:54" x14ac:dyDescent="0.25">
      <c r="B91" s="115"/>
      <c r="C91" s="127"/>
      <c r="D91" s="20"/>
      <c r="E91" s="17" t="s">
        <v>147</v>
      </c>
      <c r="F91" s="20"/>
      <c r="G91" s="15" t="s">
        <v>148</v>
      </c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114"/>
    </row>
    <row r="92" spans="2:54" ht="3" customHeight="1" x14ac:dyDescent="0.25">
      <c r="B92" s="115"/>
      <c r="C92" s="127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114"/>
    </row>
    <row r="93" spans="2:54" x14ac:dyDescent="0.25">
      <c r="B93" s="115"/>
      <c r="C93" s="127"/>
      <c r="D93" s="20"/>
      <c r="E93" s="20"/>
      <c r="F93" s="20"/>
      <c r="G93" s="555" t="s">
        <v>1213</v>
      </c>
      <c r="H93" s="555"/>
      <c r="I93" s="20" t="s">
        <v>55</v>
      </c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114"/>
    </row>
    <row r="94" spans="2:54" ht="3" customHeight="1" x14ac:dyDescent="0.25">
      <c r="B94" s="115"/>
      <c r="C94" s="127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114"/>
    </row>
    <row r="95" spans="2:54" x14ac:dyDescent="0.25">
      <c r="B95" s="115"/>
      <c r="C95" s="127"/>
      <c r="D95" s="20"/>
      <c r="E95" s="20"/>
      <c r="F95" s="20"/>
      <c r="G95" s="555"/>
      <c r="H95" s="555"/>
      <c r="I95" s="20" t="s">
        <v>149</v>
      </c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114"/>
    </row>
    <row r="96" spans="2:54" ht="3" customHeight="1" x14ac:dyDescent="0.25">
      <c r="B96" s="115"/>
      <c r="C96" s="127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114"/>
    </row>
    <row r="97" spans="2:54" x14ac:dyDescent="0.25">
      <c r="B97" s="115"/>
      <c r="C97" s="127"/>
      <c r="D97" s="20"/>
      <c r="E97" s="17" t="s">
        <v>150</v>
      </c>
      <c r="F97" s="20"/>
      <c r="G97" s="15" t="s">
        <v>601</v>
      </c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114"/>
    </row>
    <row r="98" spans="2:54" x14ac:dyDescent="0.25">
      <c r="B98" s="115"/>
      <c r="C98" s="127"/>
      <c r="D98" s="20"/>
      <c r="E98" s="20"/>
      <c r="F98" s="20"/>
      <c r="G98" s="15" t="s">
        <v>152</v>
      </c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114"/>
    </row>
    <row r="99" spans="2:54" x14ac:dyDescent="0.25">
      <c r="B99" s="115"/>
      <c r="C99" s="127"/>
      <c r="D99" s="20"/>
      <c r="E99" s="20"/>
      <c r="F99" s="20"/>
      <c r="G99" s="15" t="s">
        <v>151</v>
      </c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114"/>
    </row>
    <row r="100" spans="2:54" ht="3" customHeight="1" x14ac:dyDescent="0.25">
      <c r="B100" s="115"/>
      <c r="C100" s="127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114"/>
    </row>
    <row r="101" spans="2:54" x14ac:dyDescent="0.25">
      <c r="B101" s="115"/>
      <c r="C101" s="127"/>
      <c r="D101" s="20"/>
      <c r="E101" s="20"/>
      <c r="F101" s="20"/>
      <c r="G101" s="555" t="s">
        <v>1213</v>
      </c>
      <c r="H101" s="555"/>
      <c r="I101" s="20" t="s">
        <v>55</v>
      </c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114"/>
    </row>
    <row r="102" spans="2:54" ht="3" customHeight="1" x14ac:dyDescent="0.25">
      <c r="B102" s="115"/>
      <c r="C102" s="127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114"/>
    </row>
    <row r="103" spans="2:54" x14ac:dyDescent="0.25">
      <c r="B103" s="115"/>
      <c r="C103" s="127"/>
      <c r="D103" s="20"/>
      <c r="E103" s="20"/>
      <c r="F103" s="20"/>
      <c r="G103" s="555"/>
      <c r="H103" s="555"/>
      <c r="I103" s="20" t="s">
        <v>602</v>
      </c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114"/>
    </row>
    <row r="104" spans="2:54" ht="3" customHeight="1" x14ac:dyDescent="0.25">
      <c r="B104" s="115"/>
      <c r="C104" s="127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114"/>
    </row>
    <row r="105" spans="2:54" x14ac:dyDescent="0.25">
      <c r="B105" s="115"/>
      <c r="C105" s="127"/>
      <c r="D105" s="20"/>
      <c r="E105" s="17" t="s">
        <v>153</v>
      </c>
      <c r="F105" s="20"/>
      <c r="G105" s="15" t="s">
        <v>154</v>
      </c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114"/>
    </row>
    <row r="106" spans="2:54" x14ac:dyDescent="0.25">
      <c r="B106" s="115"/>
      <c r="C106" s="127"/>
      <c r="D106" s="20"/>
      <c r="E106" s="20"/>
      <c r="F106" s="20"/>
      <c r="G106" s="15" t="s">
        <v>155</v>
      </c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114"/>
    </row>
    <row r="107" spans="2:54" ht="3" customHeight="1" x14ac:dyDescent="0.25">
      <c r="B107" s="115"/>
      <c r="C107" s="127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114"/>
    </row>
    <row r="108" spans="2:54" x14ac:dyDescent="0.25">
      <c r="B108" s="115"/>
      <c r="C108" s="127"/>
      <c r="D108" s="20"/>
      <c r="E108" s="20"/>
      <c r="F108" s="20"/>
      <c r="G108" s="555" t="s">
        <v>1213</v>
      </c>
      <c r="H108" s="555"/>
      <c r="I108" s="20" t="s">
        <v>55</v>
      </c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114"/>
    </row>
    <row r="109" spans="2:54" ht="3" customHeight="1" x14ac:dyDescent="0.25">
      <c r="B109" s="115"/>
      <c r="C109" s="127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114"/>
    </row>
    <row r="110" spans="2:54" x14ac:dyDescent="0.25">
      <c r="B110" s="115"/>
      <c r="C110" s="127"/>
      <c r="D110" s="20"/>
      <c r="E110" s="20"/>
      <c r="F110" s="20"/>
      <c r="G110" s="555"/>
      <c r="H110" s="555"/>
      <c r="I110" s="20" t="s">
        <v>156</v>
      </c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114"/>
    </row>
    <row r="111" spans="2:54" ht="3" customHeight="1" x14ac:dyDescent="0.25">
      <c r="B111" s="115"/>
      <c r="C111" s="127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114"/>
    </row>
    <row r="112" spans="2:54" x14ac:dyDescent="0.25">
      <c r="B112" s="115"/>
      <c r="C112" s="127"/>
      <c r="D112" s="20"/>
      <c r="E112" s="17" t="s">
        <v>157</v>
      </c>
      <c r="F112" s="20"/>
      <c r="G112" s="15" t="s">
        <v>158</v>
      </c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20"/>
      <c r="AP112" s="20"/>
      <c r="AQ112" s="555"/>
      <c r="AR112" s="555"/>
      <c r="AS112" s="555"/>
      <c r="AT112" s="555"/>
      <c r="AU112" s="555"/>
      <c r="AV112" s="555"/>
      <c r="AW112" s="555"/>
      <c r="AX112" s="555"/>
      <c r="AY112" s="555"/>
      <c r="AZ112" s="555"/>
      <c r="BA112" s="555"/>
      <c r="BB112" s="114"/>
    </row>
    <row r="113" spans="2:54" x14ac:dyDescent="0.25">
      <c r="B113" s="115"/>
      <c r="C113" s="127"/>
      <c r="D113" s="20"/>
      <c r="E113" s="20"/>
      <c r="F113" s="20"/>
      <c r="G113" s="15" t="s">
        <v>159</v>
      </c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114"/>
    </row>
    <row r="114" spans="2:54" ht="3" customHeight="1" x14ac:dyDescent="0.25">
      <c r="B114" s="115"/>
      <c r="C114" s="127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114"/>
    </row>
    <row r="115" spans="2:54" x14ac:dyDescent="0.25">
      <c r="B115" s="115"/>
      <c r="C115" s="127"/>
      <c r="D115" s="20"/>
      <c r="E115" s="20"/>
      <c r="F115" s="20"/>
      <c r="G115" s="20" t="s">
        <v>160</v>
      </c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114"/>
    </row>
    <row r="116" spans="2:54" ht="3" customHeight="1" x14ac:dyDescent="0.25">
      <c r="B116" s="115"/>
      <c r="C116" s="129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114"/>
    </row>
    <row r="117" spans="2:54" ht="3" customHeight="1" x14ac:dyDescent="0.25">
      <c r="B117" s="115"/>
      <c r="C117" s="128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  <c r="AA117" s="117"/>
      <c r="AB117" s="117"/>
      <c r="AC117" s="117"/>
      <c r="AD117" s="117"/>
      <c r="AE117" s="117"/>
      <c r="AF117" s="117"/>
      <c r="AG117" s="117"/>
      <c r="AH117" s="117"/>
      <c r="AI117" s="117"/>
      <c r="AJ117" s="117"/>
      <c r="AK117" s="117"/>
      <c r="AL117" s="117"/>
      <c r="AM117" s="117"/>
      <c r="AN117" s="117"/>
      <c r="AO117" s="117"/>
      <c r="AP117" s="117"/>
      <c r="AQ117" s="117"/>
      <c r="AR117" s="117"/>
      <c r="AS117" s="117"/>
      <c r="AT117" s="117"/>
      <c r="AU117" s="117"/>
      <c r="AV117" s="117"/>
      <c r="AW117" s="117"/>
      <c r="AX117" s="117"/>
      <c r="AY117" s="117"/>
      <c r="AZ117" s="117"/>
      <c r="BA117" s="117"/>
      <c r="BB117" s="118"/>
    </row>
    <row r="118" spans="2:54" ht="17.649999999999999" customHeight="1" x14ac:dyDescent="0.25">
      <c r="B118" s="115"/>
      <c r="C118" s="125" t="s">
        <v>161</v>
      </c>
      <c r="D118" s="110" t="s">
        <v>162</v>
      </c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  <c r="AN118" s="45"/>
      <c r="AO118" s="45"/>
      <c r="AP118" s="45"/>
      <c r="AQ118" s="45"/>
      <c r="AR118" s="45"/>
      <c r="AS118" s="45"/>
      <c r="AT118" s="45"/>
      <c r="AU118" s="45"/>
      <c r="AV118" s="45"/>
      <c r="AW118" s="45"/>
      <c r="AX118" s="45"/>
      <c r="AY118" s="45"/>
      <c r="AZ118" s="45"/>
      <c r="BA118" s="113"/>
      <c r="BB118" s="113"/>
    </row>
    <row r="119" spans="2:54" ht="3" customHeight="1" x14ac:dyDescent="0.25">
      <c r="B119" s="115"/>
      <c r="C119" s="128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  <c r="AA119" s="117"/>
      <c r="AB119" s="117"/>
      <c r="AC119" s="117"/>
      <c r="AD119" s="117"/>
      <c r="AE119" s="117"/>
      <c r="AF119" s="117"/>
      <c r="AG119" s="117"/>
      <c r="AH119" s="117"/>
      <c r="AI119" s="117"/>
      <c r="AJ119" s="117"/>
      <c r="AK119" s="117"/>
      <c r="AL119" s="117"/>
      <c r="AM119" s="117"/>
      <c r="AN119" s="117"/>
      <c r="AO119" s="117"/>
      <c r="AP119" s="117"/>
      <c r="AQ119" s="117"/>
      <c r="AR119" s="117"/>
      <c r="AS119" s="117"/>
      <c r="AT119" s="117"/>
      <c r="AU119" s="117"/>
      <c r="AV119" s="117"/>
      <c r="AW119" s="117"/>
      <c r="AX119" s="117"/>
      <c r="AY119" s="117"/>
      <c r="AZ119" s="117"/>
      <c r="BA119" s="117"/>
      <c r="BB119" s="118"/>
    </row>
    <row r="120" spans="2:54" x14ac:dyDescent="0.25">
      <c r="B120" s="115"/>
      <c r="C120" s="127"/>
      <c r="D120" s="16" t="s">
        <v>53</v>
      </c>
      <c r="E120" s="130" t="s">
        <v>163</v>
      </c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121"/>
      <c r="AI120" s="130" t="s">
        <v>169</v>
      </c>
      <c r="AJ120" s="20"/>
      <c r="AK120" s="20"/>
      <c r="AL120" s="20"/>
      <c r="AM120" s="121"/>
      <c r="AN120" s="130" t="s">
        <v>170</v>
      </c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114"/>
    </row>
    <row r="121" spans="2:54" ht="3" customHeight="1" x14ac:dyDescent="0.25">
      <c r="B121" s="115"/>
      <c r="C121" s="127"/>
      <c r="D121" s="21"/>
      <c r="E121" s="13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114"/>
    </row>
    <row r="122" spans="2:54" x14ac:dyDescent="0.25">
      <c r="B122" s="115"/>
      <c r="C122" s="127"/>
      <c r="D122" s="16" t="s">
        <v>57</v>
      </c>
      <c r="E122" s="130" t="s">
        <v>164</v>
      </c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121"/>
      <c r="AI122" s="130" t="s">
        <v>169</v>
      </c>
      <c r="AJ122" s="20"/>
      <c r="AK122" s="20"/>
      <c r="AL122" s="20"/>
      <c r="AM122" s="121"/>
      <c r="AN122" s="130" t="s">
        <v>170</v>
      </c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114"/>
    </row>
    <row r="123" spans="2:54" ht="3" customHeight="1" x14ac:dyDescent="0.25">
      <c r="B123" s="115"/>
      <c r="C123" s="127"/>
      <c r="D123" s="21"/>
      <c r="E123" s="13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114"/>
    </row>
    <row r="124" spans="2:54" x14ac:dyDescent="0.25">
      <c r="B124" s="115"/>
      <c r="C124" s="127"/>
      <c r="D124" s="16" t="s">
        <v>104</v>
      </c>
      <c r="E124" s="130" t="s">
        <v>165</v>
      </c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121"/>
      <c r="AI124" s="130" t="s">
        <v>169</v>
      </c>
      <c r="AJ124" s="20"/>
      <c r="AK124" s="20"/>
      <c r="AL124" s="20"/>
      <c r="AM124" s="121"/>
      <c r="AN124" s="130" t="s">
        <v>170</v>
      </c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114"/>
    </row>
    <row r="125" spans="2:54" x14ac:dyDescent="0.25">
      <c r="B125" s="115"/>
      <c r="C125" s="127"/>
      <c r="D125" s="21"/>
      <c r="E125" s="130" t="s">
        <v>166</v>
      </c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114"/>
    </row>
    <row r="126" spans="2:54" ht="3" customHeight="1" x14ac:dyDescent="0.25">
      <c r="B126" s="115"/>
      <c r="C126" s="127"/>
      <c r="D126" s="21"/>
      <c r="E126" s="13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114"/>
    </row>
    <row r="127" spans="2:54" x14ac:dyDescent="0.25">
      <c r="B127" s="115"/>
      <c r="C127" s="127"/>
      <c r="D127" s="16" t="s">
        <v>100</v>
      </c>
      <c r="E127" s="130" t="s">
        <v>167</v>
      </c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121"/>
      <c r="AI127" s="130" t="s">
        <v>169</v>
      </c>
      <c r="AJ127" s="20"/>
      <c r="AK127" s="20"/>
      <c r="AL127" s="20"/>
      <c r="AM127" s="121"/>
      <c r="AN127" s="130" t="s">
        <v>170</v>
      </c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114"/>
    </row>
    <row r="128" spans="2:54" ht="3" customHeight="1" x14ac:dyDescent="0.25">
      <c r="B128" s="115"/>
      <c r="C128" s="127"/>
      <c r="D128" s="21"/>
      <c r="E128" s="13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114"/>
    </row>
    <row r="129" spans="2:54" x14ac:dyDescent="0.25">
      <c r="B129" s="115"/>
      <c r="C129" s="127"/>
      <c r="D129" s="16" t="s">
        <v>147</v>
      </c>
      <c r="E129" s="130" t="s">
        <v>168</v>
      </c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121"/>
      <c r="AI129" s="130" t="s">
        <v>169</v>
      </c>
      <c r="AJ129" s="20"/>
      <c r="AK129" s="20"/>
      <c r="AL129" s="20"/>
      <c r="AM129" s="121"/>
      <c r="AN129" s="130" t="s">
        <v>170</v>
      </c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114"/>
    </row>
    <row r="130" spans="2:54" ht="3" customHeight="1" x14ac:dyDescent="0.25">
      <c r="B130" s="115"/>
      <c r="C130" s="129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114"/>
    </row>
    <row r="131" spans="2:54" ht="3" customHeight="1" x14ac:dyDescent="0.25">
      <c r="C131" s="128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77"/>
    </row>
    <row r="132" spans="2:54" ht="17.649999999999999" customHeight="1" x14ac:dyDescent="0.25">
      <c r="C132" s="125" t="s">
        <v>171</v>
      </c>
      <c r="D132" s="110" t="s">
        <v>172</v>
      </c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79"/>
      <c r="BB132" s="79"/>
    </row>
    <row r="133" spans="2:54" ht="3" customHeight="1" x14ac:dyDescent="0.25">
      <c r="C133" s="128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77"/>
    </row>
    <row r="134" spans="2:54" ht="5.0999999999999996" customHeight="1" x14ac:dyDescent="0.25">
      <c r="C134" s="131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132"/>
    </row>
    <row r="135" spans="2:54" ht="15.6" customHeight="1" x14ac:dyDescent="0.25">
      <c r="C135" s="131"/>
      <c r="D135" s="351" t="s">
        <v>563</v>
      </c>
      <c r="E135" s="135"/>
      <c r="F135" s="135"/>
      <c r="G135" s="136" t="s">
        <v>173</v>
      </c>
      <c r="H135" s="133"/>
      <c r="I135" s="133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132"/>
    </row>
    <row r="136" spans="2:54" x14ac:dyDescent="0.25">
      <c r="C136" s="131"/>
      <c r="D136" s="7"/>
      <c r="E136" s="135"/>
      <c r="F136" s="135"/>
      <c r="G136" s="136" t="s">
        <v>174</v>
      </c>
      <c r="H136" s="133"/>
      <c r="I136" s="133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132"/>
    </row>
    <row r="137" spans="2:54" x14ac:dyDescent="0.25">
      <c r="C137" s="131"/>
      <c r="D137" s="7"/>
      <c r="E137" s="135"/>
      <c r="F137" s="135"/>
      <c r="G137" s="136" t="s">
        <v>175</v>
      </c>
      <c r="H137" s="133"/>
      <c r="I137" s="133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132"/>
    </row>
    <row r="138" spans="2:54" ht="5.0999999999999996" customHeight="1" x14ac:dyDescent="0.25">
      <c r="C138" s="131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132"/>
    </row>
    <row r="139" spans="2:54" ht="3" customHeight="1" x14ac:dyDescent="0.25">
      <c r="C139" s="90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70"/>
    </row>
    <row r="140" spans="2:54" ht="3.6" customHeight="1" x14ac:dyDescent="0.25">
      <c r="C140" s="134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112"/>
    </row>
    <row r="141" spans="2:54" x14ac:dyDescent="0.25">
      <c r="C141" s="138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544" t="s">
        <v>176</v>
      </c>
      <c r="AP141" s="544"/>
      <c r="AQ141" s="544"/>
      <c r="AR141" s="544"/>
      <c r="AS141" s="543" t="s">
        <v>14</v>
      </c>
      <c r="AT141" s="543"/>
      <c r="AU141" s="6"/>
      <c r="AV141" s="543" t="s">
        <v>177</v>
      </c>
      <c r="AW141" s="543"/>
      <c r="AX141" s="543"/>
      <c r="AY141" s="543"/>
      <c r="AZ141" s="14"/>
      <c r="BA141" s="14"/>
      <c r="BB141" s="119"/>
    </row>
    <row r="142" spans="2:54" ht="3.6" customHeight="1" x14ac:dyDescent="0.25">
      <c r="C142" s="138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6"/>
      <c r="AP142" s="6"/>
      <c r="AQ142" s="6"/>
      <c r="AR142" s="6"/>
      <c r="AS142" s="139"/>
      <c r="AT142" s="139"/>
      <c r="AU142" s="14"/>
      <c r="AV142" s="140"/>
      <c r="AW142" s="140"/>
      <c r="AX142" s="140"/>
      <c r="AY142" s="140"/>
      <c r="AZ142" s="14"/>
      <c r="BA142" s="14"/>
      <c r="BB142" s="119"/>
    </row>
    <row r="143" spans="2:54" x14ac:dyDescent="0.25">
      <c r="C143" s="138"/>
      <c r="D143" s="14"/>
      <c r="E143" s="14" t="s">
        <v>178</v>
      </c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349" t="s">
        <v>563</v>
      </c>
      <c r="Q143" s="141" t="s">
        <v>180</v>
      </c>
      <c r="R143" s="14"/>
      <c r="S143" s="14"/>
      <c r="T143" s="14"/>
      <c r="U143" s="14"/>
      <c r="V143" s="120"/>
      <c r="W143" s="141"/>
      <c r="X143" s="14" t="s">
        <v>603</v>
      </c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349">
        <v>3</v>
      </c>
      <c r="AP143" s="349">
        <v>0</v>
      </c>
      <c r="AQ143" s="6"/>
      <c r="AR143" s="6"/>
      <c r="AS143" s="349">
        <v>0</v>
      </c>
      <c r="AT143" s="349">
        <v>3</v>
      </c>
      <c r="AU143" s="6"/>
      <c r="AV143" s="349">
        <v>2</v>
      </c>
      <c r="AW143" s="349">
        <v>0</v>
      </c>
      <c r="AX143" s="349">
        <v>2</v>
      </c>
      <c r="AY143" s="349">
        <v>6</v>
      </c>
      <c r="AZ143" s="14"/>
      <c r="BA143" s="14"/>
      <c r="BB143" s="119"/>
    </row>
    <row r="144" spans="2:54" ht="6" customHeight="1" x14ac:dyDescent="0.25">
      <c r="C144" s="138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19"/>
    </row>
    <row r="145" spans="3:54" ht="19.149999999999999" customHeight="1" x14ac:dyDescent="0.25">
      <c r="C145" s="138"/>
      <c r="D145" s="14"/>
      <c r="E145" s="14" t="s">
        <v>36</v>
      </c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363">
        <f>'INDUK 1'!P26</f>
        <v>3</v>
      </c>
      <c r="Q145" s="363">
        <f>'INDUK 1'!Q26</f>
        <v>4</v>
      </c>
      <c r="R145" s="363">
        <f>'INDUK 1'!R26</f>
        <v>0</v>
      </c>
      <c r="S145" s="363">
        <f>'INDUK 1'!S26</f>
        <v>2</v>
      </c>
      <c r="T145" s="363">
        <f>'INDUK 1'!T26</f>
        <v>0</v>
      </c>
      <c r="U145" s="363">
        <f>'INDUK 1'!U26</f>
        <v>1</v>
      </c>
      <c r="V145" s="363">
        <f>'INDUK 1'!V26</f>
        <v>1</v>
      </c>
      <c r="W145" s="363">
        <f>'INDUK 1'!W26</f>
        <v>2</v>
      </c>
      <c r="X145" s="363">
        <f>'INDUK 1'!X26</f>
        <v>3</v>
      </c>
      <c r="Y145" s="363">
        <f>'INDUK 1'!Y26</f>
        <v>4</v>
      </c>
      <c r="Z145" s="363">
        <f>'INDUK 1'!Z26</f>
        <v>5</v>
      </c>
      <c r="AA145" s="363">
        <f>'INDUK 1'!AA26</f>
        <v>6</v>
      </c>
      <c r="AB145" s="363">
        <f>'INDUK 1'!AB26</f>
        <v>0</v>
      </c>
      <c r="AC145" s="363">
        <f>'INDUK 1'!AC26</f>
        <v>0</v>
      </c>
      <c r="AD145" s="363">
        <f>'INDUK 1'!AD26</f>
        <v>0</v>
      </c>
      <c r="AE145" s="363">
        <f>'INDUK 1'!AE26</f>
        <v>1</v>
      </c>
      <c r="AF145" s="362"/>
      <c r="AG145" s="14"/>
      <c r="AH145" s="14"/>
      <c r="AI145" s="14"/>
      <c r="AJ145" s="14"/>
      <c r="AK145" s="14"/>
      <c r="AL145" s="14"/>
      <c r="AM145" s="14"/>
      <c r="AN145" s="14"/>
      <c r="AO145" s="545" t="s">
        <v>181</v>
      </c>
      <c r="AP145" s="546"/>
      <c r="AQ145" s="546"/>
      <c r="AR145" s="546"/>
      <c r="AS145" s="546"/>
      <c r="AT145" s="546"/>
      <c r="AU145" s="546"/>
      <c r="AV145" s="546"/>
      <c r="AW145" s="546"/>
      <c r="AX145" s="546"/>
      <c r="AY145" s="547"/>
      <c r="AZ145" s="14"/>
      <c r="BA145" s="14"/>
      <c r="BB145" s="119"/>
    </row>
    <row r="146" spans="3:54" ht="6" customHeight="1" x14ac:dyDescent="0.25">
      <c r="C146" s="138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548"/>
      <c r="AP146" s="549"/>
      <c r="AQ146" s="549"/>
      <c r="AR146" s="549"/>
      <c r="AS146" s="549"/>
      <c r="AT146" s="549"/>
      <c r="AU146" s="549"/>
      <c r="AV146" s="549"/>
      <c r="AW146" s="549"/>
      <c r="AX146" s="549"/>
      <c r="AY146" s="550"/>
      <c r="AZ146" s="14"/>
      <c r="BA146" s="14"/>
      <c r="BB146" s="119"/>
    </row>
    <row r="147" spans="3:54" ht="18" customHeight="1" x14ac:dyDescent="0.25">
      <c r="C147" s="138"/>
      <c r="D147" s="14"/>
      <c r="E147" s="14" t="s">
        <v>179</v>
      </c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542" t="str">
        <f>'INDUK 1'!P28</f>
        <v>Fajar</v>
      </c>
      <c r="Q147" s="542"/>
      <c r="R147" s="542"/>
      <c r="S147" s="542"/>
      <c r="T147" s="542"/>
      <c r="U147" s="542"/>
      <c r="V147" s="542"/>
      <c r="W147" s="542"/>
      <c r="X147" s="542"/>
      <c r="Y147" s="542"/>
      <c r="Z147" s="542"/>
      <c r="AA147" s="542"/>
      <c r="AB147" s="542"/>
      <c r="AC147" s="542"/>
      <c r="AD147" s="542"/>
      <c r="AE147" s="542"/>
      <c r="AF147" s="542"/>
      <c r="AG147" s="14"/>
      <c r="AH147" s="14"/>
      <c r="AI147" s="14"/>
      <c r="AJ147" s="14"/>
      <c r="AK147" s="14"/>
      <c r="AL147" s="14"/>
      <c r="AM147" s="14"/>
      <c r="AN147" s="14"/>
      <c r="AO147" s="551"/>
      <c r="AP147" s="552"/>
      <c r="AQ147" s="552"/>
      <c r="AR147" s="552"/>
      <c r="AS147" s="552"/>
      <c r="AT147" s="552"/>
      <c r="AU147" s="552"/>
      <c r="AV147" s="552"/>
      <c r="AW147" s="552"/>
      <c r="AX147" s="552"/>
      <c r="AY147" s="553"/>
      <c r="AZ147" s="14"/>
      <c r="BA147" s="14"/>
      <c r="BB147" s="119"/>
    </row>
    <row r="148" spans="3:54" ht="10.15" customHeight="1" x14ac:dyDescent="0.25">
      <c r="C148" s="142"/>
      <c r="D148" s="143"/>
      <c r="E148" s="143"/>
      <c r="F148" s="143"/>
      <c r="G148" s="143"/>
      <c r="H148" s="143"/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  <c r="AA148" s="143"/>
      <c r="AB148" s="143"/>
      <c r="AC148" s="143"/>
      <c r="AD148" s="143"/>
      <c r="AE148" s="143"/>
      <c r="AF148" s="143"/>
      <c r="AG148" s="143"/>
      <c r="AH148" s="143"/>
      <c r="AI148" s="143"/>
      <c r="AJ148" s="143"/>
      <c r="AK148" s="143"/>
      <c r="AL148" s="143"/>
      <c r="AM148" s="143"/>
      <c r="AN148" s="143"/>
      <c r="AO148" s="143"/>
      <c r="AP148" s="143"/>
      <c r="AQ148" s="143"/>
      <c r="AR148" s="143"/>
      <c r="AS148" s="143"/>
      <c r="AT148" s="143"/>
      <c r="AU148" s="143"/>
      <c r="AV148" s="143"/>
      <c r="AW148" s="143"/>
      <c r="AX148" s="143"/>
      <c r="AY148" s="143"/>
      <c r="AZ148" s="143"/>
      <c r="BA148" s="143"/>
      <c r="BB148" s="144"/>
    </row>
    <row r="151" spans="3:54" x14ac:dyDescent="0.25">
      <c r="C151" s="468"/>
    </row>
  </sheetData>
  <mergeCells count="48">
    <mergeCell ref="AR4:AY7"/>
    <mergeCell ref="P7:X8"/>
    <mergeCell ref="AR8:AY8"/>
    <mergeCell ref="AQ14:BA14"/>
    <mergeCell ref="E14:G14"/>
    <mergeCell ref="E25:G25"/>
    <mergeCell ref="E31:G31"/>
    <mergeCell ref="E33:G33"/>
    <mergeCell ref="AK42:BA42"/>
    <mergeCell ref="E17:G17"/>
    <mergeCell ref="H22:I22"/>
    <mergeCell ref="H20:I20"/>
    <mergeCell ref="AQ17:BA17"/>
    <mergeCell ref="AQ25:BA25"/>
    <mergeCell ref="AQ31:BA31"/>
    <mergeCell ref="AQ33:BA33"/>
    <mergeCell ref="AI38:AO38"/>
    <mergeCell ref="AU38:BA38"/>
    <mergeCell ref="AQ48:BA48"/>
    <mergeCell ref="AQ55:BA55"/>
    <mergeCell ref="G75:H75"/>
    <mergeCell ref="G77:H77"/>
    <mergeCell ref="AQ71:BA71"/>
    <mergeCell ref="AQ73:BA73"/>
    <mergeCell ref="G51:H51"/>
    <mergeCell ref="G53:H53"/>
    <mergeCell ref="G58:H58"/>
    <mergeCell ref="G60:H60"/>
    <mergeCell ref="G64:H64"/>
    <mergeCell ref="G66:H66"/>
    <mergeCell ref="AQ79:BA79"/>
    <mergeCell ref="AQ85:BA85"/>
    <mergeCell ref="AQ112:BA112"/>
    <mergeCell ref="G89:H89"/>
    <mergeCell ref="G93:H93"/>
    <mergeCell ref="G95:H95"/>
    <mergeCell ref="G101:H101"/>
    <mergeCell ref="G103:H103"/>
    <mergeCell ref="G108:H108"/>
    <mergeCell ref="G110:H110"/>
    <mergeCell ref="G81:H81"/>
    <mergeCell ref="G83:H83"/>
    <mergeCell ref="G87:H87"/>
    <mergeCell ref="P147:AF147"/>
    <mergeCell ref="AS141:AT141"/>
    <mergeCell ref="AO141:AR141"/>
    <mergeCell ref="AV141:AY141"/>
    <mergeCell ref="AO145:AY147"/>
  </mergeCells>
  <pageMargins left="0.25" right="0.25" top="0.75" bottom="0.75" header="0.3" footer="0.3"/>
  <pageSetup paperSize="9" scale="5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19604-EEE4-4354-B29C-FADB5101F51B}">
  <dimension ref="B4:BB118"/>
  <sheetViews>
    <sheetView showGridLines="0" topLeftCell="A22" zoomScale="85" zoomScaleNormal="85" workbookViewId="0">
      <selection activeCell="AF94" sqref="AF94:AI99"/>
    </sheetView>
  </sheetViews>
  <sheetFormatPr defaultRowHeight="15" x14ac:dyDescent="0.25"/>
  <cols>
    <col min="2" max="2" width="8.7109375" hidden="1" customWidth="1"/>
    <col min="3" max="3" width="4.28515625" customWidth="1"/>
    <col min="9" max="9" width="7" customWidth="1"/>
    <col min="10" max="10" width="5.42578125" customWidth="1"/>
    <col min="11" max="11" width="4" customWidth="1"/>
    <col min="12" max="12" width="5.7109375" customWidth="1"/>
    <col min="13" max="13" width="8" customWidth="1"/>
    <col min="14" max="14" width="4.28515625" customWidth="1"/>
    <col min="15" max="15" width="4.5703125" customWidth="1"/>
    <col min="16" max="32" width="4.28515625" customWidth="1"/>
    <col min="35" max="35" width="0.7109375" customWidth="1"/>
    <col min="36" max="39" width="4.28515625" customWidth="1"/>
  </cols>
  <sheetData>
    <row r="4" spans="3:40" x14ac:dyDescent="0.25">
      <c r="C4" s="165"/>
      <c r="D4" s="166"/>
      <c r="E4" s="166"/>
      <c r="F4" s="166"/>
      <c r="G4" s="166"/>
      <c r="H4" s="166"/>
      <c r="I4" s="166"/>
      <c r="J4" s="166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8"/>
    </row>
    <row r="5" spans="3:40" ht="15.75" x14ac:dyDescent="0.25">
      <c r="C5" s="169"/>
      <c r="D5" s="170" t="s">
        <v>202</v>
      </c>
      <c r="E5" s="14"/>
      <c r="F5" s="14"/>
      <c r="G5" s="14"/>
      <c r="H5" s="14"/>
      <c r="I5" s="14"/>
      <c r="J5" s="14"/>
      <c r="K5" s="163"/>
      <c r="L5" s="171" t="s">
        <v>28</v>
      </c>
      <c r="M5" s="172" t="s">
        <v>206</v>
      </c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  <c r="AB5" s="163"/>
      <c r="AC5" s="163"/>
      <c r="AD5" s="163"/>
      <c r="AE5" s="163"/>
      <c r="AF5" s="163"/>
      <c r="AG5" s="569" t="s">
        <v>210</v>
      </c>
      <c r="AH5" s="569"/>
      <c r="AI5" s="569"/>
      <c r="AJ5" s="569"/>
      <c r="AK5" s="569"/>
      <c r="AL5" s="569"/>
      <c r="AM5" s="569"/>
      <c r="AN5" s="173"/>
    </row>
    <row r="6" spans="3:40" ht="2.65" customHeight="1" x14ac:dyDescent="0.25">
      <c r="C6" s="169"/>
      <c r="D6" s="14"/>
      <c r="E6" s="14"/>
      <c r="F6" s="14"/>
      <c r="G6" s="14"/>
      <c r="H6" s="14"/>
      <c r="I6" s="14"/>
      <c r="J6" s="14"/>
      <c r="K6" s="163"/>
      <c r="L6" s="171"/>
      <c r="M6" s="172"/>
      <c r="N6" s="163"/>
      <c r="O6" s="163"/>
      <c r="P6" s="163"/>
      <c r="Q6" s="163"/>
      <c r="R6" s="163"/>
      <c r="S6" s="163"/>
      <c r="T6" s="163"/>
      <c r="U6" s="163"/>
      <c r="V6" s="163"/>
      <c r="W6" s="163"/>
      <c r="X6" s="163"/>
      <c r="Y6" s="163"/>
      <c r="Z6" s="163"/>
      <c r="AA6" s="163"/>
      <c r="AB6" s="163"/>
      <c r="AC6" s="163"/>
      <c r="AD6" s="163"/>
      <c r="AE6" s="163"/>
      <c r="AF6" s="163"/>
      <c r="AG6" s="569"/>
      <c r="AH6" s="569"/>
      <c r="AI6" s="569"/>
      <c r="AJ6" s="569"/>
      <c r="AK6" s="569"/>
      <c r="AL6" s="569"/>
      <c r="AM6" s="569"/>
      <c r="AN6" s="173"/>
    </row>
    <row r="7" spans="3:40" x14ac:dyDescent="0.25">
      <c r="C7" s="169"/>
      <c r="D7" s="174" t="s">
        <v>203</v>
      </c>
      <c r="E7" s="14"/>
      <c r="F7" s="14"/>
      <c r="G7" s="14"/>
      <c r="H7" s="14"/>
      <c r="I7" s="14"/>
      <c r="J7" s="14"/>
      <c r="K7" s="163"/>
      <c r="L7" s="171" t="s">
        <v>51</v>
      </c>
      <c r="M7" s="172" t="s">
        <v>207</v>
      </c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569"/>
      <c r="AH7" s="569"/>
      <c r="AI7" s="569"/>
      <c r="AJ7" s="569"/>
      <c r="AK7" s="569"/>
      <c r="AL7" s="569"/>
      <c r="AM7" s="569"/>
      <c r="AN7" s="173"/>
    </row>
    <row r="8" spans="3:40" ht="2.65" customHeight="1" x14ac:dyDescent="0.25">
      <c r="C8" s="169"/>
      <c r="D8" s="2"/>
      <c r="E8" s="14"/>
      <c r="F8" s="14"/>
      <c r="G8" s="14"/>
      <c r="H8" s="14"/>
      <c r="I8" s="14"/>
      <c r="J8" s="14"/>
      <c r="K8" s="163"/>
      <c r="L8" s="171"/>
      <c r="M8" s="172"/>
      <c r="N8" s="163"/>
      <c r="O8" s="163"/>
      <c r="P8" s="163"/>
      <c r="Q8" s="163"/>
      <c r="R8" s="163"/>
      <c r="S8" s="163"/>
      <c r="T8" s="163"/>
      <c r="U8" s="163"/>
      <c r="V8" s="163"/>
      <c r="W8" s="163"/>
      <c r="X8" s="163"/>
      <c r="Y8" s="163"/>
      <c r="Z8" s="163"/>
      <c r="AA8" s="163"/>
      <c r="AB8" s="163"/>
      <c r="AC8" s="163"/>
      <c r="AD8" s="163"/>
      <c r="AE8" s="163"/>
      <c r="AF8" s="163"/>
      <c r="AG8" s="569"/>
      <c r="AH8" s="569"/>
      <c r="AI8" s="569"/>
      <c r="AJ8" s="569"/>
      <c r="AK8" s="569"/>
      <c r="AL8" s="569"/>
      <c r="AM8" s="569"/>
      <c r="AN8" s="173"/>
    </row>
    <row r="9" spans="3:40" x14ac:dyDescent="0.25">
      <c r="C9" s="169"/>
      <c r="D9" s="174" t="s">
        <v>604</v>
      </c>
      <c r="E9" s="175"/>
      <c r="F9" s="175"/>
      <c r="G9" s="175"/>
      <c r="H9" s="175"/>
      <c r="I9" s="175"/>
      <c r="J9" s="14"/>
      <c r="K9" s="163"/>
      <c r="L9" s="171" t="s">
        <v>81</v>
      </c>
      <c r="M9" s="172" t="s">
        <v>208</v>
      </c>
      <c r="N9" s="163"/>
      <c r="O9" s="163"/>
      <c r="P9" s="163"/>
      <c r="Q9" s="163"/>
      <c r="R9" s="163"/>
      <c r="S9" s="163"/>
      <c r="T9" s="163"/>
      <c r="U9" s="163"/>
      <c r="V9" s="163"/>
      <c r="W9" s="163"/>
      <c r="X9" s="163"/>
      <c r="Y9" s="163"/>
      <c r="Z9" s="163"/>
      <c r="AA9" s="163"/>
      <c r="AB9" s="163"/>
      <c r="AC9" s="163"/>
      <c r="AD9" s="163"/>
      <c r="AE9" s="163"/>
      <c r="AF9" s="163"/>
      <c r="AG9" s="569"/>
      <c r="AH9" s="569"/>
      <c r="AI9" s="569"/>
      <c r="AJ9" s="569"/>
      <c r="AK9" s="569"/>
      <c r="AL9" s="569"/>
      <c r="AM9" s="569"/>
      <c r="AN9" s="173"/>
    </row>
    <row r="10" spans="3:40" ht="2.65" customHeight="1" x14ac:dyDescent="0.25">
      <c r="C10" s="169"/>
      <c r="D10" s="2"/>
      <c r="E10" s="175"/>
      <c r="F10" s="175"/>
      <c r="G10" s="175"/>
      <c r="H10" s="175"/>
      <c r="I10" s="175"/>
      <c r="J10" s="14"/>
      <c r="K10" s="163"/>
      <c r="L10" s="171"/>
      <c r="M10" s="172"/>
      <c r="N10" s="163"/>
      <c r="O10" s="163"/>
      <c r="P10" s="163"/>
      <c r="Q10" s="163"/>
      <c r="R10" s="163"/>
      <c r="S10" s="163"/>
      <c r="T10" s="163"/>
      <c r="U10" s="163"/>
      <c r="V10" s="163"/>
      <c r="W10" s="163"/>
      <c r="X10" s="163"/>
      <c r="Y10" s="163"/>
      <c r="Z10" s="163"/>
      <c r="AA10" s="163"/>
      <c r="AB10" s="163"/>
      <c r="AC10" s="163"/>
      <c r="AD10" s="163"/>
      <c r="AE10" s="163"/>
      <c r="AF10" s="163"/>
      <c r="AG10" s="570" t="s">
        <v>6</v>
      </c>
      <c r="AH10" s="570"/>
      <c r="AI10" s="570"/>
      <c r="AJ10" s="570"/>
      <c r="AK10" s="570"/>
      <c r="AL10" s="570"/>
      <c r="AM10" s="570"/>
      <c r="AN10" s="173"/>
    </row>
    <row r="11" spans="3:40" x14ac:dyDescent="0.25">
      <c r="C11" s="169"/>
      <c r="D11" s="174" t="s">
        <v>204</v>
      </c>
      <c r="E11" s="175"/>
      <c r="F11" s="175"/>
      <c r="G11" s="175"/>
      <c r="H11" s="175"/>
      <c r="I11" s="175"/>
      <c r="J11" s="14"/>
      <c r="K11" s="163"/>
      <c r="L11" s="171" t="s">
        <v>95</v>
      </c>
      <c r="M11" s="172" t="s">
        <v>209</v>
      </c>
      <c r="N11" s="163"/>
      <c r="O11" s="163"/>
      <c r="P11" s="163"/>
      <c r="Q11" s="163"/>
      <c r="R11" s="163"/>
      <c r="S11" s="163"/>
      <c r="T11" s="163"/>
      <c r="U11" s="163"/>
      <c r="V11" s="163"/>
      <c r="W11" s="163"/>
      <c r="X11" s="163"/>
      <c r="Y11" s="163"/>
      <c r="Z11" s="163"/>
      <c r="AA11" s="163"/>
      <c r="AB11" s="163"/>
      <c r="AC11" s="163"/>
      <c r="AD11" s="163"/>
      <c r="AE11" s="163"/>
      <c r="AF11" s="163"/>
      <c r="AG11" s="570"/>
      <c r="AH11" s="570"/>
      <c r="AI11" s="570"/>
      <c r="AJ11" s="570"/>
      <c r="AK11" s="570"/>
      <c r="AL11" s="570"/>
      <c r="AM11" s="570"/>
      <c r="AN11" s="173"/>
    </row>
    <row r="12" spans="3:40" ht="2.65" customHeight="1" x14ac:dyDescent="0.25">
      <c r="C12" s="169"/>
      <c r="D12" s="2"/>
      <c r="E12" s="175"/>
      <c r="F12" s="175"/>
      <c r="G12" s="175"/>
      <c r="H12" s="175"/>
      <c r="I12" s="175"/>
      <c r="J12" s="14"/>
      <c r="K12" s="163"/>
      <c r="L12" s="171"/>
      <c r="M12" s="172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  <c r="AA12" s="163"/>
      <c r="AB12" s="163"/>
      <c r="AC12" s="163"/>
      <c r="AD12" s="163"/>
      <c r="AE12" s="163"/>
      <c r="AF12" s="163"/>
      <c r="AG12" s="570"/>
      <c r="AH12" s="570"/>
      <c r="AI12" s="570"/>
      <c r="AJ12" s="570"/>
      <c r="AK12" s="570"/>
      <c r="AL12" s="570"/>
      <c r="AM12" s="570"/>
      <c r="AN12" s="173"/>
    </row>
    <row r="13" spans="3:40" x14ac:dyDescent="0.25">
      <c r="C13" s="169"/>
      <c r="D13" s="174" t="s">
        <v>605</v>
      </c>
      <c r="E13" s="175"/>
      <c r="F13" s="175"/>
      <c r="G13" s="175"/>
      <c r="H13" s="175"/>
      <c r="I13" s="175"/>
      <c r="J13" s="14"/>
      <c r="K13" s="163"/>
      <c r="L13" s="171" t="s">
        <v>119</v>
      </c>
      <c r="M13" s="172" t="s">
        <v>615</v>
      </c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  <c r="AA13" s="163"/>
      <c r="AB13" s="163"/>
      <c r="AC13" s="163"/>
      <c r="AD13" s="163"/>
      <c r="AE13" s="163"/>
      <c r="AF13" s="163"/>
      <c r="AG13" s="570"/>
      <c r="AH13" s="570"/>
      <c r="AI13" s="570"/>
      <c r="AJ13" s="570"/>
      <c r="AK13" s="570"/>
      <c r="AL13" s="570"/>
      <c r="AM13" s="570"/>
      <c r="AN13" s="173"/>
    </row>
    <row r="14" spans="3:40" ht="2.65" customHeight="1" x14ac:dyDescent="0.25">
      <c r="C14" s="169"/>
      <c r="D14" s="2"/>
      <c r="E14" s="175"/>
      <c r="F14" s="175"/>
      <c r="G14" s="175"/>
      <c r="H14" s="175"/>
      <c r="I14" s="175"/>
      <c r="J14" s="14"/>
      <c r="K14" s="163"/>
      <c r="L14" s="176"/>
      <c r="M14" s="176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163"/>
      <c r="Z14" s="163"/>
      <c r="AA14" s="163"/>
      <c r="AB14" s="163"/>
      <c r="AC14" s="163"/>
      <c r="AD14" s="163"/>
      <c r="AE14" s="163"/>
      <c r="AF14" s="163"/>
      <c r="AG14" s="163"/>
      <c r="AH14" s="163"/>
      <c r="AI14" s="163"/>
      <c r="AJ14" s="163"/>
      <c r="AK14" s="163"/>
      <c r="AL14" s="163"/>
      <c r="AM14" s="163"/>
      <c r="AN14" s="173"/>
    </row>
    <row r="15" spans="3:40" x14ac:dyDescent="0.25">
      <c r="C15" s="169"/>
      <c r="D15" s="174" t="s">
        <v>606</v>
      </c>
      <c r="E15" s="14"/>
      <c r="F15" s="14"/>
      <c r="G15" s="14"/>
      <c r="H15" s="14"/>
      <c r="I15" s="14"/>
      <c r="J15" s="14"/>
      <c r="K15" s="163"/>
      <c r="L15" s="176"/>
      <c r="M15" s="176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  <c r="AA15" s="163"/>
      <c r="AB15" s="163"/>
      <c r="AC15" s="163"/>
      <c r="AD15" s="163"/>
      <c r="AE15" s="163"/>
      <c r="AF15" s="163"/>
      <c r="AG15" s="163"/>
      <c r="AH15" s="163"/>
      <c r="AI15" s="163"/>
      <c r="AJ15" s="163"/>
      <c r="AK15" s="163"/>
      <c r="AL15" s="163"/>
      <c r="AM15" s="163"/>
      <c r="AN15" s="173"/>
    </row>
    <row r="16" spans="3:40" ht="2.65" customHeight="1" x14ac:dyDescent="0.25">
      <c r="C16" s="169"/>
      <c r="D16" s="2"/>
      <c r="E16" s="14"/>
      <c r="F16" s="14"/>
      <c r="G16" s="14"/>
      <c r="H16" s="14"/>
      <c r="I16" s="14"/>
      <c r="J16" s="14"/>
      <c r="K16" s="163"/>
      <c r="L16" s="176"/>
      <c r="M16" s="176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  <c r="AA16" s="163"/>
      <c r="AB16" s="163"/>
      <c r="AC16" s="163"/>
      <c r="AD16" s="163"/>
      <c r="AE16" s="163"/>
      <c r="AF16" s="163"/>
      <c r="AG16" s="163"/>
      <c r="AH16" s="163"/>
      <c r="AI16" s="163"/>
      <c r="AJ16" s="163"/>
      <c r="AK16" s="163"/>
      <c r="AL16" s="163"/>
      <c r="AM16" s="163"/>
      <c r="AN16" s="173"/>
    </row>
    <row r="17" spans="3:54" ht="16.5" customHeight="1" x14ac:dyDescent="0.25">
      <c r="C17" s="169"/>
      <c r="D17" s="174" t="s">
        <v>205</v>
      </c>
      <c r="E17" s="14"/>
      <c r="F17" s="14"/>
      <c r="G17" s="14"/>
      <c r="H17" s="14"/>
      <c r="I17" s="14"/>
      <c r="J17" s="14"/>
      <c r="K17" s="163"/>
      <c r="L17" s="171" t="s">
        <v>36</v>
      </c>
      <c r="M17" s="176"/>
      <c r="N17" s="352">
        <f>'INDUK 1'!P26</f>
        <v>3</v>
      </c>
      <c r="O17" s="352">
        <f>'INDUK 1'!Q26</f>
        <v>4</v>
      </c>
      <c r="P17" s="352">
        <f>'INDUK 1'!R26</f>
        <v>0</v>
      </c>
      <c r="Q17" s="352">
        <f>'INDUK 1'!S26</f>
        <v>2</v>
      </c>
      <c r="R17" s="352">
        <f>'INDUK 1'!T26</f>
        <v>0</v>
      </c>
      <c r="S17" s="352">
        <f>'INDUK 1'!U26</f>
        <v>1</v>
      </c>
      <c r="T17" s="352">
        <f>'INDUK 1'!V26</f>
        <v>1</v>
      </c>
      <c r="U17" s="352">
        <f>'INDUK 1'!W26</f>
        <v>2</v>
      </c>
      <c r="V17" s="352">
        <f>'INDUK 1'!X26</f>
        <v>3</v>
      </c>
      <c r="W17" s="352">
        <f>'INDUK 1'!Y26</f>
        <v>4</v>
      </c>
      <c r="X17" s="352">
        <f>'INDUK 1'!Z26</f>
        <v>5</v>
      </c>
      <c r="Y17" s="352">
        <f>'INDUK 1'!AA26</f>
        <v>6</v>
      </c>
      <c r="Z17" s="352">
        <f>'INDUK 1'!AB26</f>
        <v>0</v>
      </c>
      <c r="AA17" s="352">
        <f>'INDUK 1'!AC26</f>
        <v>0</v>
      </c>
      <c r="AB17" s="352">
        <f>'INDUK 1'!AD26</f>
        <v>0</v>
      </c>
      <c r="AC17" s="352">
        <f>'INDUK 1'!AE26</f>
        <v>1</v>
      </c>
      <c r="AD17" s="352"/>
      <c r="AE17" s="163"/>
      <c r="AF17" s="163"/>
      <c r="AG17" s="164" t="s">
        <v>11</v>
      </c>
      <c r="AH17" s="176"/>
      <c r="AI17" s="163"/>
      <c r="AJ17" s="364">
        <f>'INDUK 1'!D17</f>
        <v>2</v>
      </c>
      <c r="AK17" s="364">
        <f>'INDUK 1'!G17</f>
        <v>0</v>
      </c>
      <c r="AL17" s="364">
        <f>'INDUK 1'!K17</f>
        <v>2</v>
      </c>
      <c r="AM17" s="364">
        <f>'INDUK 1'!O17</f>
        <v>5</v>
      </c>
      <c r="AN17" s="173"/>
    </row>
    <row r="18" spans="3:54" x14ac:dyDescent="0.25">
      <c r="C18" s="169"/>
      <c r="D18" s="14"/>
      <c r="E18" s="14"/>
      <c r="F18" s="14"/>
      <c r="G18" s="14"/>
      <c r="H18" s="14"/>
      <c r="I18" s="14"/>
      <c r="J18" s="14"/>
      <c r="K18" s="163"/>
      <c r="L18" s="163"/>
      <c r="M18" s="163"/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  <c r="AA18" s="163"/>
      <c r="AB18" s="163"/>
      <c r="AC18" s="163"/>
      <c r="AD18" s="163"/>
      <c r="AE18" s="163"/>
      <c r="AF18" s="163"/>
      <c r="AG18" s="163"/>
      <c r="AH18" s="163"/>
      <c r="AI18" s="163"/>
      <c r="AJ18" s="163"/>
      <c r="AK18" s="163"/>
      <c r="AL18" s="163"/>
      <c r="AM18" s="163"/>
      <c r="AN18" s="173"/>
    </row>
    <row r="19" spans="3:54" ht="3.6" customHeight="1" x14ac:dyDescent="0.25">
      <c r="C19" s="39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  <c r="AL19" s="115"/>
      <c r="AM19" s="115"/>
      <c r="AN19" s="177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6"/>
    </row>
    <row r="20" spans="3:54" x14ac:dyDescent="0.25">
      <c r="C20" s="37" t="s">
        <v>28</v>
      </c>
      <c r="D20" s="319" t="s">
        <v>206</v>
      </c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178"/>
      <c r="AO20" s="153"/>
      <c r="AP20" s="153"/>
      <c r="AQ20" s="153"/>
      <c r="AR20" s="153"/>
      <c r="AS20" s="153"/>
      <c r="AT20" s="153"/>
      <c r="AU20" s="153"/>
      <c r="AV20" s="153"/>
      <c r="AW20" s="153"/>
      <c r="AX20" s="153"/>
      <c r="AY20" s="153"/>
      <c r="AZ20" s="153"/>
      <c r="BA20" s="154"/>
      <c r="BB20" s="154"/>
    </row>
    <row r="21" spans="3:54" ht="3" customHeight="1" x14ac:dyDescent="0.25">
      <c r="C21" s="53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179"/>
      <c r="AO21" s="153"/>
      <c r="AP21" s="153"/>
      <c r="AQ21" s="153"/>
      <c r="AR21" s="153"/>
      <c r="AS21" s="153"/>
      <c r="AT21" s="153"/>
      <c r="AU21" s="153"/>
      <c r="AV21" s="153"/>
      <c r="AW21" s="153"/>
      <c r="AX21" s="153"/>
      <c r="AY21" s="153"/>
      <c r="AZ21" s="153"/>
      <c r="BA21" s="153"/>
      <c r="BB21" s="154"/>
    </row>
    <row r="22" spans="3:54" ht="17.649999999999999" customHeight="1" x14ac:dyDescent="0.25">
      <c r="C22" s="180" t="s">
        <v>30</v>
      </c>
      <c r="D22" s="181" t="s">
        <v>192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182"/>
    </row>
    <row r="23" spans="3:54" ht="3" customHeight="1" x14ac:dyDescent="0.25">
      <c r="C23" s="155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57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 spans="3:54" ht="14.65" customHeight="1" x14ac:dyDescent="0.25">
      <c r="C24" s="571" t="s">
        <v>193</v>
      </c>
      <c r="D24" s="571"/>
      <c r="E24" s="574" t="s">
        <v>194</v>
      </c>
      <c r="F24" s="575"/>
      <c r="G24" s="576"/>
      <c r="H24" s="574" t="s">
        <v>195</v>
      </c>
      <c r="I24" s="575"/>
      <c r="J24" s="576"/>
      <c r="K24" s="583" t="s">
        <v>196</v>
      </c>
      <c r="L24" s="584"/>
      <c r="M24" s="571" t="s">
        <v>197</v>
      </c>
      <c r="N24" s="571"/>
      <c r="O24" s="571"/>
      <c r="P24" s="571"/>
      <c r="Q24" s="571"/>
      <c r="R24" s="571"/>
      <c r="S24" s="571"/>
      <c r="T24" s="571" t="s">
        <v>201</v>
      </c>
      <c r="U24" s="571"/>
      <c r="V24" s="571"/>
      <c r="W24" s="571"/>
      <c r="X24" s="571"/>
      <c r="Y24" s="571"/>
      <c r="Z24" s="557" t="s">
        <v>198</v>
      </c>
      <c r="AA24" s="557"/>
      <c r="AB24" s="557"/>
      <c r="AC24" s="557"/>
      <c r="AD24" s="557" t="s">
        <v>199</v>
      </c>
      <c r="AE24" s="557"/>
      <c r="AF24" s="557"/>
      <c r="AG24" s="557"/>
      <c r="AH24" s="557"/>
      <c r="AI24" s="557"/>
      <c r="AJ24" s="559" t="s">
        <v>211</v>
      </c>
      <c r="AK24" s="559"/>
      <c r="AL24" s="559"/>
      <c r="AM24" s="559"/>
      <c r="AN24" s="559"/>
      <c r="AO24" s="568"/>
      <c r="AP24" s="568"/>
      <c r="AQ24" s="568"/>
      <c r="AR24" s="568"/>
      <c r="AS24" s="568"/>
      <c r="AT24" s="568"/>
      <c r="AU24" s="568"/>
      <c r="AV24" s="568"/>
    </row>
    <row r="25" spans="3:54" ht="14.65" customHeight="1" x14ac:dyDescent="0.25">
      <c r="C25" s="571"/>
      <c r="D25" s="571"/>
      <c r="E25" s="577"/>
      <c r="F25" s="578"/>
      <c r="G25" s="579"/>
      <c r="H25" s="577"/>
      <c r="I25" s="578"/>
      <c r="J25" s="579"/>
      <c r="K25" s="560"/>
      <c r="L25" s="562"/>
      <c r="M25" s="571"/>
      <c r="N25" s="571"/>
      <c r="O25" s="571"/>
      <c r="P25" s="571"/>
      <c r="Q25" s="571"/>
      <c r="R25" s="571"/>
      <c r="S25" s="571"/>
      <c r="T25" s="571"/>
      <c r="U25" s="571"/>
      <c r="V25" s="571"/>
      <c r="W25" s="571"/>
      <c r="X25" s="571"/>
      <c r="Y25" s="571"/>
      <c r="Z25" s="557"/>
      <c r="AA25" s="557"/>
      <c r="AB25" s="557"/>
      <c r="AC25" s="557"/>
      <c r="AD25" s="557"/>
      <c r="AE25" s="557"/>
      <c r="AF25" s="557"/>
      <c r="AG25" s="557"/>
      <c r="AH25" s="557"/>
      <c r="AI25" s="558"/>
      <c r="AJ25" s="560" t="s">
        <v>212</v>
      </c>
      <c r="AK25" s="561"/>
      <c r="AL25" s="561"/>
      <c r="AM25" s="561"/>
      <c r="AN25" s="562"/>
      <c r="AO25" s="568"/>
      <c r="AP25" s="568"/>
      <c r="AQ25" s="568"/>
      <c r="AR25" s="568"/>
      <c r="AS25" s="568"/>
      <c r="AT25" s="568"/>
      <c r="AU25" s="568"/>
      <c r="AV25" s="568"/>
    </row>
    <row r="26" spans="3:54" x14ac:dyDescent="0.25">
      <c r="C26" s="571"/>
      <c r="D26" s="571"/>
      <c r="E26" s="580"/>
      <c r="F26" s="581"/>
      <c r="G26" s="582"/>
      <c r="H26" s="580"/>
      <c r="I26" s="581"/>
      <c r="J26" s="582"/>
      <c r="K26" s="563"/>
      <c r="L26" s="565"/>
      <c r="M26" s="571"/>
      <c r="N26" s="571"/>
      <c r="O26" s="571"/>
      <c r="P26" s="571"/>
      <c r="Q26" s="571"/>
      <c r="R26" s="571"/>
      <c r="S26" s="571"/>
      <c r="T26" s="571"/>
      <c r="U26" s="571"/>
      <c r="V26" s="571"/>
      <c r="W26" s="571"/>
      <c r="X26" s="571"/>
      <c r="Y26" s="571"/>
      <c r="Z26" s="557"/>
      <c r="AA26" s="557"/>
      <c r="AB26" s="557"/>
      <c r="AC26" s="557"/>
      <c r="AD26" s="557"/>
      <c r="AE26" s="557"/>
      <c r="AF26" s="557"/>
      <c r="AG26" s="557"/>
      <c r="AH26" s="557"/>
      <c r="AI26" s="558"/>
      <c r="AJ26" s="563"/>
      <c r="AK26" s="564"/>
      <c r="AL26" s="564"/>
      <c r="AM26" s="564"/>
      <c r="AN26" s="565"/>
      <c r="AO26" s="568"/>
      <c r="AP26" s="568"/>
      <c r="AQ26" s="568"/>
      <c r="AR26" s="568"/>
      <c r="AS26" s="568"/>
      <c r="AT26" s="568"/>
      <c r="AU26" s="568"/>
      <c r="AV26" s="568"/>
    </row>
    <row r="27" spans="3:54" s="149" customFormat="1" ht="9.6" customHeight="1" x14ac:dyDescent="0.25">
      <c r="C27" s="566" t="s">
        <v>213</v>
      </c>
      <c r="D27" s="567"/>
      <c r="E27" s="585" t="s">
        <v>214</v>
      </c>
      <c r="F27" s="586"/>
      <c r="G27" s="586"/>
      <c r="H27" s="586" t="s">
        <v>215</v>
      </c>
      <c r="I27" s="586"/>
      <c r="J27" s="587"/>
      <c r="K27" s="588" t="s">
        <v>216</v>
      </c>
      <c r="L27" s="589"/>
      <c r="M27" s="566" t="s">
        <v>217</v>
      </c>
      <c r="N27" s="567"/>
      <c r="O27" s="567"/>
      <c r="P27" s="567"/>
      <c r="Q27" s="567"/>
      <c r="R27" s="567"/>
      <c r="S27" s="567"/>
      <c r="T27" s="566" t="s">
        <v>218</v>
      </c>
      <c r="U27" s="567"/>
      <c r="V27" s="567"/>
      <c r="W27" s="567"/>
      <c r="X27" s="567"/>
      <c r="Y27" s="567"/>
      <c r="Z27" s="566" t="s">
        <v>219</v>
      </c>
      <c r="AA27" s="567"/>
      <c r="AB27" s="567"/>
      <c r="AC27" s="567"/>
      <c r="AD27" s="566" t="s">
        <v>220</v>
      </c>
      <c r="AE27" s="566"/>
      <c r="AF27" s="566"/>
      <c r="AG27" s="566"/>
      <c r="AH27" s="566"/>
      <c r="AI27" s="566"/>
      <c r="AJ27" s="572" t="s">
        <v>223</v>
      </c>
      <c r="AK27" s="573"/>
      <c r="AL27" s="573"/>
      <c r="AM27" s="573"/>
      <c r="AN27" s="573"/>
    </row>
    <row r="28" spans="3:54" x14ac:dyDescent="0.25">
      <c r="C28" s="591" t="s">
        <v>668</v>
      </c>
      <c r="D28" s="590"/>
      <c r="E28" s="620" t="s">
        <v>1229</v>
      </c>
      <c r="F28" s="615"/>
      <c r="G28" s="616"/>
      <c r="H28" s="614" t="s">
        <v>1227</v>
      </c>
      <c r="I28" s="615"/>
      <c r="J28" s="616"/>
      <c r="K28" s="622" t="s">
        <v>1228</v>
      </c>
      <c r="L28" s="623"/>
      <c r="M28" s="590" t="s">
        <v>1231</v>
      </c>
      <c r="N28" s="590"/>
      <c r="O28" s="590"/>
      <c r="P28" s="590"/>
      <c r="Q28" s="590"/>
      <c r="R28" s="590"/>
      <c r="S28" s="590"/>
      <c r="T28" s="590" t="s">
        <v>1226</v>
      </c>
      <c r="U28" s="590"/>
      <c r="V28" s="590"/>
      <c r="W28" s="590"/>
      <c r="X28" s="590"/>
      <c r="Y28" s="590"/>
      <c r="Z28" s="590">
        <v>2013</v>
      </c>
      <c r="AA28" s="590"/>
      <c r="AB28" s="590"/>
      <c r="AC28" s="590"/>
      <c r="AD28" s="605">
        <f>'SOAL KASUS'!F55</f>
        <v>300000000</v>
      </c>
      <c r="AE28" s="605"/>
      <c r="AF28" s="605"/>
      <c r="AG28" s="605"/>
      <c r="AH28" s="605"/>
      <c r="AI28" s="605"/>
      <c r="AJ28" s="603" t="s">
        <v>112</v>
      </c>
      <c r="AK28" s="604"/>
      <c r="AL28" s="604"/>
      <c r="AM28" s="604"/>
      <c r="AN28" s="604"/>
    </row>
    <row r="29" spans="3:54" x14ac:dyDescent="0.25">
      <c r="C29" s="590"/>
      <c r="D29" s="590"/>
      <c r="E29" s="617"/>
      <c r="F29" s="618"/>
      <c r="G29" s="619"/>
      <c r="H29" s="617"/>
      <c r="I29" s="618"/>
      <c r="J29" s="619"/>
      <c r="K29" s="624"/>
      <c r="L29" s="625"/>
      <c r="M29" s="590"/>
      <c r="N29" s="590"/>
      <c r="O29" s="590"/>
      <c r="P29" s="590"/>
      <c r="Q29" s="590"/>
      <c r="R29" s="590"/>
      <c r="S29" s="590"/>
      <c r="T29" s="590"/>
      <c r="U29" s="590"/>
      <c r="V29" s="590"/>
      <c r="W29" s="590"/>
      <c r="X29" s="590"/>
      <c r="Y29" s="590"/>
      <c r="Z29" s="590"/>
      <c r="AA29" s="590"/>
      <c r="AB29" s="590"/>
      <c r="AC29" s="590"/>
      <c r="AD29" s="605"/>
      <c r="AE29" s="605"/>
      <c r="AF29" s="605"/>
      <c r="AG29" s="605"/>
      <c r="AH29" s="605"/>
      <c r="AI29" s="605"/>
      <c r="AJ29" s="604"/>
      <c r="AK29" s="604"/>
      <c r="AL29" s="604"/>
      <c r="AM29" s="604"/>
      <c r="AN29" s="604"/>
    </row>
    <row r="30" spans="3:54" s="355" customFormat="1" x14ac:dyDescent="0.25">
      <c r="C30" s="591" t="s">
        <v>670</v>
      </c>
      <c r="D30" s="590"/>
      <c r="E30" s="620" t="s">
        <v>1230</v>
      </c>
      <c r="F30" s="615"/>
      <c r="G30" s="616"/>
      <c r="H30" s="614" t="s">
        <v>112</v>
      </c>
      <c r="I30" s="615"/>
      <c r="J30" s="616"/>
      <c r="K30" s="614" t="s">
        <v>112</v>
      </c>
      <c r="L30" s="616"/>
      <c r="M30" s="591" t="s">
        <v>112</v>
      </c>
      <c r="N30" s="590"/>
      <c r="O30" s="590"/>
      <c r="P30" s="590"/>
      <c r="Q30" s="590"/>
      <c r="R30" s="590"/>
      <c r="S30" s="590"/>
      <c r="T30" s="590" t="s">
        <v>1226</v>
      </c>
      <c r="U30" s="590"/>
      <c r="V30" s="590"/>
      <c r="W30" s="590"/>
      <c r="X30" s="590"/>
      <c r="Y30" s="590"/>
      <c r="Z30" s="590">
        <v>2025</v>
      </c>
      <c r="AA30" s="590"/>
      <c r="AB30" s="590"/>
      <c r="AC30" s="590"/>
      <c r="AD30" s="605">
        <f>'SOAL KASUS'!F59</f>
        <v>50000000</v>
      </c>
      <c r="AE30" s="605"/>
      <c r="AF30" s="605"/>
      <c r="AG30" s="605"/>
      <c r="AH30" s="605"/>
      <c r="AI30" s="605"/>
      <c r="AJ30" s="591" t="s">
        <v>112</v>
      </c>
      <c r="AK30" s="590"/>
      <c r="AL30" s="590"/>
      <c r="AM30" s="590"/>
      <c r="AN30" s="590"/>
    </row>
    <row r="31" spans="3:54" s="355" customFormat="1" x14ac:dyDescent="0.25">
      <c r="C31" s="590"/>
      <c r="D31" s="590"/>
      <c r="E31" s="617"/>
      <c r="F31" s="618"/>
      <c r="G31" s="619"/>
      <c r="H31" s="617"/>
      <c r="I31" s="618"/>
      <c r="J31" s="619"/>
      <c r="K31" s="617"/>
      <c r="L31" s="619"/>
      <c r="M31" s="590"/>
      <c r="N31" s="590"/>
      <c r="O31" s="590"/>
      <c r="P31" s="590"/>
      <c r="Q31" s="590"/>
      <c r="R31" s="590"/>
      <c r="S31" s="590"/>
      <c r="T31" s="590"/>
      <c r="U31" s="590"/>
      <c r="V31" s="590"/>
      <c r="W31" s="590"/>
      <c r="X31" s="590"/>
      <c r="Y31" s="590"/>
      <c r="Z31" s="590"/>
      <c r="AA31" s="590"/>
      <c r="AB31" s="590"/>
      <c r="AC31" s="590"/>
      <c r="AD31" s="605"/>
      <c r="AE31" s="605"/>
      <c r="AF31" s="605"/>
      <c r="AG31" s="605"/>
      <c r="AH31" s="605"/>
      <c r="AI31" s="605"/>
      <c r="AJ31" s="590"/>
      <c r="AK31" s="590"/>
      <c r="AL31" s="590"/>
      <c r="AM31" s="590"/>
      <c r="AN31" s="590"/>
    </row>
    <row r="32" spans="3:54" hidden="1" x14ac:dyDescent="0.25">
      <c r="C32" s="592"/>
      <c r="D32" s="592"/>
      <c r="E32" s="593"/>
      <c r="F32" s="594"/>
      <c r="G32" s="595"/>
      <c r="H32" s="593"/>
      <c r="I32" s="594"/>
      <c r="J32" s="595"/>
      <c r="K32" s="593"/>
      <c r="L32" s="595"/>
      <c r="M32" s="592"/>
      <c r="N32" s="592"/>
      <c r="O32" s="592"/>
      <c r="P32" s="592"/>
      <c r="Q32" s="592"/>
      <c r="R32" s="592"/>
      <c r="S32" s="592"/>
      <c r="T32" s="592"/>
      <c r="U32" s="592"/>
      <c r="V32" s="592"/>
      <c r="W32" s="592"/>
      <c r="X32" s="592"/>
      <c r="Y32" s="592"/>
      <c r="Z32" s="592"/>
      <c r="AA32" s="592"/>
      <c r="AB32" s="592"/>
      <c r="AC32" s="592"/>
      <c r="AD32" s="602"/>
      <c r="AE32" s="602"/>
      <c r="AF32" s="602"/>
      <c r="AG32" s="602"/>
      <c r="AH32" s="602"/>
      <c r="AI32" s="602"/>
      <c r="AJ32" s="592"/>
      <c r="AK32" s="592"/>
      <c r="AL32" s="592"/>
      <c r="AM32" s="592"/>
      <c r="AN32" s="592"/>
    </row>
    <row r="33" spans="3:40" hidden="1" x14ac:dyDescent="0.25">
      <c r="C33" s="592"/>
      <c r="D33" s="592"/>
      <c r="E33" s="596"/>
      <c r="F33" s="597"/>
      <c r="G33" s="598"/>
      <c r="H33" s="596"/>
      <c r="I33" s="597"/>
      <c r="J33" s="598"/>
      <c r="K33" s="596"/>
      <c r="L33" s="598"/>
      <c r="M33" s="592"/>
      <c r="N33" s="592"/>
      <c r="O33" s="592"/>
      <c r="P33" s="592"/>
      <c r="Q33" s="592"/>
      <c r="R33" s="592"/>
      <c r="S33" s="592"/>
      <c r="T33" s="592"/>
      <c r="U33" s="592"/>
      <c r="V33" s="592"/>
      <c r="W33" s="592"/>
      <c r="X33" s="592"/>
      <c r="Y33" s="592"/>
      <c r="Z33" s="592"/>
      <c r="AA33" s="592"/>
      <c r="AB33" s="592"/>
      <c r="AC33" s="592"/>
      <c r="AD33" s="602"/>
      <c r="AE33" s="602"/>
      <c r="AF33" s="602"/>
      <c r="AG33" s="602"/>
      <c r="AH33" s="602"/>
      <c r="AI33" s="602"/>
      <c r="AJ33" s="592"/>
      <c r="AK33" s="592"/>
      <c r="AL33" s="592"/>
      <c r="AM33" s="592"/>
      <c r="AN33" s="592"/>
    </row>
    <row r="34" spans="3:40" hidden="1" x14ac:dyDescent="0.25">
      <c r="C34" s="592"/>
      <c r="D34" s="592"/>
      <c r="E34" s="593"/>
      <c r="F34" s="594"/>
      <c r="G34" s="595"/>
      <c r="H34" s="593"/>
      <c r="I34" s="594"/>
      <c r="J34" s="595"/>
      <c r="K34" s="593"/>
      <c r="L34" s="595"/>
      <c r="M34" s="592"/>
      <c r="N34" s="592"/>
      <c r="O34" s="592"/>
      <c r="P34" s="592"/>
      <c r="Q34" s="592"/>
      <c r="R34" s="592"/>
      <c r="S34" s="592"/>
      <c r="T34" s="592"/>
      <c r="U34" s="592"/>
      <c r="V34" s="592"/>
      <c r="W34" s="592"/>
      <c r="X34" s="592"/>
      <c r="Y34" s="592"/>
      <c r="Z34" s="592"/>
      <c r="AA34" s="592"/>
      <c r="AB34" s="592"/>
      <c r="AC34" s="592"/>
      <c r="AD34" s="602"/>
      <c r="AE34" s="602"/>
      <c r="AF34" s="602"/>
      <c r="AG34" s="602"/>
      <c r="AH34" s="602"/>
      <c r="AI34" s="602"/>
      <c r="AJ34" s="592"/>
      <c r="AK34" s="592"/>
      <c r="AL34" s="592"/>
      <c r="AM34" s="592"/>
      <c r="AN34" s="592"/>
    </row>
    <row r="35" spans="3:40" hidden="1" x14ac:dyDescent="0.25">
      <c r="C35" s="592"/>
      <c r="D35" s="592"/>
      <c r="E35" s="596"/>
      <c r="F35" s="597"/>
      <c r="G35" s="598"/>
      <c r="H35" s="596"/>
      <c r="I35" s="597"/>
      <c r="J35" s="598"/>
      <c r="K35" s="596"/>
      <c r="L35" s="598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Y35" s="592"/>
      <c r="Z35" s="592"/>
      <c r="AA35" s="592"/>
      <c r="AB35" s="592"/>
      <c r="AC35" s="592"/>
      <c r="AD35" s="602"/>
      <c r="AE35" s="602"/>
      <c r="AF35" s="602"/>
      <c r="AG35" s="602"/>
      <c r="AH35" s="602"/>
      <c r="AI35" s="602"/>
      <c r="AJ35" s="592"/>
      <c r="AK35" s="592"/>
      <c r="AL35" s="592"/>
      <c r="AM35" s="592"/>
      <c r="AN35" s="592"/>
    </row>
    <row r="36" spans="3:40" hidden="1" x14ac:dyDescent="0.25">
      <c r="C36" s="592"/>
      <c r="D36" s="592"/>
      <c r="E36" s="593"/>
      <c r="F36" s="594"/>
      <c r="G36" s="595"/>
      <c r="H36" s="593"/>
      <c r="I36" s="594"/>
      <c r="J36" s="595"/>
      <c r="K36" s="593"/>
      <c r="L36" s="595"/>
      <c r="M36" s="592"/>
      <c r="N36" s="592"/>
      <c r="O36" s="592"/>
      <c r="P36" s="592"/>
      <c r="Q36" s="592"/>
      <c r="R36" s="592"/>
      <c r="S36" s="592"/>
      <c r="T36" s="592"/>
      <c r="U36" s="592"/>
      <c r="V36" s="592"/>
      <c r="W36" s="592"/>
      <c r="X36" s="592"/>
      <c r="Y36" s="592"/>
      <c r="Z36" s="592"/>
      <c r="AA36" s="592"/>
      <c r="AB36" s="592"/>
      <c r="AC36" s="592"/>
      <c r="AD36" s="602"/>
      <c r="AE36" s="602"/>
      <c r="AF36" s="602"/>
      <c r="AG36" s="602"/>
      <c r="AH36" s="602"/>
      <c r="AI36" s="602"/>
      <c r="AJ36" s="592"/>
      <c r="AK36" s="592"/>
      <c r="AL36" s="592"/>
      <c r="AM36" s="592"/>
      <c r="AN36" s="592"/>
    </row>
    <row r="37" spans="3:40" hidden="1" x14ac:dyDescent="0.25">
      <c r="C37" s="592"/>
      <c r="D37" s="592"/>
      <c r="E37" s="596"/>
      <c r="F37" s="597"/>
      <c r="G37" s="598"/>
      <c r="H37" s="596"/>
      <c r="I37" s="597"/>
      <c r="J37" s="598"/>
      <c r="K37" s="596"/>
      <c r="L37" s="598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Y37" s="592"/>
      <c r="Z37" s="592"/>
      <c r="AA37" s="592"/>
      <c r="AB37" s="592"/>
      <c r="AC37" s="592"/>
      <c r="AD37" s="602"/>
      <c r="AE37" s="602"/>
      <c r="AF37" s="602"/>
      <c r="AG37" s="602"/>
      <c r="AH37" s="602"/>
      <c r="AI37" s="602"/>
      <c r="AJ37" s="592"/>
      <c r="AK37" s="592"/>
      <c r="AL37" s="592"/>
      <c r="AM37" s="592"/>
      <c r="AN37" s="592"/>
    </row>
    <row r="38" spans="3:40" hidden="1" x14ac:dyDescent="0.25">
      <c r="C38" s="592"/>
      <c r="D38" s="592"/>
      <c r="E38" s="593"/>
      <c r="F38" s="594"/>
      <c r="G38" s="595"/>
      <c r="H38" s="593"/>
      <c r="I38" s="594"/>
      <c r="J38" s="595"/>
      <c r="K38" s="593"/>
      <c r="L38" s="595"/>
      <c r="M38" s="592"/>
      <c r="N38" s="592"/>
      <c r="O38" s="592"/>
      <c r="P38" s="592"/>
      <c r="Q38" s="592"/>
      <c r="R38" s="592"/>
      <c r="S38" s="592"/>
      <c r="T38" s="592"/>
      <c r="U38" s="592"/>
      <c r="V38" s="592"/>
      <c r="W38" s="592"/>
      <c r="X38" s="592"/>
      <c r="Y38" s="592"/>
      <c r="Z38" s="592"/>
      <c r="AA38" s="592"/>
      <c r="AB38" s="592"/>
      <c r="AC38" s="592"/>
      <c r="AD38" s="602"/>
      <c r="AE38" s="602"/>
      <c r="AF38" s="602"/>
      <c r="AG38" s="602"/>
      <c r="AH38" s="602"/>
      <c r="AI38" s="602"/>
      <c r="AJ38" s="592"/>
      <c r="AK38" s="592"/>
      <c r="AL38" s="592"/>
      <c r="AM38" s="592"/>
      <c r="AN38" s="592"/>
    </row>
    <row r="39" spans="3:40" hidden="1" x14ac:dyDescent="0.25">
      <c r="C39" s="592"/>
      <c r="D39" s="592"/>
      <c r="E39" s="596"/>
      <c r="F39" s="597"/>
      <c r="G39" s="598"/>
      <c r="H39" s="596"/>
      <c r="I39" s="597"/>
      <c r="J39" s="598"/>
      <c r="K39" s="596"/>
      <c r="L39" s="598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Y39" s="592"/>
      <c r="Z39" s="599"/>
      <c r="AA39" s="599"/>
      <c r="AB39" s="599"/>
      <c r="AC39" s="599"/>
      <c r="AD39" s="602"/>
      <c r="AE39" s="602"/>
      <c r="AF39" s="602"/>
      <c r="AG39" s="602"/>
      <c r="AH39" s="602"/>
      <c r="AI39" s="602"/>
      <c r="AJ39" s="592"/>
      <c r="AK39" s="592"/>
      <c r="AL39" s="592"/>
      <c r="AM39" s="592"/>
      <c r="AN39" s="592"/>
    </row>
    <row r="40" spans="3:40" ht="17.649999999999999" customHeight="1" x14ac:dyDescent="0.25">
      <c r="C40" s="601" t="s">
        <v>221</v>
      </c>
      <c r="D40" s="601"/>
      <c r="E40" s="601"/>
      <c r="F40" s="601"/>
      <c r="G40" s="601"/>
      <c r="H40" s="601"/>
      <c r="I40" s="601"/>
      <c r="J40" s="601"/>
      <c r="K40" s="601"/>
      <c r="L40" s="601"/>
      <c r="M40" s="601"/>
      <c r="N40" s="601"/>
      <c r="O40" s="601"/>
      <c r="P40" s="601"/>
      <c r="Q40" s="601"/>
      <c r="R40" s="601"/>
      <c r="S40" s="601"/>
      <c r="T40" s="601"/>
      <c r="U40" s="601"/>
      <c r="V40" s="601"/>
      <c r="W40" s="601"/>
      <c r="X40" s="601"/>
      <c r="Y40" s="607"/>
      <c r="Z40" s="608"/>
      <c r="AA40" s="608"/>
      <c r="AB40" s="608"/>
      <c r="AC40" s="609"/>
      <c r="AD40" s="600">
        <f>SUM(AD28:AI39)</f>
        <v>350000000</v>
      </c>
      <c r="AE40" s="592"/>
      <c r="AF40" s="592"/>
      <c r="AG40" s="592"/>
      <c r="AH40" s="592"/>
      <c r="AI40" s="592"/>
      <c r="AJ40" s="601"/>
      <c r="AK40" s="601"/>
      <c r="AL40" s="601"/>
      <c r="AM40" s="601"/>
      <c r="AN40" s="601"/>
    </row>
    <row r="41" spans="3:40" ht="2.65" customHeight="1" x14ac:dyDescent="0.25">
      <c r="C41" s="53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179"/>
    </row>
    <row r="42" spans="3:40" ht="17.649999999999999" customHeight="1" x14ac:dyDescent="0.25">
      <c r="C42" s="180" t="s">
        <v>31</v>
      </c>
      <c r="D42" s="181" t="s">
        <v>230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182"/>
    </row>
    <row r="43" spans="3:40" ht="2.65" customHeight="1" x14ac:dyDescent="0.25">
      <c r="C43" s="155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57"/>
    </row>
    <row r="44" spans="3:40" x14ac:dyDescent="0.25">
      <c r="C44" s="571" t="s">
        <v>193</v>
      </c>
      <c r="D44" s="571"/>
      <c r="E44" s="574" t="s">
        <v>194</v>
      </c>
      <c r="F44" s="575"/>
      <c r="G44" s="576"/>
      <c r="H44" s="583" t="s">
        <v>222</v>
      </c>
      <c r="I44" s="621"/>
      <c r="J44" s="584"/>
      <c r="K44" s="574" t="s">
        <v>607</v>
      </c>
      <c r="L44" s="575"/>
      <c r="M44" s="575"/>
      <c r="N44" s="575"/>
      <c r="O44" s="575"/>
      <c r="P44" s="575"/>
      <c r="Q44" s="576"/>
      <c r="R44" s="626" t="s">
        <v>226</v>
      </c>
      <c r="S44" s="627"/>
      <c r="T44" s="627"/>
      <c r="U44" s="627"/>
      <c r="V44" s="627"/>
      <c r="W44" s="627"/>
      <c r="X44" s="627"/>
      <c r="Y44" s="628"/>
      <c r="Z44" s="557" t="s">
        <v>227</v>
      </c>
      <c r="AA44" s="557"/>
      <c r="AB44" s="557"/>
      <c r="AC44" s="557"/>
      <c r="AD44" s="557" t="s">
        <v>228</v>
      </c>
      <c r="AE44" s="557"/>
      <c r="AF44" s="557"/>
      <c r="AG44" s="557"/>
      <c r="AH44" s="557"/>
      <c r="AI44" s="557"/>
      <c r="AJ44" s="559" t="s">
        <v>211</v>
      </c>
      <c r="AK44" s="559"/>
      <c r="AL44" s="559"/>
      <c r="AM44" s="559"/>
      <c r="AN44" s="559"/>
    </row>
    <row r="45" spans="3:40" x14ac:dyDescent="0.25">
      <c r="C45" s="571"/>
      <c r="D45" s="571"/>
      <c r="E45" s="577"/>
      <c r="F45" s="578"/>
      <c r="G45" s="579"/>
      <c r="H45" s="560"/>
      <c r="I45" s="561"/>
      <c r="J45" s="562"/>
      <c r="K45" s="577"/>
      <c r="L45" s="578"/>
      <c r="M45" s="578"/>
      <c r="N45" s="578"/>
      <c r="O45" s="578"/>
      <c r="P45" s="578"/>
      <c r="Q45" s="579"/>
      <c r="R45" s="577"/>
      <c r="S45" s="578"/>
      <c r="T45" s="578"/>
      <c r="U45" s="578"/>
      <c r="V45" s="578"/>
      <c r="W45" s="578"/>
      <c r="X45" s="578"/>
      <c r="Y45" s="579"/>
      <c r="Z45" s="557"/>
      <c r="AA45" s="557"/>
      <c r="AB45" s="557"/>
      <c r="AC45" s="557"/>
      <c r="AD45" s="557"/>
      <c r="AE45" s="557"/>
      <c r="AF45" s="557"/>
      <c r="AG45" s="557"/>
      <c r="AH45" s="557"/>
      <c r="AI45" s="557"/>
      <c r="AJ45" s="560" t="s">
        <v>212</v>
      </c>
      <c r="AK45" s="561"/>
      <c r="AL45" s="561"/>
      <c r="AM45" s="561"/>
      <c r="AN45" s="562"/>
    </row>
    <row r="46" spans="3:40" x14ac:dyDescent="0.25">
      <c r="C46" s="571"/>
      <c r="D46" s="571"/>
      <c r="E46" s="580"/>
      <c r="F46" s="581"/>
      <c r="G46" s="582"/>
      <c r="H46" s="563"/>
      <c r="I46" s="564"/>
      <c r="J46" s="565"/>
      <c r="K46" s="580"/>
      <c r="L46" s="581"/>
      <c r="M46" s="581"/>
      <c r="N46" s="581"/>
      <c r="O46" s="581"/>
      <c r="P46" s="581"/>
      <c r="Q46" s="582"/>
      <c r="R46" s="580"/>
      <c r="S46" s="581"/>
      <c r="T46" s="581"/>
      <c r="U46" s="581"/>
      <c r="V46" s="581"/>
      <c r="W46" s="581"/>
      <c r="X46" s="581"/>
      <c r="Y46" s="582"/>
      <c r="Z46" s="557"/>
      <c r="AA46" s="557"/>
      <c r="AB46" s="557"/>
      <c r="AC46" s="557"/>
      <c r="AD46" s="557"/>
      <c r="AE46" s="557"/>
      <c r="AF46" s="557"/>
      <c r="AG46" s="557"/>
      <c r="AH46" s="557"/>
      <c r="AI46" s="557"/>
      <c r="AJ46" s="563"/>
      <c r="AK46" s="564"/>
      <c r="AL46" s="564"/>
      <c r="AM46" s="564"/>
      <c r="AN46" s="565"/>
    </row>
    <row r="47" spans="3:40" ht="9.6" customHeight="1" x14ac:dyDescent="0.25">
      <c r="C47" s="566" t="s">
        <v>213</v>
      </c>
      <c r="D47" s="567"/>
      <c r="E47" s="585" t="s">
        <v>214</v>
      </c>
      <c r="F47" s="586"/>
      <c r="G47" s="586"/>
      <c r="H47" s="586" t="s">
        <v>215</v>
      </c>
      <c r="I47" s="586"/>
      <c r="J47" s="587"/>
      <c r="K47" s="593" t="s">
        <v>216</v>
      </c>
      <c r="L47" s="594"/>
      <c r="M47" s="594"/>
      <c r="N47" s="594"/>
      <c r="O47" s="594"/>
      <c r="P47" s="594"/>
      <c r="Q47" s="594"/>
      <c r="R47" s="592" t="s">
        <v>217</v>
      </c>
      <c r="S47" s="592"/>
      <c r="T47" s="592"/>
      <c r="U47" s="592"/>
      <c r="V47" s="592"/>
      <c r="W47" s="592"/>
      <c r="X47" s="592"/>
      <c r="Y47" s="592"/>
      <c r="Z47" s="566" t="s">
        <v>218</v>
      </c>
      <c r="AA47" s="567"/>
      <c r="AB47" s="567"/>
      <c r="AC47" s="567"/>
      <c r="AD47" s="566" t="s">
        <v>219</v>
      </c>
      <c r="AE47" s="566"/>
      <c r="AF47" s="566"/>
      <c r="AG47" s="566"/>
      <c r="AH47" s="566"/>
      <c r="AI47" s="566"/>
      <c r="AJ47" s="572" t="s">
        <v>220</v>
      </c>
      <c r="AK47" s="573"/>
      <c r="AL47" s="573"/>
      <c r="AM47" s="573"/>
      <c r="AN47" s="573"/>
    </row>
    <row r="48" spans="3:40" x14ac:dyDescent="0.25">
      <c r="C48" s="606"/>
      <c r="D48" s="592"/>
      <c r="E48" s="593"/>
      <c r="F48" s="594"/>
      <c r="G48" s="595"/>
      <c r="H48" s="593"/>
      <c r="I48" s="594"/>
      <c r="J48" s="595"/>
      <c r="K48" s="610" t="s">
        <v>224</v>
      </c>
      <c r="L48" s="611"/>
      <c r="M48" s="611"/>
      <c r="N48" s="611"/>
      <c r="O48" s="611"/>
      <c r="P48" s="611"/>
      <c r="Q48" s="611"/>
      <c r="R48" s="592"/>
      <c r="S48" s="592"/>
      <c r="T48" s="592"/>
      <c r="U48" s="592"/>
      <c r="V48" s="592"/>
      <c r="W48" s="592"/>
      <c r="X48" s="592"/>
      <c r="Y48" s="592"/>
      <c r="Z48" s="592"/>
      <c r="AA48" s="592"/>
      <c r="AB48" s="592"/>
      <c r="AC48" s="592"/>
      <c r="AD48" s="592"/>
      <c r="AE48" s="592"/>
      <c r="AF48" s="592"/>
      <c r="AG48" s="592"/>
      <c r="AH48" s="592"/>
      <c r="AI48" s="592"/>
      <c r="AJ48" s="592"/>
      <c r="AK48" s="592"/>
      <c r="AL48" s="592"/>
      <c r="AM48" s="592"/>
      <c r="AN48" s="592"/>
    </row>
    <row r="49" spans="3:40" x14ac:dyDescent="0.25">
      <c r="C49" s="592"/>
      <c r="D49" s="592"/>
      <c r="E49" s="596"/>
      <c r="F49" s="597"/>
      <c r="G49" s="598"/>
      <c r="H49" s="596"/>
      <c r="I49" s="597"/>
      <c r="J49" s="598"/>
      <c r="K49" s="612" t="s">
        <v>225</v>
      </c>
      <c r="L49" s="613"/>
      <c r="M49" s="613"/>
      <c r="N49" s="613"/>
      <c r="O49" s="613"/>
      <c r="P49" s="613"/>
      <c r="Q49" s="613"/>
      <c r="R49" s="592"/>
      <c r="S49" s="592"/>
      <c r="T49" s="592"/>
      <c r="U49" s="592"/>
      <c r="V49" s="592"/>
      <c r="W49" s="592"/>
      <c r="X49" s="592"/>
      <c r="Y49" s="592"/>
      <c r="Z49" s="592"/>
      <c r="AA49" s="592"/>
      <c r="AB49" s="592"/>
      <c r="AC49" s="592"/>
      <c r="AD49" s="592"/>
      <c r="AE49" s="592"/>
      <c r="AF49" s="592"/>
      <c r="AG49" s="592"/>
      <c r="AH49" s="592"/>
      <c r="AI49" s="592"/>
      <c r="AJ49" s="592"/>
      <c r="AK49" s="592"/>
      <c r="AL49" s="592"/>
      <c r="AM49" s="592"/>
      <c r="AN49" s="592"/>
    </row>
    <row r="50" spans="3:40" hidden="1" x14ac:dyDescent="0.25">
      <c r="C50" s="592"/>
      <c r="D50" s="592"/>
      <c r="E50" s="593"/>
      <c r="F50" s="594"/>
      <c r="G50" s="595"/>
      <c r="H50" s="593"/>
      <c r="I50" s="594"/>
      <c r="J50" s="595"/>
      <c r="K50" s="610" t="s">
        <v>224</v>
      </c>
      <c r="L50" s="611"/>
      <c r="M50" s="611"/>
      <c r="N50" s="611"/>
      <c r="O50" s="611"/>
      <c r="P50" s="611"/>
      <c r="Q50" s="611"/>
      <c r="R50" s="592"/>
      <c r="S50" s="592"/>
      <c r="T50" s="592"/>
      <c r="U50" s="592"/>
      <c r="V50" s="592"/>
      <c r="W50" s="592"/>
      <c r="X50" s="592"/>
      <c r="Y50" s="592"/>
      <c r="Z50" s="592"/>
      <c r="AA50" s="592"/>
      <c r="AB50" s="592"/>
      <c r="AC50" s="592"/>
      <c r="AD50" s="592"/>
      <c r="AE50" s="592"/>
      <c r="AF50" s="592"/>
      <c r="AG50" s="592"/>
      <c r="AH50" s="592"/>
      <c r="AI50" s="592"/>
      <c r="AJ50" s="592"/>
      <c r="AK50" s="592"/>
      <c r="AL50" s="592"/>
      <c r="AM50" s="592"/>
      <c r="AN50" s="592"/>
    </row>
    <row r="51" spans="3:40" hidden="1" x14ac:dyDescent="0.25">
      <c r="C51" s="592"/>
      <c r="D51" s="592"/>
      <c r="E51" s="596"/>
      <c r="F51" s="597"/>
      <c r="G51" s="598"/>
      <c r="H51" s="596"/>
      <c r="I51" s="597"/>
      <c r="J51" s="598"/>
      <c r="K51" s="612" t="s">
        <v>225</v>
      </c>
      <c r="L51" s="613"/>
      <c r="M51" s="613"/>
      <c r="N51" s="613"/>
      <c r="O51" s="613"/>
      <c r="P51" s="613"/>
      <c r="Q51" s="613"/>
      <c r="R51" s="592"/>
      <c r="S51" s="592"/>
      <c r="T51" s="592"/>
      <c r="U51" s="592"/>
      <c r="V51" s="592"/>
      <c r="W51" s="592"/>
      <c r="X51" s="592"/>
      <c r="Y51" s="592"/>
      <c r="Z51" s="592"/>
      <c r="AA51" s="592"/>
      <c r="AB51" s="592"/>
      <c r="AC51" s="592"/>
      <c r="AD51" s="592"/>
      <c r="AE51" s="592"/>
      <c r="AF51" s="592"/>
      <c r="AG51" s="592"/>
      <c r="AH51" s="592"/>
      <c r="AI51" s="592"/>
      <c r="AJ51" s="592"/>
      <c r="AK51" s="592"/>
      <c r="AL51" s="592"/>
      <c r="AM51" s="592"/>
      <c r="AN51" s="592"/>
    </row>
    <row r="52" spans="3:40" hidden="1" x14ac:dyDescent="0.25">
      <c r="C52" s="592"/>
      <c r="D52" s="592"/>
      <c r="E52" s="593"/>
      <c r="F52" s="594"/>
      <c r="G52" s="595"/>
      <c r="H52" s="593"/>
      <c r="I52" s="594"/>
      <c r="J52" s="595"/>
      <c r="K52" s="610" t="s">
        <v>224</v>
      </c>
      <c r="L52" s="611"/>
      <c r="M52" s="611"/>
      <c r="N52" s="611"/>
      <c r="O52" s="611"/>
      <c r="P52" s="611"/>
      <c r="Q52" s="611"/>
      <c r="R52" s="592"/>
      <c r="S52" s="592"/>
      <c r="T52" s="592"/>
      <c r="U52" s="592"/>
      <c r="V52" s="592"/>
      <c r="W52" s="592"/>
      <c r="X52" s="592"/>
      <c r="Y52" s="592"/>
      <c r="Z52" s="592"/>
      <c r="AA52" s="592"/>
      <c r="AB52" s="592"/>
      <c r="AC52" s="592"/>
      <c r="AD52" s="592"/>
      <c r="AE52" s="592"/>
      <c r="AF52" s="592"/>
      <c r="AG52" s="592"/>
      <c r="AH52" s="592"/>
      <c r="AI52" s="592"/>
      <c r="AJ52" s="592"/>
      <c r="AK52" s="592"/>
      <c r="AL52" s="592"/>
      <c r="AM52" s="592"/>
      <c r="AN52" s="592"/>
    </row>
    <row r="53" spans="3:40" hidden="1" x14ac:dyDescent="0.25">
      <c r="C53" s="592"/>
      <c r="D53" s="592"/>
      <c r="E53" s="596"/>
      <c r="F53" s="597"/>
      <c r="G53" s="598"/>
      <c r="H53" s="596"/>
      <c r="I53" s="597"/>
      <c r="J53" s="598"/>
      <c r="K53" s="612" t="s">
        <v>225</v>
      </c>
      <c r="L53" s="613"/>
      <c r="M53" s="613"/>
      <c r="N53" s="613"/>
      <c r="O53" s="613"/>
      <c r="P53" s="613"/>
      <c r="Q53" s="613"/>
      <c r="R53" s="592"/>
      <c r="S53" s="592"/>
      <c r="T53" s="592"/>
      <c r="U53" s="592"/>
      <c r="V53" s="592"/>
      <c r="W53" s="592"/>
      <c r="X53" s="592"/>
      <c r="Y53" s="592"/>
      <c r="Z53" s="592"/>
      <c r="AA53" s="592"/>
      <c r="AB53" s="592"/>
      <c r="AC53" s="592"/>
      <c r="AD53" s="592"/>
      <c r="AE53" s="592"/>
      <c r="AF53" s="592"/>
      <c r="AG53" s="592"/>
      <c r="AH53" s="592"/>
      <c r="AI53" s="592"/>
      <c r="AJ53" s="592"/>
      <c r="AK53" s="592"/>
      <c r="AL53" s="592"/>
      <c r="AM53" s="592"/>
      <c r="AN53" s="592"/>
    </row>
    <row r="54" spans="3:40" hidden="1" x14ac:dyDescent="0.25">
      <c r="C54" s="592"/>
      <c r="D54" s="592"/>
      <c r="E54" s="593"/>
      <c r="F54" s="594"/>
      <c r="G54" s="595"/>
      <c r="H54" s="593"/>
      <c r="I54" s="594"/>
      <c r="J54" s="595"/>
      <c r="K54" s="610" t="s">
        <v>224</v>
      </c>
      <c r="L54" s="611"/>
      <c r="M54" s="611"/>
      <c r="N54" s="611"/>
      <c r="O54" s="611"/>
      <c r="P54" s="611"/>
      <c r="Q54" s="611"/>
      <c r="R54" s="592"/>
      <c r="S54" s="592"/>
      <c r="T54" s="592"/>
      <c r="U54" s="592"/>
      <c r="V54" s="592"/>
      <c r="W54" s="592"/>
      <c r="X54" s="592"/>
      <c r="Y54" s="592"/>
      <c r="Z54" s="592"/>
      <c r="AA54" s="592"/>
      <c r="AB54" s="592"/>
      <c r="AC54" s="592"/>
      <c r="AD54" s="592"/>
      <c r="AE54" s="592"/>
      <c r="AF54" s="592"/>
      <c r="AG54" s="592"/>
      <c r="AH54" s="592"/>
      <c r="AI54" s="592"/>
      <c r="AJ54" s="592"/>
      <c r="AK54" s="592"/>
      <c r="AL54" s="592"/>
      <c r="AM54" s="592"/>
      <c r="AN54" s="592"/>
    </row>
    <row r="55" spans="3:40" hidden="1" x14ac:dyDescent="0.25">
      <c r="C55" s="592"/>
      <c r="D55" s="592"/>
      <c r="E55" s="596"/>
      <c r="F55" s="597"/>
      <c r="G55" s="598"/>
      <c r="H55" s="596"/>
      <c r="I55" s="597"/>
      <c r="J55" s="598"/>
      <c r="K55" s="612" t="s">
        <v>225</v>
      </c>
      <c r="L55" s="613"/>
      <c r="M55" s="613"/>
      <c r="N55" s="613"/>
      <c r="O55" s="613"/>
      <c r="P55" s="613"/>
      <c r="Q55" s="613"/>
      <c r="R55" s="592"/>
      <c r="S55" s="592"/>
      <c r="T55" s="592"/>
      <c r="U55" s="592"/>
      <c r="V55" s="592"/>
      <c r="W55" s="592"/>
      <c r="X55" s="592"/>
      <c r="Y55" s="592"/>
      <c r="Z55" s="592"/>
      <c r="AA55" s="592"/>
      <c r="AB55" s="592"/>
      <c r="AC55" s="592"/>
      <c r="AD55" s="592"/>
      <c r="AE55" s="592"/>
      <c r="AF55" s="592"/>
      <c r="AG55" s="592"/>
      <c r="AH55" s="592"/>
      <c r="AI55" s="592"/>
      <c r="AJ55" s="592"/>
      <c r="AK55" s="592"/>
      <c r="AL55" s="592"/>
      <c r="AM55" s="592"/>
      <c r="AN55" s="592"/>
    </row>
    <row r="56" spans="3:40" hidden="1" x14ac:dyDescent="0.25">
      <c r="C56" s="592"/>
      <c r="D56" s="592"/>
      <c r="E56" s="593"/>
      <c r="F56" s="594"/>
      <c r="G56" s="595"/>
      <c r="H56" s="593"/>
      <c r="I56" s="594"/>
      <c r="J56" s="595"/>
      <c r="K56" s="610" t="s">
        <v>224</v>
      </c>
      <c r="L56" s="611"/>
      <c r="M56" s="611"/>
      <c r="N56" s="611"/>
      <c r="O56" s="611"/>
      <c r="P56" s="611"/>
      <c r="Q56" s="611"/>
      <c r="R56" s="592"/>
      <c r="S56" s="592"/>
      <c r="T56" s="592"/>
      <c r="U56" s="592"/>
      <c r="V56" s="592"/>
      <c r="W56" s="592"/>
      <c r="X56" s="592"/>
      <c r="Y56" s="592"/>
      <c r="Z56" s="592"/>
      <c r="AA56" s="592"/>
      <c r="AB56" s="592"/>
      <c r="AC56" s="592"/>
      <c r="AD56" s="592"/>
      <c r="AE56" s="592"/>
      <c r="AF56" s="592"/>
      <c r="AG56" s="592"/>
      <c r="AH56" s="592"/>
      <c r="AI56" s="592"/>
      <c r="AJ56" s="592"/>
      <c r="AK56" s="592"/>
      <c r="AL56" s="592"/>
      <c r="AM56" s="592"/>
      <c r="AN56" s="592"/>
    </row>
    <row r="57" spans="3:40" hidden="1" x14ac:dyDescent="0.25">
      <c r="C57" s="592"/>
      <c r="D57" s="592"/>
      <c r="E57" s="596"/>
      <c r="F57" s="597"/>
      <c r="G57" s="598"/>
      <c r="H57" s="596"/>
      <c r="I57" s="597"/>
      <c r="J57" s="598"/>
      <c r="K57" s="612" t="s">
        <v>225</v>
      </c>
      <c r="L57" s="613"/>
      <c r="M57" s="613"/>
      <c r="N57" s="613"/>
      <c r="O57" s="613"/>
      <c r="P57" s="613"/>
      <c r="Q57" s="613"/>
      <c r="R57" s="592"/>
      <c r="S57" s="592"/>
      <c r="T57" s="592"/>
      <c r="U57" s="592"/>
      <c r="V57" s="592"/>
      <c r="W57" s="592"/>
      <c r="X57" s="592"/>
      <c r="Y57" s="592"/>
      <c r="Z57" s="592"/>
      <c r="AA57" s="592"/>
      <c r="AB57" s="592"/>
      <c r="AC57" s="592"/>
      <c r="AD57" s="592"/>
      <c r="AE57" s="592"/>
      <c r="AF57" s="592"/>
      <c r="AG57" s="592"/>
      <c r="AH57" s="592"/>
      <c r="AI57" s="592"/>
      <c r="AJ57" s="592"/>
      <c r="AK57" s="592"/>
      <c r="AL57" s="592"/>
      <c r="AM57" s="592"/>
      <c r="AN57" s="592"/>
    </row>
    <row r="58" spans="3:40" hidden="1" x14ac:dyDescent="0.25">
      <c r="C58" s="592"/>
      <c r="D58" s="592"/>
      <c r="E58" s="593"/>
      <c r="F58" s="594"/>
      <c r="G58" s="595"/>
      <c r="H58" s="593"/>
      <c r="I58" s="594"/>
      <c r="J58" s="595"/>
      <c r="K58" s="610" t="s">
        <v>224</v>
      </c>
      <c r="L58" s="611"/>
      <c r="M58" s="611"/>
      <c r="N58" s="611"/>
      <c r="O58" s="611"/>
      <c r="P58" s="611"/>
      <c r="Q58" s="611"/>
      <c r="R58" s="592"/>
      <c r="S58" s="592"/>
      <c r="T58" s="592"/>
      <c r="U58" s="592"/>
      <c r="V58" s="592"/>
      <c r="W58" s="592"/>
      <c r="X58" s="592"/>
      <c r="Y58" s="592"/>
      <c r="Z58" s="592"/>
      <c r="AA58" s="592"/>
      <c r="AB58" s="592"/>
      <c r="AC58" s="592"/>
      <c r="AD58" s="592"/>
      <c r="AE58" s="592"/>
      <c r="AF58" s="592"/>
      <c r="AG58" s="592"/>
      <c r="AH58" s="592"/>
      <c r="AI58" s="592"/>
      <c r="AJ58" s="592"/>
      <c r="AK58" s="592"/>
      <c r="AL58" s="592"/>
      <c r="AM58" s="592"/>
      <c r="AN58" s="592"/>
    </row>
    <row r="59" spans="3:40" hidden="1" x14ac:dyDescent="0.25">
      <c r="C59" s="592"/>
      <c r="D59" s="592"/>
      <c r="E59" s="596"/>
      <c r="F59" s="597"/>
      <c r="G59" s="598"/>
      <c r="H59" s="596"/>
      <c r="I59" s="597"/>
      <c r="J59" s="598"/>
      <c r="K59" s="612" t="s">
        <v>225</v>
      </c>
      <c r="L59" s="613"/>
      <c r="M59" s="613"/>
      <c r="N59" s="613"/>
      <c r="O59" s="613"/>
      <c r="P59" s="613"/>
      <c r="Q59" s="613"/>
      <c r="R59" s="592"/>
      <c r="S59" s="592"/>
      <c r="T59" s="592"/>
      <c r="U59" s="592"/>
      <c r="V59" s="592"/>
      <c r="W59" s="592"/>
      <c r="X59" s="592"/>
      <c r="Y59" s="592"/>
      <c r="Z59" s="599"/>
      <c r="AA59" s="599"/>
      <c r="AB59" s="599"/>
      <c r="AC59" s="599"/>
      <c r="AD59" s="592"/>
      <c r="AE59" s="592"/>
      <c r="AF59" s="592"/>
      <c r="AG59" s="592"/>
      <c r="AH59" s="592"/>
      <c r="AI59" s="592"/>
      <c r="AJ59" s="592"/>
      <c r="AK59" s="592"/>
      <c r="AL59" s="592"/>
      <c r="AM59" s="592"/>
      <c r="AN59" s="592"/>
    </row>
    <row r="60" spans="3:40" x14ac:dyDescent="0.25">
      <c r="C60" s="601" t="s">
        <v>229</v>
      </c>
      <c r="D60" s="601"/>
      <c r="E60" s="601"/>
      <c r="F60" s="601"/>
      <c r="G60" s="601"/>
      <c r="H60" s="601"/>
      <c r="I60" s="601"/>
      <c r="J60" s="601"/>
      <c r="K60" s="601"/>
      <c r="L60" s="601"/>
      <c r="M60" s="601"/>
      <c r="N60" s="601"/>
      <c r="O60" s="601"/>
      <c r="P60" s="601"/>
      <c r="Q60" s="601"/>
      <c r="R60" s="601"/>
      <c r="S60" s="601"/>
      <c r="T60" s="601"/>
      <c r="U60" s="601"/>
      <c r="V60" s="601"/>
      <c r="W60" s="601"/>
      <c r="X60" s="601"/>
      <c r="Y60" s="607"/>
      <c r="Z60" s="608"/>
      <c r="AA60" s="608"/>
      <c r="AB60" s="608"/>
      <c r="AC60" s="609"/>
      <c r="AD60" s="629"/>
      <c r="AE60" s="592"/>
      <c r="AF60" s="592"/>
      <c r="AG60" s="592"/>
      <c r="AH60" s="592"/>
      <c r="AI60" s="592"/>
      <c r="AJ60" s="601"/>
      <c r="AK60" s="601"/>
      <c r="AL60" s="601"/>
      <c r="AM60" s="601"/>
      <c r="AN60" s="601"/>
    </row>
    <row r="61" spans="3:40" ht="2.65" customHeight="1" x14ac:dyDescent="0.25">
      <c r="C61" s="53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179"/>
    </row>
    <row r="62" spans="3:40" ht="17.649999999999999" customHeight="1" x14ac:dyDescent="0.25">
      <c r="C62" s="180" t="s">
        <v>32</v>
      </c>
      <c r="D62" s="181" t="s">
        <v>234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182"/>
    </row>
    <row r="63" spans="3:40" ht="2.65" customHeight="1" x14ac:dyDescent="0.25">
      <c r="C63" s="155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57"/>
    </row>
    <row r="64" spans="3:40" x14ac:dyDescent="0.25">
      <c r="C64" s="571" t="s">
        <v>193</v>
      </c>
      <c r="D64" s="571"/>
      <c r="E64" s="571" t="s">
        <v>194</v>
      </c>
      <c r="F64" s="571"/>
      <c r="G64" s="571" t="s">
        <v>201</v>
      </c>
      <c r="H64" s="571"/>
      <c r="I64" s="571"/>
      <c r="J64" s="557" t="s">
        <v>235</v>
      </c>
      <c r="K64" s="557"/>
      <c r="L64" s="557"/>
      <c r="M64" s="557"/>
      <c r="N64" s="557"/>
      <c r="O64" s="557"/>
      <c r="P64" s="571" t="s">
        <v>195</v>
      </c>
      <c r="Q64" s="571"/>
      <c r="R64" s="571"/>
      <c r="S64" s="571"/>
      <c r="T64" s="571"/>
      <c r="U64" s="571"/>
      <c r="V64" s="557" t="s">
        <v>231</v>
      </c>
      <c r="W64" s="557"/>
      <c r="X64" s="557"/>
      <c r="Y64" s="557"/>
      <c r="Z64" s="557"/>
      <c r="AA64" s="557"/>
      <c r="AB64" s="557" t="s">
        <v>198</v>
      </c>
      <c r="AC64" s="557"/>
      <c r="AD64" s="557"/>
      <c r="AE64" s="557"/>
      <c r="AF64" s="557" t="s">
        <v>232</v>
      </c>
      <c r="AG64" s="557"/>
      <c r="AH64" s="557"/>
      <c r="AI64" s="558"/>
      <c r="AJ64" s="583" t="s">
        <v>211</v>
      </c>
      <c r="AK64" s="621"/>
      <c r="AL64" s="621"/>
      <c r="AM64" s="621"/>
      <c r="AN64" s="584"/>
    </row>
    <row r="65" spans="3:40" x14ac:dyDescent="0.25">
      <c r="C65" s="571"/>
      <c r="D65" s="571"/>
      <c r="E65" s="571"/>
      <c r="F65" s="571"/>
      <c r="G65" s="571"/>
      <c r="H65" s="571"/>
      <c r="I65" s="571"/>
      <c r="J65" s="557"/>
      <c r="K65" s="557"/>
      <c r="L65" s="557"/>
      <c r="M65" s="557"/>
      <c r="N65" s="557"/>
      <c r="O65" s="557"/>
      <c r="P65" s="571"/>
      <c r="Q65" s="571"/>
      <c r="R65" s="571"/>
      <c r="S65" s="571"/>
      <c r="T65" s="571"/>
      <c r="U65" s="571"/>
      <c r="V65" s="557"/>
      <c r="W65" s="557"/>
      <c r="X65" s="557"/>
      <c r="Y65" s="557"/>
      <c r="Z65" s="557"/>
      <c r="AA65" s="557"/>
      <c r="AB65" s="557"/>
      <c r="AC65" s="557"/>
      <c r="AD65" s="557"/>
      <c r="AE65" s="557"/>
      <c r="AF65" s="557"/>
      <c r="AG65" s="557"/>
      <c r="AH65" s="557"/>
      <c r="AI65" s="557"/>
      <c r="AJ65" s="644" t="s">
        <v>212</v>
      </c>
      <c r="AK65" s="644"/>
      <c r="AL65" s="644"/>
      <c r="AM65" s="644"/>
      <c r="AN65" s="644"/>
    </row>
    <row r="66" spans="3:40" x14ac:dyDescent="0.25">
      <c r="C66" s="571"/>
      <c r="D66" s="571"/>
      <c r="E66" s="571"/>
      <c r="F66" s="571"/>
      <c r="G66" s="571"/>
      <c r="H66" s="571"/>
      <c r="I66" s="571"/>
      <c r="J66" s="557"/>
      <c r="K66" s="557"/>
      <c r="L66" s="557"/>
      <c r="M66" s="557"/>
      <c r="N66" s="557"/>
      <c r="O66" s="557"/>
      <c r="P66" s="571"/>
      <c r="Q66" s="571"/>
      <c r="R66" s="571"/>
      <c r="S66" s="571"/>
      <c r="T66" s="571"/>
      <c r="U66" s="571"/>
      <c r="V66" s="557"/>
      <c r="W66" s="557"/>
      <c r="X66" s="557"/>
      <c r="Y66" s="557"/>
      <c r="Z66" s="557"/>
      <c r="AA66" s="557"/>
      <c r="AB66" s="557"/>
      <c r="AC66" s="557"/>
      <c r="AD66" s="557"/>
      <c r="AE66" s="557"/>
      <c r="AF66" s="557"/>
      <c r="AG66" s="557"/>
      <c r="AH66" s="557"/>
      <c r="AI66" s="557"/>
      <c r="AJ66" s="557"/>
      <c r="AK66" s="557"/>
      <c r="AL66" s="557"/>
      <c r="AM66" s="557"/>
      <c r="AN66" s="557"/>
    </row>
    <row r="67" spans="3:40" ht="9.6" customHeight="1" x14ac:dyDescent="0.25">
      <c r="C67" s="566" t="s">
        <v>213</v>
      </c>
      <c r="D67" s="567"/>
      <c r="E67" s="566" t="s">
        <v>214</v>
      </c>
      <c r="F67" s="566"/>
      <c r="G67" s="566" t="s">
        <v>215</v>
      </c>
      <c r="H67" s="566"/>
      <c r="I67" s="566"/>
      <c r="J67" s="599" t="s">
        <v>216</v>
      </c>
      <c r="K67" s="599"/>
      <c r="L67" s="599"/>
      <c r="M67" s="599"/>
      <c r="N67" s="599"/>
      <c r="O67" s="599"/>
      <c r="P67" s="592" t="s">
        <v>217</v>
      </c>
      <c r="Q67" s="592"/>
      <c r="R67" s="592"/>
      <c r="S67" s="592"/>
      <c r="T67" s="592"/>
      <c r="U67" s="592"/>
      <c r="V67" s="592" t="s">
        <v>218</v>
      </c>
      <c r="W67" s="592"/>
      <c r="X67" s="592"/>
      <c r="Y67" s="592"/>
      <c r="Z67" s="592"/>
      <c r="AA67" s="592"/>
      <c r="AB67" s="566" t="s">
        <v>219</v>
      </c>
      <c r="AC67" s="567"/>
      <c r="AD67" s="567"/>
      <c r="AE67" s="567"/>
      <c r="AF67" s="592" t="s">
        <v>220</v>
      </c>
      <c r="AG67" s="592"/>
      <c r="AH67" s="592"/>
      <c r="AI67" s="592"/>
      <c r="AJ67" s="566" t="s">
        <v>223</v>
      </c>
      <c r="AK67" s="567"/>
      <c r="AL67" s="567"/>
      <c r="AM67" s="567"/>
      <c r="AN67" s="567"/>
    </row>
    <row r="68" spans="3:40" s="355" customFormat="1" x14ac:dyDescent="0.25">
      <c r="C68" s="591" t="str">
        <f>'SOAL KASUS'!B56</f>
        <v>0309</v>
      </c>
      <c r="D68" s="590"/>
      <c r="E68" s="630" t="str">
        <f>UPPER('SOAL KASUS'!C56)</f>
        <v>PENYERTAAN MODAL DALAM PERUSAHAAN LAIN YANG BUKAN ATAS SAHAM</v>
      </c>
      <c r="F68" s="590"/>
      <c r="G68" s="590" t="s">
        <v>1226</v>
      </c>
      <c r="H68" s="590"/>
      <c r="I68" s="631"/>
      <c r="J68" s="635" t="s">
        <v>1232</v>
      </c>
      <c r="K68" s="636"/>
      <c r="L68" s="636"/>
      <c r="M68" s="636"/>
      <c r="N68" s="636"/>
      <c r="O68" s="637"/>
      <c r="P68" s="632"/>
      <c r="Q68" s="590"/>
      <c r="R68" s="590"/>
      <c r="S68" s="590"/>
      <c r="T68" s="590"/>
      <c r="U68" s="590"/>
      <c r="V68" s="605">
        <f>'SOAL KASUS'!E56</f>
        <v>175000000</v>
      </c>
      <c r="W68" s="605"/>
      <c r="X68" s="605"/>
      <c r="Y68" s="605"/>
      <c r="Z68" s="605"/>
      <c r="AA68" s="605"/>
      <c r="AB68" s="590">
        <f>'SOAL KASUS'!D56</f>
        <v>2018</v>
      </c>
      <c r="AC68" s="590"/>
      <c r="AD68" s="590"/>
      <c r="AE68" s="590"/>
      <c r="AF68" s="605">
        <f>'SOAL KASUS'!F56</f>
        <v>200000000</v>
      </c>
      <c r="AG68" s="605"/>
      <c r="AH68" s="605"/>
      <c r="AI68" s="605"/>
      <c r="AJ68" s="590"/>
      <c r="AK68" s="590"/>
      <c r="AL68" s="590"/>
      <c r="AM68" s="590"/>
      <c r="AN68" s="590"/>
    </row>
    <row r="69" spans="3:40" s="355" customFormat="1" x14ac:dyDescent="0.25">
      <c r="C69" s="590"/>
      <c r="D69" s="590"/>
      <c r="E69" s="590"/>
      <c r="F69" s="590"/>
      <c r="G69" s="590"/>
      <c r="H69" s="590"/>
      <c r="I69" s="631"/>
      <c r="J69" s="638" t="s">
        <v>1233</v>
      </c>
      <c r="K69" s="639"/>
      <c r="L69" s="639"/>
      <c r="M69" s="639"/>
      <c r="N69" s="639"/>
      <c r="O69" s="640"/>
      <c r="P69" s="632"/>
      <c r="Q69" s="590"/>
      <c r="R69" s="590"/>
      <c r="S69" s="590"/>
      <c r="T69" s="590"/>
      <c r="U69" s="590"/>
      <c r="V69" s="605"/>
      <c r="W69" s="605"/>
      <c r="X69" s="605"/>
      <c r="Y69" s="605"/>
      <c r="Z69" s="605"/>
      <c r="AA69" s="605"/>
      <c r="AB69" s="590"/>
      <c r="AC69" s="590"/>
      <c r="AD69" s="590"/>
      <c r="AE69" s="590"/>
      <c r="AF69" s="605"/>
      <c r="AG69" s="605"/>
      <c r="AH69" s="605"/>
      <c r="AI69" s="605"/>
      <c r="AJ69" s="590"/>
      <c r="AK69" s="590"/>
      <c r="AL69" s="590"/>
      <c r="AM69" s="590"/>
      <c r="AN69" s="590"/>
    </row>
    <row r="70" spans="3:40" hidden="1" x14ac:dyDescent="0.25">
      <c r="C70" s="592"/>
      <c r="D70" s="592"/>
      <c r="E70" s="592"/>
      <c r="F70" s="592"/>
      <c r="G70" s="592"/>
      <c r="H70" s="592"/>
      <c r="I70" s="592"/>
      <c r="J70" s="610" t="s">
        <v>224</v>
      </c>
      <c r="K70" s="611"/>
      <c r="L70" s="611"/>
      <c r="M70" s="611"/>
      <c r="N70" s="611"/>
      <c r="O70" s="633"/>
      <c r="P70" s="592"/>
      <c r="Q70" s="592"/>
      <c r="R70" s="592"/>
      <c r="S70" s="592"/>
      <c r="T70" s="592"/>
      <c r="U70" s="592"/>
      <c r="V70" s="602"/>
      <c r="W70" s="602"/>
      <c r="X70" s="602"/>
      <c r="Y70" s="602"/>
      <c r="Z70" s="602"/>
      <c r="AA70" s="602"/>
      <c r="AB70" s="592"/>
      <c r="AC70" s="592"/>
      <c r="AD70" s="592"/>
      <c r="AE70" s="592"/>
      <c r="AF70" s="602"/>
      <c r="AG70" s="602"/>
      <c r="AH70" s="602"/>
      <c r="AI70" s="602"/>
      <c r="AJ70" s="592"/>
      <c r="AK70" s="592"/>
      <c r="AL70" s="592"/>
      <c r="AM70" s="592"/>
      <c r="AN70" s="592"/>
    </row>
    <row r="71" spans="3:40" hidden="1" x14ac:dyDescent="0.25">
      <c r="C71" s="592"/>
      <c r="D71" s="592"/>
      <c r="E71" s="592"/>
      <c r="F71" s="592"/>
      <c r="G71" s="592"/>
      <c r="H71" s="592"/>
      <c r="I71" s="592"/>
      <c r="J71" s="612" t="s">
        <v>225</v>
      </c>
      <c r="K71" s="613"/>
      <c r="L71" s="613"/>
      <c r="M71" s="613"/>
      <c r="N71" s="613"/>
      <c r="O71" s="634"/>
      <c r="P71" s="592"/>
      <c r="Q71" s="592"/>
      <c r="R71" s="592"/>
      <c r="S71" s="592"/>
      <c r="T71" s="592"/>
      <c r="U71" s="592"/>
      <c r="V71" s="602"/>
      <c r="W71" s="602"/>
      <c r="X71" s="602"/>
      <c r="Y71" s="602"/>
      <c r="Z71" s="602"/>
      <c r="AA71" s="602"/>
      <c r="AB71" s="592"/>
      <c r="AC71" s="592"/>
      <c r="AD71" s="592"/>
      <c r="AE71" s="592"/>
      <c r="AF71" s="602"/>
      <c r="AG71" s="602"/>
      <c r="AH71" s="602"/>
      <c r="AI71" s="602"/>
      <c r="AJ71" s="592"/>
      <c r="AK71" s="592"/>
      <c r="AL71" s="592"/>
      <c r="AM71" s="592"/>
      <c r="AN71" s="592"/>
    </row>
    <row r="72" spans="3:40" hidden="1" x14ac:dyDescent="0.25">
      <c r="C72" s="592"/>
      <c r="D72" s="592"/>
      <c r="E72" s="592"/>
      <c r="F72" s="592"/>
      <c r="G72" s="592"/>
      <c r="H72" s="592"/>
      <c r="I72" s="592"/>
      <c r="J72" s="610" t="s">
        <v>224</v>
      </c>
      <c r="K72" s="611"/>
      <c r="L72" s="611"/>
      <c r="M72" s="611"/>
      <c r="N72" s="611"/>
      <c r="O72" s="633"/>
      <c r="P72" s="592"/>
      <c r="Q72" s="592"/>
      <c r="R72" s="592"/>
      <c r="S72" s="592"/>
      <c r="T72" s="592"/>
      <c r="U72" s="592"/>
      <c r="V72" s="602"/>
      <c r="W72" s="602"/>
      <c r="X72" s="602"/>
      <c r="Y72" s="602"/>
      <c r="Z72" s="602"/>
      <c r="AA72" s="602"/>
      <c r="AB72" s="592"/>
      <c r="AC72" s="592"/>
      <c r="AD72" s="592"/>
      <c r="AE72" s="592"/>
      <c r="AF72" s="602"/>
      <c r="AG72" s="602"/>
      <c r="AH72" s="602"/>
      <c r="AI72" s="602"/>
      <c r="AJ72" s="592"/>
      <c r="AK72" s="592"/>
      <c r="AL72" s="592"/>
      <c r="AM72" s="592"/>
      <c r="AN72" s="592"/>
    </row>
    <row r="73" spans="3:40" hidden="1" x14ac:dyDescent="0.25">
      <c r="C73" s="592"/>
      <c r="D73" s="592"/>
      <c r="E73" s="592"/>
      <c r="F73" s="592"/>
      <c r="G73" s="592"/>
      <c r="H73" s="592"/>
      <c r="I73" s="592"/>
      <c r="J73" s="612" t="s">
        <v>225</v>
      </c>
      <c r="K73" s="613"/>
      <c r="L73" s="613"/>
      <c r="M73" s="613"/>
      <c r="N73" s="613"/>
      <c r="O73" s="634"/>
      <c r="P73" s="592"/>
      <c r="Q73" s="592"/>
      <c r="R73" s="592"/>
      <c r="S73" s="592"/>
      <c r="T73" s="592"/>
      <c r="U73" s="592"/>
      <c r="V73" s="602"/>
      <c r="W73" s="602"/>
      <c r="X73" s="602"/>
      <c r="Y73" s="602"/>
      <c r="Z73" s="602"/>
      <c r="AA73" s="602"/>
      <c r="AB73" s="592"/>
      <c r="AC73" s="592"/>
      <c r="AD73" s="592"/>
      <c r="AE73" s="592"/>
      <c r="AF73" s="602"/>
      <c r="AG73" s="602"/>
      <c r="AH73" s="602"/>
      <c r="AI73" s="602"/>
      <c r="AJ73" s="592"/>
      <c r="AK73" s="592"/>
      <c r="AL73" s="592"/>
      <c r="AM73" s="592"/>
      <c r="AN73" s="592"/>
    </row>
    <row r="74" spans="3:40" hidden="1" x14ac:dyDescent="0.25">
      <c r="C74" s="592"/>
      <c r="D74" s="592"/>
      <c r="E74" s="592"/>
      <c r="F74" s="592"/>
      <c r="G74" s="592"/>
      <c r="H74" s="592"/>
      <c r="I74" s="592"/>
      <c r="J74" s="610" t="s">
        <v>224</v>
      </c>
      <c r="K74" s="611"/>
      <c r="L74" s="611"/>
      <c r="M74" s="611"/>
      <c r="N74" s="611"/>
      <c r="O74" s="633"/>
      <c r="P74" s="592"/>
      <c r="Q74" s="592"/>
      <c r="R74" s="592"/>
      <c r="S74" s="592"/>
      <c r="T74" s="592"/>
      <c r="U74" s="592"/>
      <c r="V74" s="602"/>
      <c r="W74" s="602"/>
      <c r="X74" s="602"/>
      <c r="Y74" s="602"/>
      <c r="Z74" s="602"/>
      <c r="AA74" s="602"/>
      <c r="AB74" s="592"/>
      <c r="AC74" s="592"/>
      <c r="AD74" s="592"/>
      <c r="AE74" s="592"/>
      <c r="AF74" s="602"/>
      <c r="AG74" s="602"/>
      <c r="AH74" s="602"/>
      <c r="AI74" s="602"/>
      <c r="AJ74" s="592"/>
      <c r="AK74" s="592"/>
      <c r="AL74" s="592"/>
      <c r="AM74" s="592"/>
      <c r="AN74" s="592"/>
    </row>
    <row r="75" spans="3:40" hidden="1" x14ac:dyDescent="0.25">
      <c r="C75" s="592"/>
      <c r="D75" s="592"/>
      <c r="E75" s="592"/>
      <c r="F75" s="592"/>
      <c r="G75" s="592"/>
      <c r="H75" s="592"/>
      <c r="I75" s="592"/>
      <c r="J75" s="612" t="s">
        <v>225</v>
      </c>
      <c r="K75" s="613"/>
      <c r="L75" s="613"/>
      <c r="M75" s="613"/>
      <c r="N75" s="613"/>
      <c r="O75" s="634"/>
      <c r="P75" s="592"/>
      <c r="Q75" s="592"/>
      <c r="R75" s="592"/>
      <c r="S75" s="592"/>
      <c r="T75" s="592"/>
      <c r="U75" s="592"/>
      <c r="V75" s="602"/>
      <c r="W75" s="602"/>
      <c r="X75" s="602"/>
      <c r="Y75" s="602"/>
      <c r="Z75" s="602"/>
      <c r="AA75" s="602"/>
      <c r="AB75" s="592"/>
      <c r="AC75" s="592"/>
      <c r="AD75" s="592"/>
      <c r="AE75" s="592"/>
      <c r="AF75" s="602"/>
      <c r="AG75" s="602"/>
      <c r="AH75" s="602"/>
      <c r="AI75" s="602"/>
      <c r="AJ75" s="592"/>
      <c r="AK75" s="592"/>
      <c r="AL75" s="592"/>
      <c r="AM75" s="592"/>
      <c r="AN75" s="592"/>
    </row>
    <row r="76" spans="3:40" hidden="1" x14ac:dyDescent="0.25">
      <c r="C76" s="592"/>
      <c r="D76" s="592"/>
      <c r="E76" s="592"/>
      <c r="F76" s="592"/>
      <c r="G76" s="592"/>
      <c r="H76" s="592"/>
      <c r="I76" s="592"/>
      <c r="J76" s="610" t="s">
        <v>224</v>
      </c>
      <c r="K76" s="611"/>
      <c r="L76" s="611"/>
      <c r="M76" s="611"/>
      <c r="N76" s="611"/>
      <c r="O76" s="633"/>
      <c r="P76" s="592"/>
      <c r="Q76" s="592"/>
      <c r="R76" s="592"/>
      <c r="S76" s="592"/>
      <c r="T76" s="592"/>
      <c r="U76" s="592"/>
      <c r="V76" s="602"/>
      <c r="W76" s="602"/>
      <c r="X76" s="602"/>
      <c r="Y76" s="602"/>
      <c r="Z76" s="602"/>
      <c r="AA76" s="602"/>
      <c r="AB76" s="592"/>
      <c r="AC76" s="592"/>
      <c r="AD76" s="592"/>
      <c r="AE76" s="592"/>
      <c r="AF76" s="602"/>
      <c r="AG76" s="602"/>
      <c r="AH76" s="602"/>
      <c r="AI76" s="602"/>
      <c r="AJ76" s="592"/>
      <c r="AK76" s="592"/>
      <c r="AL76" s="592"/>
      <c r="AM76" s="592"/>
      <c r="AN76" s="592"/>
    </row>
    <row r="77" spans="3:40" hidden="1" x14ac:dyDescent="0.25">
      <c r="C77" s="592"/>
      <c r="D77" s="592"/>
      <c r="E77" s="592"/>
      <c r="F77" s="592"/>
      <c r="G77" s="592"/>
      <c r="H77" s="592"/>
      <c r="I77" s="592"/>
      <c r="J77" s="612" t="s">
        <v>225</v>
      </c>
      <c r="K77" s="613"/>
      <c r="L77" s="613"/>
      <c r="M77" s="613"/>
      <c r="N77" s="613"/>
      <c r="O77" s="634"/>
      <c r="P77" s="592"/>
      <c r="Q77" s="592"/>
      <c r="R77" s="592"/>
      <c r="S77" s="592"/>
      <c r="T77" s="592"/>
      <c r="U77" s="592"/>
      <c r="V77" s="602"/>
      <c r="W77" s="602"/>
      <c r="X77" s="602"/>
      <c r="Y77" s="602"/>
      <c r="Z77" s="602"/>
      <c r="AA77" s="602"/>
      <c r="AB77" s="592"/>
      <c r="AC77" s="592"/>
      <c r="AD77" s="592"/>
      <c r="AE77" s="592"/>
      <c r="AF77" s="602"/>
      <c r="AG77" s="602"/>
      <c r="AH77" s="602"/>
      <c r="AI77" s="602"/>
      <c r="AJ77" s="592"/>
      <c r="AK77" s="592"/>
      <c r="AL77" s="592"/>
      <c r="AM77" s="592"/>
      <c r="AN77" s="592"/>
    </row>
    <row r="78" spans="3:40" hidden="1" x14ac:dyDescent="0.25">
      <c r="C78" s="592"/>
      <c r="D78" s="592"/>
      <c r="E78" s="592"/>
      <c r="F78" s="592"/>
      <c r="G78" s="592"/>
      <c r="H78" s="592"/>
      <c r="I78" s="592"/>
      <c r="J78" s="610" t="s">
        <v>224</v>
      </c>
      <c r="K78" s="611"/>
      <c r="L78" s="611"/>
      <c r="M78" s="611"/>
      <c r="N78" s="611"/>
      <c r="O78" s="633"/>
      <c r="P78" s="592"/>
      <c r="Q78" s="592"/>
      <c r="R78" s="592"/>
      <c r="S78" s="592"/>
      <c r="T78" s="592"/>
      <c r="U78" s="592"/>
      <c r="V78" s="602"/>
      <c r="W78" s="602"/>
      <c r="X78" s="602"/>
      <c r="Y78" s="602"/>
      <c r="Z78" s="602"/>
      <c r="AA78" s="602"/>
      <c r="AB78" s="592"/>
      <c r="AC78" s="592"/>
      <c r="AD78" s="592"/>
      <c r="AE78" s="592"/>
      <c r="AF78" s="602"/>
      <c r="AG78" s="602"/>
      <c r="AH78" s="602"/>
      <c r="AI78" s="602"/>
      <c r="AJ78" s="592"/>
      <c r="AK78" s="592"/>
      <c r="AL78" s="592"/>
      <c r="AM78" s="592"/>
      <c r="AN78" s="592"/>
    </row>
    <row r="79" spans="3:40" hidden="1" x14ac:dyDescent="0.25">
      <c r="C79" s="592"/>
      <c r="D79" s="592"/>
      <c r="E79" s="592"/>
      <c r="F79" s="592"/>
      <c r="G79" s="592"/>
      <c r="H79" s="592"/>
      <c r="I79" s="592"/>
      <c r="J79" s="612" t="s">
        <v>225</v>
      </c>
      <c r="K79" s="613"/>
      <c r="L79" s="613"/>
      <c r="M79" s="613"/>
      <c r="N79" s="613"/>
      <c r="O79" s="634"/>
      <c r="P79" s="592"/>
      <c r="Q79" s="592"/>
      <c r="R79" s="592"/>
      <c r="S79" s="592"/>
      <c r="T79" s="592"/>
      <c r="U79" s="592"/>
      <c r="V79" s="602"/>
      <c r="W79" s="602"/>
      <c r="X79" s="602"/>
      <c r="Y79" s="602"/>
      <c r="Z79" s="602"/>
      <c r="AA79" s="602"/>
      <c r="AB79" s="592"/>
      <c r="AC79" s="592"/>
      <c r="AD79" s="592"/>
      <c r="AE79" s="592"/>
      <c r="AF79" s="602"/>
      <c r="AG79" s="602"/>
      <c r="AH79" s="602"/>
      <c r="AI79" s="602"/>
      <c r="AJ79" s="592"/>
      <c r="AK79" s="592"/>
      <c r="AL79" s="592"/>
      <c r="AM79" s="592"/>
      <c r="AN79" s="592"/>
    </row>
    <row r="80" spans="3:40" x14ac:dyDescent="0.25">
      <c r="C80" s="607" t="s">
        <v>233</v>
      </c>
      <c r="D80" s="608"/>
      <c r="E80" s="608"/>
      <c r="F80" s="608"/>
      <c r="G80" s="608"/>
      <c r="H80" s="608"/>
      <c r="I80" s="608"/>
      <c r="J80" s="608"/>
      <c r="K80" s="608"/>
      <c r="L80" s="608"/>
      <c r="M80" s="608"/>
      <c r="N80" s="608"/>
      <c r="O80" s="608"/>
      <c r="P80" s="608"/>
      <c r="Q80" s="608"/>
      <c r="R80" s="608"/>
      <c r="S80" s="608"/>
      <c r="T80" s="608"/>
      <c r="U80" s="609"/>
      <c r="V80" s="642">
        <f>SUM(V68:AA79)</f>
        <v>175000000</v>
      </c>
      <c r="W80" s="643"/>
      <c r="X80" s="643"/>
      <c r="Y80" s="643"/>
      <c r="Z80" s="643"/>
      <c r="AA80" s="643"/>
      <c r="AB80" s="608"/>
      <c r="AC80" s="608"/>
      <c r="AD80" s="608"/>
      <c r="AE80" s="609"/>
      <c r="AF80" s="675">
        <f>SUM(AF68:AI79)</f>
        <v>200000000</v>
      </c>
      <c r="AG80" s="646"/>
      <c r="AH80" s="646"/>
      <c r="AI80" s="629"/>
      <c r="AJ80" s="641"/>
      <c r="AK80" s="641"/>
      <c r="AL80" s="641"/>
      <c r="AM80" s="641"/>
      <c r="AN80" s="641"/>
    </row>
    <row r="81" spans="3:40" ht="3" customHeight="1" x14ac:dyDescent="0.25">
      <c r="C81" s="53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179"/>
    </row>
    <row r="82" spans="3:40" x14ac:dyDescent="0.25">
      <c r="C82" s="180" t="s">
        <v>33</v>
      </c>
      <c r="D82" s="181" t="s">
        <v>243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182"/>
    </row>
    <row r="83" spans="3:40" ht="3" customHeight="1" x14ac:dyDescent="0.25">
      <c r="C83" s="155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57"/>
    </row>
    <row r="84" spans="3:40" ht="14.65" customHeight="1" x14ac:dyDescent="0.25">
      <c r="C84" s="571" t="s">
        <v>193</v>
      </c>
      <c r="D84" s="571"/>
      <c r="E84" s="574" t="s">
        <v>194</v>
      </c>
      <c r="F84" s="575"/>
      <c r="G84" s="659"/>
      <c r="H84" s="621" t="s">
        <v>237</v>
      </c>
      <c r="I84" s="621"/>
      <c r="J84" s="584"/>
      <c r="K84" s="647" t="s">
        <v>236</v>
      </c>
      <c r="L84" s="648"/>
      <c r="M84" s="648"/>
      <c r="N84" s="648"/>
      <c r="O84" s="648"/>
      <c r="P84" s="648"/>
      <c r="Q84" s="648"/>
      <c r="R84" s="648"/>
      <c r="S84" s="648"/>
      <c r="T84" s="648"/>
      <c r="U84" s="649"/>
      <c r="V84" s="557" t="s">
        <v>198</v>
      </c>
      <c r="W84" s="557"/>
      <c r="X84" s="557"/>
      <c r="Y84" s="557"/>
      <c r="Z84" s="557" t="s">
        <v>231</v>
      </c>
      <c r="AA84" s="557"/>
      <c r="AB84" s="557"/>
      <c r="AC84" s="557"/>
      <c r="AD84" s="557"/>
      <c r="AE84" s="557"/>
      <c r="AF84" s="557" t="s">
        <v>232</v>
      </c>
      <c r="AG84" s="557"/>
      <c r="AH84" s="557"/>
      <c r="AI84" s="558"/>
      <c r="AJ84" s="583" t="s">
        <v>211</v>
      </c>
      <c r="AK84" s="621"/>
      <c r="AL84" s="621"/>
      <c r="AM84" s="621"/>
      <c r="AN84" s="584"/>
    </row>
    <row r="85" spans="3:40" x14ac:dyDescent="0.25">
      <c r="C85" s="571"/>
      <c r="D85" s="571"/>
      <c r="E85" s="577"/>
      <c r="F85" s="578"/>
      <c r="G85" s="660"/>
      <c r="H85" s="561"/>
      <c r="I85" s="561"/>
      <c r="J85" s="562"/>
      <c r="K85" s="650"/>
      <c r="L85" s="651"/>
      <c r="M85" s="651"/>
      <c r="N85" s="651"/>
      <c r="O85" s="651"/>
      <c r="P85" s="651"/>
      <c r="Q85" s="651"/>
      <c r="R85" s="651"/>
      <c r="S85" s="651"/>
      <c r="T85" s="651"/>
      <c r="U85" s="652"/>
      <c r="V85" s="557"/>
      <c r="W85" s="557"/>
      <c r="X85" s="557"/>
      <c r="Y85" s="557"/>
      <c r="Z85" s="557"/>
      <c r="AA85" s="557"/>
      <c r="AB85" s="557"/>
      <c r="AC85" s="557"/>
      <c r="AD85" s="557"/>
      <c r="AE85" s="557"/>
      <c r="AF85" s="557"/>
      <c r="AG85" s="557"/>
      <c r="AH85" s="557"/>
      <c r="AI85" s="557"/>
      <c r="AJ85" s="644" t="s">
        <v>212</v>
      </c>
      <c r="AK85" s="644"/>
      <c r="AL85" s="644"/>
      <c r="AM85" s="644"/>
      <c r="AN85" s="644"/>
    </row>
    <row r="86" spans="3:40" x14ac:dyDescent="0.25">
      <c r="C86" s="571"/>
      <c r="D86" s="571"/>
      <c r="E86" s="580"/>
      <c r="F86" s="581"/>
      <c r="G86" s="661"/>
      <c r="H86" s="564"/>
      <c r="I86" s="564"/>
      <c r="J86" s="565"/>
      <c r="K86" s="653"/>
      <c r="L86" s="654"/>
      <c r="M86" s="654"/>
      <c r="N86" s="654"/>
      <c r="O86" s="654"/>
      <c r="P86" s="654"/>
      <c r="Q86" s="654"/>
      <c r="R86" s="654"/>
      <c r="S86" s="654"/>
      <c r="T86" s="654"/>
      <c r="U86" s="655"/>
      <c r="V86" s="557"/>
      <c r="W86" s="557"/>
      <c r="X86" s="557"/>
      <c r="Y86" s="557"/>
      <c r="Z86" s="557"/>
      <c r="AA86" s="557"/>
      <c r="AB86" s="557"/>
      <c r="AC86" s="557"/>
      <c r="AD86" s="557"/>
      <c r="AE86" s="557"/>
      <c r="AF86" s="557"/>
      <c r="AG86" s="557"/>
      <c r="AH86" s="557"/>
      <c r="AI86" s="557"/>
      <c r="AJ86" s="557"/>
      <c r="AK86" s="557"/>
      <c r="AL86" s="557"/>
      <c r="AM86" s="557"/>
      <c r="AN86" s="557"/>
    </row>
    <row r="87" spans="3:40" ht="10.15" customHeight="1" x14ac:dyDescent="0.25">
      <c r="C87" s="566" t="s">
        <v>213</v>
      </c>
      <c r="D87" s="567"/>
      <c r="E87" s="645" t="s">
        <v>214</v>
      </c>
      <c r="F87" s="646"/>
      <c r="G87" s="629"/>
      <c r="H87" s="585" t="s">
        <v>215</v>
      </c>
      <c r="I87" s="586"/>
      <c r="J87" s="587"/>
      <c r="K87" s="645" t="s">
        <v>216</v>
      </c>
      <c r="L87" s="646"/>
      <c r="M87" s="646"/>
      <c r="N87" s="646"/>
      <c r="O87" s="646"/>
      <c r="P87" s="646"/>
      <c r="Q87" s="646"/>
      <c r="R87" s="646"/>
      <c r="S87" s="646"/>
      <c r="T87" s="646"/>
      <c r="U87" s="629"/>
      <c r="V87" s="566" t="s">
        <v>217</v>
      </c>
      <c r="W87" s="567"/>
      <c r="X87" s="567"/>
      <c r="Y87" s="567"/>
      <c r="Z87" s="592" t="s">
        <v>218</v>
      </c>
      <c r="AA87" s="592"/>
      <c r="AB87" s="592"/>
      <c r="AC87" s="592"/>
      <c r="AD87" s="592"/>
      <c r="AE87" s="592"/>
      <c r="AF87" s="606" t="s">
        <v>219</v>
      </c>
      <c r="AG87" s="592"/>
      <c r="AH87" s="592"/>
      <c r="AI87" s="592"/>
      <c r="AJ87" s="566" t="s">
        <v>220</v>
      </c>
      <c r="AK87" s="567"/>
      <c r="AL87" s="567"/>
      <c r="AM87" s="567"/>
      <c r="AN87" s="567"/>
    </row>
    <row r="88" spans="3:40" ht="3" customHeight="1" x14ac:dyDescent="0.25">
      <c r="C88" s="591" t="str">
        <f>'SOAL KASUS'!B57</f>
        <v>0403</v>
      </c>
      <c r="D88" s="590"/>
      <c r="E88" s="635" t="s">
        <v>1237</v>
      </c>
      <c r="F88" s="636"/>
      <c r="G88" s="637"/>
      <c r="H88" s="620" t="s">
        <v>1238</v>
      </c>
      <c r="I88" s="615"/>
      <c r="J88" s="616"/>
      <c r="K88" s="476"/>
      <c r="L88" s="477"/>
      <c r="M88" s="477"/>
      <c r="N88" s="477"/>
      <c r="O88" s="477"/>
      <c r="P88" s="477"/>
      <c r="Q88" s="477"/>
      <c r="R88" s="477"/>
      <c r="S88" s="477"/>
      <c r="T88" s="477"/>
      <c r="U88" s="478"/>
      <c r="V88" s="590">
        <f>'SOAL KASUS'!D57</f>
        <v>2020</v>
      </c>
      <c r="W88" s="590"/>
      <c r="X88" s="590"/>
      <c r="Y88" s="590"/>
      <c r="Z88" s="605">
        <f>'SOAL KASUS'!E57</f>
        <v>400000000</v>
      </c>
      <c r="AA88" s="605"/>
      <c r="AB88" s="605"/>
      <c r="AC88" s="605"/>
      <c r="AD88" s="605"/>
      <c r="AE88" s="605"/>
      <c r="AF88" s="605">
        <f>'SOAL KASUS'!F57</f>
        <v>300000000</v>
      </c>
      <c r="AG88" s="605"/>
      <c r="AH88" s="605"/>
      <c r="AI88" s="605"/>
      <c r="AJ88" s="590"/>
      <c r="AK88" s="590"/>
      <c r="AL88" s="590"/>
      <c r="AM88" s="590"/>
      <c r="AN88" s="590"/>
    </row>
    <row r="89" spans="3:40" x14ac:dyDescent="0.25">
      <c r="C89" s="590"/>
      <c r="D89" s="590"/>
      <c r="E89" s="656"/>
      <c r="F89" s="657"/>
      <c r="G89" s="658"/>
      <c r="H89" s="682"/>
      <c r="I89" s="683"/>
      <c r="J89" s="684"/>
      <c r="K89" s="479"/>
      <c r="L89" s="480"/>
      <c r="M89" s="481" t="s">
        <v>239</v>
      </c>
      <c r="N89" s="482"/>
      <c r="O89" s="482"/>
      <c r="P89" s="482"/>
      <c r="Q89" s="482"/>
      <c r="R89" s="482"/>
      <c r="S89" s="482"/>
      <c r="T89" s="482"/>
      <c r="U89" s="483"/>
      <c r="V89" s="590"/>
      <c r="W89" s="590"/>
      <c r="X89" s="590"/>
      <c r="Y89" s="590"/>
      <c r="Z89" s="605"/>
      <c r="AA89" s="605"/>
      <c r="AB89" s="605"/>
      <c r="AC89" s="605"/>
      <c r="AD89" s="605"/>
      <c r="AE89" s="605"/>
      <c r="AF89" s="605"/>
      <c r="AG89" s="605"/>
      <c r="AH89" s="605"/>
      <c r="AI89" s="605"/>
      <c r="AJ89" s="590"/>
      <c r="AK89" s="590"/>
      <c r="AL89" s="590"/>
      <c r="AM89" s="590"/>
      <c r="AN89" s="590"/>
    </row>
    <row r="90" spans="3:40" ht="3" customHeight="1" x14ac:dyDescent="0.25">
      <c r="C90" s="590"/>
      <c r="D90" s="590"/>
      <c r="E90" s="656"/>
      <c r="F90" s="657"/>
      <c r="G90" s="658"/>
      <c r="H90" s="682"/>
      <c r="I90" s="683"/>
      <c r="J90" s="684"/>
      <c r="K90" s="479"/>
      <c r="L90" s="482"/>
      <c r="M90" s="481"/>
      <c r="N90" s="482"/>
      <c r="O90" s="482"/>
      <c r="P90" s="482"/>
      <c r="Q90" s="482"/>
      <c r="R90" s="482"/>
      <c r="S90" s="482"/>
      <c r="T90" s="482"/>
      <c r="U90" s="483"/>
      <c r="V90" s="590"/>
      <c r="W90" s="590"/>
      <c r="X90" s="590"/>
      <c r="Y90" s="590"/>
      <c r="Z90" s="605"/>
      <c r="AA90" s="605"/>
      <c r="AB90" s="605"/>
      <c r="AC90" s="605"/>
      <c r="AD90" s="605"/>
      <c r="AE90" s="605"/>
      <c r="AF90" s="605"/>
      <c r="AG90" s="605"/>
      <c r="AH90" s="605"/>
      <c r="AI90" s="605"/>
      <c r="AJ90" s="590"/>
      <c r="AK90" s="590"/>
      <c r="AL90" s="590"/>
      <c r="AM90" s="590"/>
      <c r="AN90" s="590"/>
    </row>
    <row r="91" spans="3:40" x14ac:dyDescent="0.25">
      <c r="C91" s="590"/>
      <c r="D91" s="590"/>
      <c r="E91" s="656"/>
      <c r="F91" s="657"/>
      <c r="G91" s="658"/>
      <c r="H91" s="682"/>
      <c r="I91" s="683"/>
      <c r="J91" s="684"/>
      <c r="K91" s="479"/>
      <c r="L91" s="484" t="s">
        <v>1213</v>
      </c>
      <c r="M91" s="481" t="s">
        <v>240</v>
      </c>
      <c r="N91" s="482"/>
      <c r="O91" s="482"/>
      <c r="P91" s="482"/>
      <c r="Q91" s="482"/>
      <c r="R91" s="482"/>
      <c r="S91" s="482"/>
      <c r="T91" s="482"/>
      <c r="U91" s="483"/>
      <c r="V91" s="590"/>
      <c r="W91" s="590"/>
      <c r="X91" s="590"/>
      <c r="Y91" s="590"/>
      <c r="Z91" s="605"/>
      <c r="AA91" s="605"/>
      <c r="AB91" s="605"/>
      <c r="AC91" s="605"/>
      <c r="AD91" s="605"/>
      <c r="AE91" s="605"/>
      <c r="AF91" s="605"/>
      <c r="AG91" s="605"/>
      <c r="AH91" s="605"/>
      <c r="AI91" s="605"/>
      <c r="AJ91" s="590"/>
      <c r="AK91" s="590"/>
      <c r="AL91" s="590"/>
      <c r="AM91" s="590"/>
      <c r="AN91" s="590"/>
    </row>
    <row r="92" spans="3:40" x14ac:dyDescent="0.25">
      <c r="C92" s="590"/>
      <c r="D92" s="590"/>
      <c r="E92" s="656" t="s">
        <v>1236</v>
      </c>
      <c r="F92" s="657"/>
      <c r="G92" s="658"/>
      <c r="H92" s="682"/>
      <c r="I92" s="683"/>
      <c r="J92" s="684"/>
      <c r="K92" s="479"/>
      <c r="L92" s="482" t="s">
        <v>1239</v>
      </c>
      <c r="M92" s="482"/>
      <c r="N92" s="482"/>
      <c r="O92" s="482"/>
      <c r="P92" s="482"/>
      <c r="Q92" s="482"/>
      <c r="R92" s="482"/>
      <c r="S92" s="482"/>
      <c r="T92" s="482"/>
      <c r="U92" s="483"/>
      <c r="V92" s="590"/>
      <c r="W92" s="590"/>
      <c r="X92" s="590"/>
      <c r="Y92" s="590"/>
      <c r="Z92" s="605"/>
      <c r="AA92" s="605"/>
      <c r="AB92" s="605"/>
      <c r="AC92" s="605"/>
      <c r="AD92" s="605"/>
      <c r="AE92" s="605"/>
      <c r="AF92" s="605"/>
      <c r="AG92" s="605"/>
      <c r="AH92" s="605"/>
      <c r="AI92" s="605"/>
      <c r="AJ92" s="590"/>
      <c r="AK92" s="590"/>
      <c r="AL92" s="590"/>
      <c r="AM92" s="590"/>
      <c r="AN92" s="590"/>
    </row>
    <row r="93" spans="3:40" x14ac:dyDescent="0.25">
      <c r="C93" s="590"/>
      <c r="D93" s="590"/>
      <c r="E93" s="638"/>
      <c r="F93" s="639"/>
      <c r="G93" s="640"/>
      <c r="H93" s="682"/>
      <c r="I93" s="683"/>
      <c r="J93" s="684"/>
      <c r="K93" s="485"/>
      <c r="L93" s="486" t="s">
        <v>1240</v>
      </c>
      <c r="M93" s="486"/>
      <c r="N93" s="486"/>
      <c r="O93" s="486"/>
      <c r="P93" s="486"/>
      <c r="Q93" s="486"/>
      <c r="R93" s="486"/>
      <c r="S93" s="486"/>
      <c r="T93" s="486"/>
      <c r="U93" s="487"/>
      <c r="V93" s="590"/>
      <c r="W93" s="590"/>
      <c r="X93" s="590"/>
      <c r="Y93" s="590"/>
      <c r="Z93" s="605"/>
      <c r="AA93" s="605"/>
      <c r="AB93" s="605"/>
      <c r="AC93" s="605"/>
      <c r="AD93" s="605"/>
      <c r="AE93" s="605"/>
      <c r="AF93" s="605"/>
      <c r="AG93" s="605"/>
      <c r="AH93" s="605"/>
      <c r="AI93" s="605"/>
      <c r="AJ93" s="590"/>
      <c r="AK93" s="590"/>
      <c r="AL93" s="590"/>
      <c r="AM93" s="590"/>
      <c r="AN93" s="590"/>
    </row>
    <row r="94" spans="3:40" ht="3" customHeight="1" x14ac:dyDescent="0.25">
      <c r="C94" s="673"/>
      <c r="D94" s="674"/>
      <c r="E94" s="664" t="s">
        <v>755</v>
      </c>
      <c r="F94" s="665"/>
      <c r="G94" s="666"/>
      <c r="H94" s="685"/>
      <c r="I94" s="686"/>
      <c r="J94" s="687"/>
      <c r="K94" s="161"/>
      <c r="L94" s="8"/>
      <c r="M94" s="8"/>
      <c r="N94" s="8"/>
      <c r="O94" s="8"/>
      <c r="P94" s="8"/>
      <c r="Q94" s="8"/>
      <c r="R94" s="8"/>
      <c r="S94" s="8"/>
      <c r="T94" s="8"/>
      <c r="U94" s="162"/>
      <c r="V94" s="674"/>
      <c r="W94" s="674"/>
      <c r="X94" s="674"/>
      <c r="Y94" s="674"/>
      <c r="Z94" s="676"/>
      <c r="AA94" s="676"/>
      <c r="AB94" s="676"/>
      <c r="AC94" s="676"/>
      <c r="AD94" s="676"/>
      <c r="AE94" s="676"/>
      <c r="AF94" s="676"/>
      <c r="AG94" s="676"/>
      <c r="AH94" s="676"/>
      <c r="AI94" s="676"/>
      <c r="AJ94" s="674"/>
      <c r="AK94" s="674"/>
      <c r="AL94" s="674"/>
      <c r="AM94" s="674"/>
      <c r="AN94" s="674"/>
    </row>
    <row r="95" spans="3:40" hidden="1" x14ac:dyDescent="0.25">
      <c r="C95" s="674"/>
      <c r="D95" s="674"/>
      <c r="E95" s="667"/>
      <c r="F95" s="668"/>
      <c r="G95" s="669"/>
      <c r="H95" s="688"/>
      <c r="I95" s="689"/>
      <c r="J95" s="690"/>
      <c r="K95" s="155"/>
      <c r="L95" s="152"/>
      <c r="M95" s="156" t="s">
        <v>239</v>
      </c>
      <c r="N95" s="1"/>
      <c r="O95" s="1"/>
      <c r="P95" s="1"/>
      <c r="Q95" s="1"/>
      <c r="R95" s="1"/>
      <c r="S95" s="1"/>
      <c r="T95" s="1"/>
      <c r="U95" s="157"/>
      <c r="V95" s="674"/>
      <c r="W95" s="674"/>
      <c r="X95" s="674"/>
      <c r="Y95" s="674"/>
      <c r="Z95" s="676"/>
      <c r="AA95" s="676"/>
      <c r="AB95" s="676"/>
      <c r="AC95" s="676"/>
      <c r="AD95" s="676"/>
      <c r="AE95" s="676"/>
      <c r="AF95" s="676"/>
      <c r="AG95" s="676"/>
      <c r="AH95" s="676"/>
      <c r="AI95" s="676"/>
      <c r="AJ95" s="674"/>
      <c r="AK95" s="674"/>
      <c r="AL95" s="674"/>
      <c r="AM95" s="674"/>
      <c r="AN95" s="674"/>
    </row>
    <row r="96" spans="3:40" ht="3" hidden="1" customHeight="1" x14ac:dyDescent="0.25">
      <c r="C96" s="674"/>
      <c r="D96" s="674"/>
      <c r="E96" s="667"/>
      <c r="F96" s="668"/>
      <c r="G96" s="669"/>
      <c r="H96" s="688"/>
      <c r="I96" s="689"/>
      <c r="J96" s="690"/>
      <c r="K96" s="155"/>
      <c r="L96" s="1"/>
      <c r="M96" s="156"/>
      <c r="N96" s="1"/>
      <c r="O96" s="1"/>
      <c r="P96" s="1"/>
      <c r="Q96" s="1"/>
      <c r="R96" s="1"/>
      <c r="S96" s="1"/>
      <c r="T96" s="1"/>
      <c r="U96" s="157"/>
      <c r="V96" s="674"/>
      <c r="W96" s="674"/>
      <c r="X96" s="674"/>
      <c r="Y96" s="674"/>
      <c r="Z96" s="676"/>
      <c r="AA96" s="676"/>
      <c r="AB96" s="676"/>
      <c r="AC96" s="676"/>
      <c r="AD96" s="676"/>
      <c r="AE96" s="676"/>
      <c r="AF96" s="676"/>
      <c r="AG96" s="676"/>
      <c r="AH96" s="676"/>
      <c r="AI96" s="676"/>
      <c r="AJ96" s="674"/>
      <c r="AK96" s="674"/>
      <c r="AL96" s="674"/>
      <c r="AM96" s="674"/>
      <c r="AN96" s="674"/>
    </row>
    <row r="97" spans="3:40" hidden="1" x14ac:dyDescent="0.25">
      <c r="C97" s="674"/>
      <c r="D97" s="674"/>
      <c r="E97" s="667"/>
      <c r="F97" s="668"/>
      <c r="G97" s="669"/>
      <c r="H97" s="688"/>
      <c r="I97" s="689"/>
      <c r="J97" s="690"/>
      <c r="K97" s="155"/>
      <c r="L97" s="350"/>
      <c r="M97" s="156" t="s">
        <v>240</v>
      </c>
      <c r="N97" s="1"/>
      <c r="O97" s="1"/>
      <c r="P97" s="1"/>
      <c r="Q97" s="1"/>
      <c r="R97" s="1"/>
      <c r="S97" s="1"/>
      <c r="T97" s="1"/>
      <c r="U97" s="157"/>
      <c r="V97" s="674"/>
      <c r="W97" s="674"/>
      <c r="X97" s="674"/>
      <c r="Y97" s="674"/>
      <c r="Z97" s="676"/>
      <c r="AA97" s="676"/>
      <c r="AB97" s="676"/>
      <c r="AC97" s="676"/>
      <c r="AD97" s="676"/>
      <c r="AE97" s="676"/>
      <c r="AF97" s="676"/>
      <c r="AG97" s="676"/>
      <c r="AH97" s="676"/>
      <c r="AI97" s="676"/>
      <c r="AJ97" s="674"/>
      <c r="AK97" s="674"/>
      <c r="AL97" s="674"/>
      <c r="AM97" s="674"/>
      <c r="AN97" s="674"/>
    </row>
    <row r="98" spans="3:40" hidden="1" x14ac:dyDescent="0.25">
      <c r="C98" s="674"/>
      <c r="D98" s="674"/>
      <c r="E98" s="667" t="s">
        <v>757</v>
      </c>
      <c r="F98" s="668"/>
      <c r="G98" s="669"/>
      <c r="H98" s="688"/>
      <c r="I98" s="689"/>
      <c r="J98" s="690"/>
      <c r="K98" s="155"/>
      <c r="L98" s="1" t="s">
        <v>752</v>
      </c>
      <c r="M98" s="1"/>
      <c r="N98" s="1"/>
      <c r="O98" s="1"/>
      <c r="P98" s="1"/>
      <c r="Q98" s="1"/>
      <c r="R98" s="1"/>
      <c r="S98" s="1"/>
      <c r="T98" s="1"/>
      <c r="U98" s="157"/>
      <c r="V98" s="674"/>
      <c r="W98" s="674"/>
      <c r="X98" s="674"/>
      <c r="Y98" s="674"/>
      <c r="Z98" s="676"/>
      <c r="AA98" s="676"/>
      <c r="AB98" s="676"/>
      <c r="AC98" s="676"/>
      <c r="AD98" s="676"/>
      <c r="AE98" s="676"/>
      <c r="AF98" s="676"/>
      <c r="AG98" s="676"/>
      <c r="AH98" s="676"/>
      <c r="AI98" s="676"/>
      <c r="AJ98" s="674"/>
      <c r="AK98" s="674"/>
      <c r="AL98" s="674"/>
      <c r="AM98" s="674"/>
      <c r="AN98" s="674"/>
    </row>
    <row r="99" spans="3:40" hidden="1" x14ac:dyDescent="0.25">
      <c r="C99" s="674"/>
      <c r="D99" s="674"/>
      <c r="E99" s="670"/>
      <c r="F99" s="671"/>
      <c r="G99" s="672"/>
      <c r="H99" s="688"/>
      <c r="I99" s="689"/>
      <c r="J99" s="690"/>
      <c r="K99" s="158"/>
      <c r="L99" s="159" t="s">
        <v>753</v>
      </c>
      <c r="M99" s="159"/>
      <c r="N99" s="159"/>
      <c r="O99" s="159"/>
      <c r="P99" s="159"/>
      <c r="Q99" s="159"/>
      <c r="R99" s="159"/>
      <c r="S99" s="159"/>
      <c r="T99" s="159"/>
      <c r="U99" s="160"/>
      <c r="V99" s="674"/>
      <c r="W99" s="674"/>
      <c r="X99" s="674"/>
      <c r="Y99" s="674"/>
      <c r="Z99" s="676"/>
      <c r="AA99" s="676"/>
      <c r="AB99" s="676"/>
      <c r="AC99" s="676"/>
      <c r="AD99" s="676"/>
      <c r="AE99" s="676"/>
      <c r="AF99" s="676"/>
      <c r="AG99" s="676"/>
      <c r="AH99" s="676"/>
      <c r="AI99" s="676"/>
      <c r="AJ99" s="674"/>
      <c r="AK99" s="674"/>
      <c r="AL99" s="674"/>
      <c r="AM99" s="674"/>
      <c r="AN99" s="674"/>
    </row>
    <row r="100" spans="3:40" ht="3" hidden="1" customHeight="1" x14ac:dyDescent="0.25">
      <c r="C100" s="592"/>
      <c r="D100" s="592"/>
      <c r="E100" s="664" t="s">
        <v>241</v>
      </c>
      <c r="F100" s="665"/>
      <c r="G100" s="666"/>
      <c r="H100" s="593"/>
      <c r="I100" s="594"/>
      <c r="J100" s="595"/>
      <c r="K100" s="161"/>
      <c r="L100" s="8"/>
      <c r="M100" s="8"/>
      <c r="N100" s="8"/>
      <c r="O100" s="8"/>
      <c r="P100" s="8"/>
      <c r="Q100" s="8"/>
      <c r="R100" s="8"/>
      <c r="S100" s="8"/>
      <c r="T100" s="8"/>
      <c r="U100" s="162"/>
      <c r="V100" s="674"/>
      <c r="W100" s="674"/>
      <c r="X100" s="674"/>
      <c r="Y100" s="674"/>
      <c r="Z100" s="676"/>
      <c r="AA100" s="676"/>
      <c r="AB100" s="676"/>
      <c r="AC100" s="676"/>
      <c r="AD100" s="676"/>
      <c r="AE100" s="676"/>
      <c r="AF100" s="676"/>
      <c r="AG100" s="676"/>
      <c r="AH100" s="676"/>
      <c r="AI100" s="676"/>
      <c r="AJ100" s="674"/>
      <c r="AK100" s="674"/>
      <c r="AL100" s="674"/>
      <c r="AM100" s="674"/>
      <c r="AN100" s="674"/>
    </row>
    <row r="101" spans="3:40" hidden="1" x14ac:dyDescent="0.25">
      <c r="C101" s="592"/>
      <c r="D101" s="592"/>
      <c r="E101" s="667"/>
      <c r="F101" s="668"/>
      <c r="G101" s="669"/>
      <c r="H101" s="662"/>
      <c r="I101" s="568"/>
      <c r="J101" s="663"/>
      <c r="K101" s="155"/>
      <c r="L101" s="152"/>
      <c r="M101" s="156" t="s">
        <v>239</v>
      </c>
      <c r="N101" s="1"/>
      <c r="O101" s="1"/>
      <c r="P101" s="1"/>
      <c r="Q101" s="1"/>
      <c r="R101" s="1"/>
      <c r="S101" s="1"/>
      <c r="T101" s="1"/>
      <c r="U101" s="157"/>
      <c r="V101" s="674"/>
      <c r="W101" s="674"/>
      <c r="X101" s="674"/>
      <c r="Y101" s="674"/>
      <c r="Z101" s="676"/>
      <c r="AA101" s="676"/>
      <c r="AB101" s="676"/>
      <c r="AC101" s="676"/>
      <c r="AD101" s="676"/>
      <c r="AE101" s="676"/>
      <c r="AF101" s="676"/>
      <c r="AG101" s="676"/>
      <c r="AH101" s="676"/>
      <c r="AI101" s="676"/>
      <c r="AJ101" s="674"/>
      <c r="AK101" s="674"/>
      <c r="AL101" s="674"/>
      <c r="AM101" s="674"/>
      <c r="AN101" s="674"/>
    </row>
    <row r="102" spans="3:40" ht="3" hidden="1" customHeight="1" x14ac:dyDescent="0.25">
      <c r="C102" s="592"/>
      <c r="D102" s="592"/>
      <c r="E102" s="667"/>
      <c r="F102" s="668"/>
      <c r="G102" s="669"/>
      <c r="H102" s="662"/>
      <c r="I102" s="568"/>
      <c r="J102" s="663"/>
      <c r="K102" s="155"/>
      <c r="L102" s="1"/>
      <c r="M102" s="156"/>
      <c r="N102" s="1"/>
      <c r="O102" s="1"/>
      <c r="P102" s="1"/>
      <c r="Q102" s="1"/>
      <c r="R102" s="1"/>
      <c r="S102" s="1"/>
      <c r="T102" s="1"/>
      <c r="U102" s="157"/>
      <c r="V102" s="674"/>
      <c r="W102" s="674"/>
      <c r="X102" s="674"/>
      <c r="Y102" s="674"/>
      <c r="Z102" s="676"/>
      <c r="AA102" s="676"/>
      <c r="AB102" s="676"/>
      <c r="AC102" s="676"/>
      <c r="AD102" s="676"/>
      <c r="AE102" s="676"/>
      <c r="AF102" s="676"/>
      <c r="AG102" s="676"/>
      <c r="AH102" s="676"/>
      <c r="AI102" s="676"/>
      <c r="AJ102" s="674"/>
      <c r="AK102" s="674"/>
      <c r="AL102" s="674"/>
      <c r="AM102" s="674"/>
      <c r="AN102" s="674"/>
    </row>
    <row r="103" spans="3:40" hidden="1" x14ac:dyDescent="0.25">
      <c r="C103" s="592"/>
      <c r="D103" s="592"/>
      <c r="E103" s="667"/>
      <c r="F103" s="668"/>
      <c r="G103" s="669"/>
      <c r="H103" s="662"/>
      <c r="I103" s="568"/>
      <c r="J103" s="663"/>
      <c r="K103" s="155"/>
      <c r="L103" s="152"/>
      <c r="M103" s="156" t="s">
        <v>240</v>
      </c>
      <c r="N103" s="1"/>
      <c r="O103" s="1"/>
      <c r="P103" s="1"/>
      <c r="Q103" s="1"/>
      <c r="R103" s="1"/>
      <c r="S103" s="1"/>
      <c r="T103" s="1"/>
      <c r="U103" s="157"/>
      <c r="V103" s="674"/>
      <c r="W103" s="674"/>
      <c r="X103" s="674"/>
      <c r="Y103" s="674"/>
      <c r="Z103" s="676"/>
      <c r="AA103" s="676"/>
      <c r="AB103" s="676"/>
      <c r="AC103" s="676"/>
      <c r="AD103" s="676"/>
      <c r="AE103" s="676"/>
      <c r="AF103" s="676"/>
      <c r="AG103" s="676"/>
      <c r="AH103" s="676"/>
      <c r="AI103" s="676"/>
      <c r="AJ103" s="674"/>
      <c r="AK103" s="674"/>
      <c r="AL103" s="674"/>
      <c r="AM103" s="674"/>
      <c r="AN103" s="674"/>
    </row>
    <row r="104" spans="3:40" hidden="1" x14ac:dyDescent="0.25">
      <c r="C104" s="592"/>
      <c r="D104" s="592"/>
      <c r="E104" s="667" t="s">
        <v>608</v>
      </c>
      <c r="F104" s="668"/>
      <c r="G104" s="669"/>
      <c r="H104" s="662"/>
      <c r="I104" s="568"/>
      <c r="J104" s="663"/>
      <c r="K104" s="155"/>
      <c r="L104" s="1" t="s">
        <v>224</v>
      </c>
      <c r="M104" s="1"/>
      <c r="N104" s="1"/>
      <c r="O104" s="1"/>
      <c r="P104" s="1"/>
      <c r="Q104" s="1"/>
      <c r="R104" s="1"/>
      <c r="S104" s="1"/>
      <c r="T104" s="1"/>
      <c r="U104" s="157"/>
      <c r="V104" s="674"/>
      <c r="W104" s="674"/>
      <c r="X104" s="674"/>
      <c r="Y104" s="674"/>
      <c r="Z104" s="676"/>
      <c r="AA104" s="676"/>
      <c r="AB104" s="676"/>
      <c r="AC104" s="676"/>
      <c r="AD104" s="676"/>
      <c r="AE104" s="676"/>
      <c r="AF104" s="676"/>
      <c r="AG104" s="676"/>
      <c r="AH104" s="676"/>
      <c r="AI104" s="676"/>
      <c r="AJ104" s="674"/>
      <c r="AK104" s="674"/>
      <c r="AL104" s="674"/>
      <c r="AM104" s="674"/>
      <c r="AN104" s="674"/>
    </row>
    <row r="105" spans="3:40" hidden="1" x14ac:dyDescent="0.25">
      <c r="C105" s="592"/>
      <c r="D105" s="592"/>
      <c r="E105" s="670"/>
      <c r="F105" s="671"/>
      <c r="G105" s="672"/>
      <c r="H105" s="662"/>
      <c r="I105" s="568"/>
      <c r="J105" s="663"/>
      <c r="K105" s="158"/>
      <c r="L105" s="159" t="s">
        <v>225</v>
      </c>
      <c r="M105" s="159"/>
      <c r="N105" s="159"/>
      <c r="O105" s="159"/>
      <c r="P105" s="159"/>
      <c r="Q105" s="159"/>
      <c r="R105" s="159"/>
      <c r="S105" s="159"/>
      <c r="T105" s="159"/>
      <c r="U105" s="160"/>
      <c r="V105" s="674"/>
      <c r="W105" s="674"/>
      <c r="X105" s="674"/>
      <c r="Y105" s="674"/>
      <c r="Z105" s="676"/>
      <c r="AA105" s="676"/>
      <c r="AB105" s="676"/>
      <c r="AC105" s="676"/>
      <c r="AD105" s="676"/>
      <c r="AE105" s="676"/>
      <c r="AF105" s="676"/>
      <c r="AG105" s="676"/>
      <c r="AH105" s="676"/>
      <c r="AI105" s="676"/>
      <c r="AJ105" s="674"/>
      <c r="AK105" s="674"/>
      <c r="AL105" s="674"/>
      <c r="AM105" s="674"/>
      <c r="AN105" s="674"/>
    </row>
    <row r="106" spans="3:40" ht="2.1" hidden="1" customHeight="1" x14ac:dyDescent="0.25">
      <c r="C106" s="592"/>
      <c r="D106" s="592"/>
      <c r="E106" s="664" t="s">
        <v>241</v>
      </c>
      <c r="F106" s="665"/>
      <c r="G106" s="666"/>
      <c r="H106" s="593"/>
      <c r="I106" s="594"/>
      <c r="J106" s="595"/>
      <c r="K106" s="161"/>
      <c r="L106" s="8"/>
      <c r="M106" s="8"/>
      <c r="N106" s="8"/>
      <c r="O106" s="8"/>
      <c r="P106" s="8"/>
      <c r="Q106" s="8"/>
      <c r="R106" s="8"/>
      <c r="S106" s="8"/>
      <c r="T106" s="8"/>
      <c r="U106" s="162"/>
      <c r="V106" s="674"/>
      <c r="W106" s="674"/>
      <c r="X106" s="674"/>
      <c r="Y106" s="674"/>
      <c r="Z106" s="676"/>
      <c r="AA106" s="676"/>
      <c r="AB106" s="676"/>
      <c r="AC106" s="676"/>
      <c r="AD106" s="676"/>
      <c r="AE106" s="676"/>
      <c r="AF106" s="676"/>
      <c r="AG106" s="676"/>
      <c r="AH106" s="676"/>
      <c r="AI106" s="676"/>
      <c r="AJ106" s="674"/>
      <c r="AK106" s="674"/>
      <c r="AL106" s="674"/>
      <c r="AM106" s="674"/>
      <c r="AN106" s="674"/>
    </row>
    <row r="107" spans="3:40" hidden="1" x14ac:dyDescent="0.25">
      <c r="C107" s="592"/>
      <c r="D107" s="592"/>
      <c r="E107" s="667"/>
      <c r="F107" s="668"/>
      <c r="G107" s="669"/>
      <c r="H107" s="662"/>
      <c r="I107" s="568"/>
      <c r="J107" s="663"/>
      <c r="K107" s="155"/>
      <c r="L107" s="152"/>
      <c r="M107" s="156" t="s">
        <v>239</v>
      </c>
      <c r="N107" s="1"/>
      <c r="O107" s="1"/>
      <c r="P107" s="1"/>
      <c r="Q107" s="1"/>
      <c r="R107" s="1"/>
      <c r="S107" s="1"/>
      <c r="T107" s="1"/>
      <c r="U107" s="157"/>
      <c r="V107" s="674"/>
      <c r="W107" s="674"/>
      <c r="X107" s="674"/>
      <c r="Y107" s="674"/>
      <c r="Z107" s="676"/>
      <c r="AA107" s="676"/>
      <c r="AB107" s="676"/>
      <c r="AC107" s="676"/>
      <c r="AD107" s="676"/>
      <c r="AE107" s="676"/>
      <c r="AF107" s="676"/>
      <c r="AG107" s="676"/>
      <c r="AH107" s="676"/>
      <c r="AI107" s="676"/>
      <c r="AJ107" s="674"/>
      <c r="AK107" s="674"/>
      <c r="AL107" s="674"/>
      <c r="AM107" s="674"/>
      <c r="AN107" s="674"/>
    </row>
    <row r="108" spans="3:40" ht="3" hidden="1" customHeight="1" x14ac:dyDescent="0.25">
      <c r="C108" s="592"/>
      <c r="D108" s="592"/>
      <c r="E108" s="667"/>
      <c r="F108" s="668"/>
      <c r="G108" s="669"/>
      <c r="H108" s="662"/>
      <c r="I108" s="568"/>
      <c r="J108" s="663"/>
      <c r="K108" s="155"/>
      <c r="L108" s="1"/>
      <c r="M108" s="156"/>
      <c r="N108" s="1"/>
      <c r="O108" s="1"/>
      <c r="P108" s="1"/>
      <c r="Q108" s="1"/>
      <c r="R108" s="1"/>
      <c r="S108" s="1"/>
      <c r="T108" s="1"/>
      <c r="U108" s="157"/>
      <c r="V108" s="674"/>
      <c r="W108" s="674"/>
      <c r="X108" s="674"/>
      <c r="Y108" s="674"/>
      <c r="Z108" s="676"/>
      <c r="AA108" s="676"/>
      <c r="AB108" s="676"/>
      <c r="AC108" s="676"/>
      <c r="AD108" s="676"/>
      <c r="AE108" s="676"/>
      <c r="AF108" s="676"/>
      <c r="AG108" s="676"/>
      <c r="AH108" s="676"/>
      <c r="AI108" s="676"/>
      <c r="AJ108" s="674"/>
      <c r="AK108" s="674"/>
      <c r="AL108" s="674"/>
      <c r="AM108" s="674"/>
      <c r="AN108" s="674"/>
    </row>
    <row r="109" spans="3:40" hidden="1" x14ac:dyDescent="0.25">
      <c r="C109" s="592"/>
      <c r="D109" s="592"/>
      <c r="E109" s="667"/>
      <c r="F109" s="668"/>
      <c r="G109" s="669"/>
      <c r="H109" s="662"/>
      <c r="I109" s="568"/>
      <c r="J109" s="663"/>
      <c r="K109" s="155"/>
      <c r="L109" s="152"/>
      <c r="M109" s="156" t="s">
        <v>240</v>
      </c>
      <c r="N109" s="1"/>
      <c r="O109" s="1"/>
      <c r="P109" s="1"/>
      <c r="Q109" s="1"/>
      <c r="R109" s="1"/>
      <c r="S109" s="1"/>
      <c r="T109" s="1"/>
      <c r="U109" s="157"/>
      <c r="V109" s="674"/>
      <c r="W109" s="674"/>
      <c r="X109" s="674"/>
      <c r="Y109" s="674"/>
      <c r="Z109" s="676"/>
      <c r="AA109" s="676"/>
      <c r="AB109" s="676"/>
      <c r="AC109" s="676"/>
      <c r="AD109" s="676"/>
      <c r="AE109" s="676"/>
      <c r="AF109" s="676"/>
      <c r="AG109" s="676"/>
      <c r="AH109" s="676"/>
      <c r="AI109" s="676"/>
      <c r="AJ109" s="674"/>
      <c r="AK109" s="674"/>
      <c r="AL109" s="674"/>
      <c r="AM109" s="674"/>
      <c r="AN109" s="674"/>
    </row>
    <row r="110" spans="3:40" hidden="1" x14ac:dyDescent="0.25">
      <c r="C110" s="592"/>
      <c r="D110" s="592"/>
      <c r="E110" s="667" t="s">
        <v>608</v>
      </c>
      <c r="F110" s="668"/>
      <c r="G110" s="669"/>
      <c r="H110" s="662"/>
      <c r="I110" s="568"/>
      <c r="J110" s="663"/>
      <c r="K110" s="155"/>
      <c r="L110" s="1" t="s">
        <v>224</v>
      </c>
      <c r="M110" s="1"/>
      <c r="N110" s="1"/>
      <c r="O110" s="1"/>
      <c r="P110" s="1"/>
      <c r="Q110" s="1"/>
      <c r="R110" s="1"/>
      <c r="S110" s="1"/>
      <c r="T110" s="1"/>
      <c r="U110" s="157"/>
      <c r="V110" s="674"/>
      <c r="W110" s="674"/>
      <c r="X110" s="674"/>
      <c r="Y110" s="674"/>
      <c r="Z110" s="676"/>
      <c r="AA110" s="676"/>
      <c r="AB110" s="676"/>
      <c r="AC110" s="676"/>
      <c r="AD110" s="676"/>
      <c r="AE110" s="676"/>
      <c r="AF110" s="676"/>
      <c r="AG110" s="676"/>
      <c r="AH110" s="676"/>
      <c r="AI110" s="676"/>
      <c r="AJ110" s="674"/>
      <c r="AK110" s="674"/>
      <c r="AL110" s="674"/>
      <c r="AM110" s="674"/>
      <c r="AN110" s="674"/>
    </row>
    <row r="111" spans="3:40" hidden="1" x14ac:dyDescent="0.25">
      <c r="C111" s="592"/>
      <c r="D111" s="592"/>
      <c r="E111" s="670"/>
      <c r="F111" s="671"/>
      <c r="G111" s="672"/>
      <c r="H111" s="662"/>
      <c r="I111" s="568"/>
      <c r="J111" s="663"/>
      <c r="K111" s="158"/>
      <c r="L111" s="159" t="s">
        <v>225</v>
      </c>
      <c r="M111" s="159"/>
      <c r="N111" s="159"/>
      <c r="O111" s="159"/>
      <c r="P111" s="159"/>
      <c r="Q111" s="159"/>
      <c r="R111" s="159"/>
      <c r="S111" s="159"/>
      <c r="T111" s="159"/>
      <c r="U111" s="160"/>
      <c r="V111" s="674"/>
      <c r="W111" s="674"/>
      <c r="X111" s="674"/>
      <c r="Y111" s="674"/>
      <c r="Z111" s="676"/>
      <c r="AA111" s="676"/>
      <c r="AB111" s="676"/>
      <c r="AC111" s="676"/>
      <c r="AD111" s="676"/>
      <c r="AE111" s="676"/>
      <c r="AF111" s="676"/>
      <c r="AG111" s="676"/>
      <c r="AH111" s="676"/>
      <c r="AI111" s="676"/>
      <c r="AJ111" s="674"/>
      <c r="AK111" s="674"/>
      <c r="AL111" s="674"/>
      <c r="AM111" s="674"/>
      <c r="AN111" s="674"/>
    </row>
    <row r="112" spans="3:40" ht="3" hidden="1" customHeight="1" x14ac:dyDescent="0.25">
      <c r="C112" s="592"/>
      <c r="D112" s="592"/>
      <c r="E112" s="664" t="s">
        <v>241</v>
      </c>
      <c r="F112" s="665"/>
      <c r="G112" s="666"/>
      <c r="H112" s="593"/>
      <c r="I112" s="594"/>
      <c r="J112" s="595"/>
      <c r="K112" s="161"/>
      <c r="L112" s="8"/>
      <c r="M112" s="8"/>
      <c r="N112" s="8"/>
      <c r="O112" s="8"/>
      <c r="P112" s="8"/>
      <c r="Q112" s="8"/>
      <c r="R112" s="8"/>
      <c r="S112" s="8"/>
      <c r="T112" s="8"/>
      <c r="U112" s="162"/>
      <c r="V112" s="674"/>
      <c r="W112" s="674"/>
      <c r="X112" s="674"/>
      <c r="Y112" s="674"/>
      <c r="Z112" s="676"/>
      <c r="AA112" s="676"/>
      <c r="AB112" s="676"/>
      <c r="AC112" s="676"/>
      <c r="AD112" s="676"/>
      <c r="AE112" s="676"/>
      <c r="AF112" s="676"/>
      <c r="AG112" s="676"/>
      <c r="AH112" s="676"/>
      <c r="AI112" s="676"/>
      <c r="AJ112" s="674"/>
      <c r="AK112" s="674"/>
      <c r="AL112" s="674"/>
      <c r="AM112" s="674"/>
      <c r="AN112" s="674"/>
    </row>
    <row r="113" spans="3:40" hidden="1" x14ac:dyDescent="0.25">
      <c r="C113" s="592"/>
      <c r="D113" s="592"/>
      <c r="E113" s="667"/>
      <c r="F113" s="668"/>
      <c r="G113" s="669"/>
      <c r="H113" s="662"/>
      <c r="I113" s="568"/>
      <c r="J113" s="663"/>
      <c r="K113" s="155"/>
      <c r="L113" s="152"/>
      <c r="M113" s="156" t="s">
        <v>239</v>
      </c>
      <c r="N113" s="1"/>
      <c r="O113" s="1"/>
      <c r="P113" s="1"/>
      <c r="Q113" s="1"/>
      <c r="R113" s="1"/>
      <c r="S113" s="1"/>
      <c r="T113" s="1"/>
      <c r="U113" s="157"/>
      <c r="V113" s="674"/>
      <c r="W113" s="674"/>
      <c r="X113" s="674"/>
      <c r="Y113" s="674"/>
      <c r="Z113" s="676"/>
      <c r="AA113" s="676"/>
      <c r="AB113" s="676"/>
      <c r="AC113" s="676"/>
      <c r="AD113" s="676"/>
      <c r="AE113" s="676"/>
      <c r="AF113" s="676"/>
      <c r="AG113" s="676"/>
      <c r="AH113" s="676"/>
      <c r="AI113" s="676"/>
      <c r="AJ113" s="674"/>
      <c r="AK113" s="674"/>
      <c r="AL113" s="674"/>
      <c r="AM113" s="674"/>
      <c r="AN113" s="674"/>
    </row>
    <row r="114" spans="3:40" hidden="1" x14ac:dyDescent="0.25">
      <c r="C114" s="592"/>
      <c r="D114" s="592"/>
      <c r="E114" s="667"/>
      <c r="F114" s="668"/>
      <c r="G114" s="669"/>
      <c r="H114" s="662"/>
      <c r="I114" s="568"/>
      <c r="J114" s="663"/>
      <c r="K114" s="155"/>
      <c r="L114" s="1"/>
      <c r="M114" s="156"/>
      <c r="N114" s="1"/>
      <c r="O114" s="1"/>
      <c r="P114" s="1"/>
      <c r="Q114" s="1"/>
      <c r="R114" s="1"/>
      <c r="S114" s="1"/>
      <c r="T114" s="1"/>
      <c r="U114" s="157"/>
      <c r="V114" s="674"/>
      <c r="W114" s="674"/>
      <c r="X114" s="674"/>
      <c r="Y114" s="674"/>
      <c r="Z114" s="676"/>
      <c r="AA114" s="676"/>
      <c r="AB114" s="676"/>
      <c r="AC114" s="676"/>
      <c r="AD114" s="676"/>
      <c r="AE114" s="676"/>
      <c r="AF114" s="676"/>
      <c r="AG114" s="676"/>
      <c r="AH114" s="676"/>
      <c r="AI114" s="676"/>
      <c r="AJ114" s="674"/>
      <c r="AK114" s="674"/>
      <c r="AL114" s="674"/>
      <c r="AM114" s="674"/>
      <c r="AN114" s="674"/>
    </row>
    <row r="115" spans="3:40" hidden="1" x14ac:dyDescent="0.25">
      <c r="C115" s="592"/>
      <c r="D115" s="592"/>
      <c r="E115" s="667"/>
      <c r="F115" s="668"/>
      <c r="G115" s="669"/>
      <c r="H115" s="662"/>
      <c r="I115" s="568"/>
      <c r="J115" s="663"/>
      <c r="K115" s="155"/>
      <c r="L115" s="152"/>
      <c r="M115" s="156" t="s">
        <v>240</v>
      </c>
      <c r="N115" s="1"/>
      <c r="O115" s="1"/>
      <c r="P115" s="1"/>
      <c r="Q115" s="1"/>
      <c r="R115" s="1"/>
      <c r="S115" s="1"/>
      <c r="T115" s="1"/>
      <c r="U115" s="157"/>
      <c r="V115" s="674"/>
      <c r="W115" s="674"/>
      <c r="X115" s="674"/>
      <c r="Y115" s="674"/>
      <c r="Z115" s="676"/>
      <c r="AA115" s="676"/>
      <c r="AB115" s="676"/>
      <c r="AC115" s="676"/>
      <c r="AD115" s="676"/>
      <c r="AE115" s="676"/>
      <c r="AF115" s="676"/>
      <c r="AG115" s="676"/>
      <c r="AH115" s="676"/>
      <c r="AI115" s="676"/>
      <c r="AJ115" s="674"/>
      <c r="AK115" s="674"/>
      <c r="AL115" s="674"/>
      <c r="AM115" s="674"/>
      <c r="AN115" s="674"/>
    </row>
    <row r="116" spans="3:40" hidden="1" x14ac:dyDescent="0.25">
      <c r="C116" s="592"/>
      <c r="D116" s="592"/>
      <c r="E116" s="667" t="s">
        <v>608</v>
      </c>
      <c r="F116" s="668"/>
      <c r="G116" s="669"/>
      <c r="H116" s="662"/>
      <c r="I116" s="568"/>
      <c r="J116" s="663"/>
      <c r="K116" s="155"/>
      <c r="L116" s="1" t="s">
        <v>224</v>
      </c>
      <c r="M116" s="1"/>
      <c r="N116" s="1"/>
      <c r="O116" s="1"/>
      <c r="P116" s="1"/>
      <c r="Q116" s="1"/>
      <c r="R116" s="1"/>
      <c r="S116" s="1"/>
      <c r="T116" s="1"/>
      <c r="U116" s="157"/>
      <c r="V116" s="674"/>
      <c r="W116" s="674"/>
      <c r="X116" s="674"/>
      <c r="Y116" s="674"/>
      <c r="Z116" s="676"/>
      <c r="AA116" s="676"/>
      <c r="AB116" s="676"/>
      <c r="AC116" s="676"/>
      <c r="AD116" s="676"/>
      <c r="AE116" s="676"/>
      <c r="AF116" s="676"/>
      <c r="AG116" s="676"/>
      <c r="AH116" s="676"/>
      <c r="AI116" s="676"/>
      <c r="AJ116" s="674"/>
      <c r="AK116" s="674"/>
      <c r="AL116" s="674"/>
      <c r="AM116" s="674"/>
      <c r="AN116" s="674"/>
    </row>
    <row r="117" spans="3:40" hidden="1" x14ac:dyDescent="0.25">
      <c r="C117" s="592"/>
      <c r="D117" s="592"/>
      <c r="E117" s="670"/>
      <c r="F117" s="671"/>
      <c r="G117" s="672"/>
      <c r="H117" s="596"/>
      <c r="I117" s="597"/>
      <c r="J117" s="598"/>
      <c r="K117" s="158"/>
      <c r="L117" s="159" t="s">
        <v>225</v>
      </c>
      <c r="M117" s="159"/>
      <c r="N117" s="159"/>
      <c r="O117" s="159"/>
      <c r="P117" s="159"/>
      <c r="Q117" s="159"/>
      <c r="R117" s="159"/>
      <c r="S117" s="159"/>
      <c r="T117" s="159"/>
      <c r="U117" s="160"/>
      <c r="V117" s="674"/>
      <c r="W117" s="674"/>
      <c r="X117" s="674"/>
      <c r="Y117" s="674"/>
      <c r="Z117" s="676"/>
      <c r="AA117" s="676"/>
      <c r="AB117" s="676"/>
      <c r="AC117" s="676"/>
      <c r="AD117" s="676"/>
      <c r="AE117" s="676"/>
      <c r="AF117" s="676"/>
      <c r="AG117" s="676"/>
      <c r="AH117" s="676"/>
      <c r="AI117" s="676"/>
      <c r="AJ117" s="674"/>
      <c r="AK117" s="674"/>
      <c r="AL117" s="674"/>
      <c r="AM117" s="674"/>
      <c r="AN117" s="674"/>
    </row>
    <row r="118" spans="3:40" x14ac:dyDescent="0.25">
      <c r="C118" s="677" t="s">
        <v>242</v>
      </c>
      <c r="D118" s="678"/>
      <c r="E118" s="678"/>
      <c r="F118" s="678"/>
      <c r="G118" s="678"/>
      <c r="H118" s="678"/>
      <c r="I118" s="678"/>
      <c r="J118" s="678"/>
      <c r="K118" s="678"/>
      <c r="L118" s="678"/>
      <c r="M118" s="678"/>
      <c r="N118" s="678"/>
      <c r="O118" s="678"/>
      <c r="P118" s="678"/>
      <c r="Q118" s="678"/>
      <c r="R118" s="678"/>
      <c r="S118" s="678"/>
      <c r="T118" s="678"/>
      <c r="U118" s="678"/>
      <c r="V118" s="678"/>
      <c r="W118" s="678"/>
      <c r="X118" s="678"/>
      <c r="Y118" s="679"/>
      <c r="Z118" s="680">
        <f>SUM(Z88:AE117)</f>
        <v>400000000</v>
      </c>
      <c r="AA118" s="643"/>
      <c r="AB118" s="643"/>
      <c r="AC118" s="643"/>
      <c r="AD118" s="643"/>
      <c r="AE118" s="681"/>
      <c r="AF118" s="675">
        <f>SUM(AF88:AH117)</f>
        <v>300000000</v>
      </c>
      <c r="AG118" s="646"/>
      <c r="AH118" s="646"/>
      <c r="AI118" s="629"/>
      <c r="AJ118" s="601"/>
      <c r="AK118" s="601"/>
      <c r="AL118" s="601"/>
      <c r="AM118" s="601"/>
      <c r="AN118" s="601"/>
    </row>
  </sheetData>
  <mergeCells count="302">
    <mergeCell ref="AJ106:AN111"/>
    <mergeCell ref="AJ112:AN117"/>
    <mergeCell ref="C118:Y118"/>
    <mergeCell ref="AJ118:AN118"/>
    <mergeCell ref="Z118:AE118"/>
    <mergeCell ref="AF118:AI118"/>
    <mergeCell ref="AJ84:AN84"/>
    <mergeCell ref="AJ85:AN86"/>
    <mergeCell ref="AJ87:AN87"/>
    <mergeCell ref="AJ88:AN93"/>
    <mergeCell ref="AJ94:AN99"/>
    <mergeCell ref="AJ100:AN105"/>
    <mergeCell ref="AF88:AI93"/>
    <mergeCell ref="AF94:AI99"/>
    <mergeCell ref="AF100:AI105"/>
    <mergeCell ref="AF106:AI111"/>
    <mergeCell ref="AF112:AI117"/>
    <mergeCell ref="AF84:AI86"/>
    <mergeCell ref="AF87:AI87"/>
    <mergeCell ref="E112:G115"/>
    <mergeCell ref="E116:G117"/>
    <mergeCell ref="H88:J93"/>
    <mergeCell ref="H94:J99"/>
    <mergeCell ref="H100:J105"/>
    <mergeCell ref="AF80:AI80"/>
    <mergeCell ref="V112:Y117"/>
    <mergeCell ref="Z84:AE86"/>
    <mergeCell ref="Z87:AE87"/>
    <mergeCell ref="Z88:AE93"/>
    <mergeCell ref="Z94:AE99"/>
    <mergeCell ref="Z100:AE105"/>
    <mergeCell ref="Z106:AE111"/>
    <mergeCell ref="Z112:AE117"/>
    <mergeCell ref="V88:Y93"/>
    <mergeCell ref="V94:Y99"/>
    <mergeCell ref="V100:Y105"/>
    <mergeCell ref="V106:Y111"/>
    <mergeCell ref="V84:Y86"/>
    <mergeCell ref="V87:Y87"/>
    <mergeCell ref="H106:J111"/>
    <mergeCell ref="H112:J117"/>
    <mergeCell ref="E94:G97"/>
    <mergeCell ref="E98:G99"/>
    <mergeCell ref="E100:G103"/>
    <mergeCell ref="E104:G105"/>
    <mergeCell ref="E106:G109"/>
    <mergeCell ref="E110:G111"/>
    <mergeCell ref="C88:D93"/>
    <mergeCell ref="C94:D99"/>
    <mergeCell ref="C100:D105"/>
    <mergeCell ref="C106:D111"/>
    <mergeCell ref="C112:D117"/>
    <mergeCell ref="E87:G87"/>
    <mergeCell ref="H84:J86"/>
    <mergeCell ref="H87:J87"/>
    <mergeCell ref="K84:U86"/>
    <mergeCell ref="K87:U87"/>
    <mergeCell ref="E92:G93"/>
    <mergeCell ref="E88:G91"/>
    <mergeCell ref="AB80:AE80"/>
    <mergeCell ref="C84:D86"/>
    <mergeCell ref="C87:D87"/>
    <mergeCell ref="E84:G86"/>
    <mergeCell ref="AJ74:AN75"/>
    <mergeCell ref="AJ76:AN77"/>
    <mergeCell ref="AJ78:AN79"/>
    <mergeCell ref="AJ80:AN80"/>
    <mergeCell ref="C80:U80"/>
    <mergeCell ref="V80:AA80"/>
    <mergeCell ref="AJ64:AN64"/>
    <mergeCell ref="AJ65:AN66"/>
    <mergeCell ref="AJ67:AN67"/>
    <mergeCell ref="AJ68:AN69"/>
    <mergeCell ref="AJ70:AN71"/>
    <mergeCell ref="AJ72:AN73"/>
    <mergeCell ref="AB78:AE79"/>
    <mergeCell ref="AF64:AI66"/>
    <mergeCell ref="AF67:AI67"/>
    <mergeCell ref="AF68:AI69"/>
    <mergeCell ref="AF70:AI71"/>
    <mergeCell ref="AF72:AI73"/>
    <mergeCell ref="AF74:AI75"/>
    <mergeCell ref="AF76:AI77"/>
    <mergeCell ref="AF78:AI79"/>
    <mergeCell ref="V74:AA75"/>
    <mergeCell ref="V76:AA77"/>
    <mergeCell ref="V78:AA79"/>
    <mergeCell ref="AB68:AE69"/>
    <mergeCell ref="AB70:AE71"/>
    <mergeCell ref="AB72:AE73"/>
    <mergeCell ref="AB74:AE75"/>
    <mergeCell ref="AB76:AE77"/>
    <mergeCell ref="J78:O78"/>
    <mergeCell ref="J79:O79"/>
    <mergeCell ref="V64:AA66"/>
    <mergeCell ref="V67:AA67"/>
    <mergeCell ref="V68:AA69"/>
    <mergeCell ref="V70:AA71"/>
    <mergeCell ref="V72:AA73"/>
    <mergeCell ref="P76:U77"/>
    <mergeCell ref="P78:U79"/>
    <mergeCell ref="J68:O68"/>
    <mergeCell ref="J69:O69"/>
    <mergeCell ref="J70:O70"/>
    <mergeCell ref="J71:O71"/>
    <mergeCell ref="J72:O72"/>
    <mergeCell ref="J73:O73"/>
    <mergeCell ref="P64:U66"/>
    <mergeCell ref="P67:U67"/>
    <mergeCell ref="G68:I69"/>
    <mergeCell ref="G70:I71"/>
    <mergeCell ref="G72:I73"/>
    <mergeCell ref="G74:I75"/>
    <mergeCell ref="G76:I77"/>
    <mergeCell ref="G78:I79"/>
    <mergeCell ref="P68:U69"/>
    <mergeCell ref="P70:U71"/>
    <mergeCell ref="P72:U73"/>
    <mergeCell ref="P74:U75"/>
    <mergeCell ref="J74:O74"/>
    <mergeCell ref="J75:O75"/>
    <mergeCell ref="J76:O76"/>
    <mergeCell ref="J77:O77"/>
    <mergeCell ref="C78:D79"/>
    <mergeCell ref="E64:F66"/>
    <mergeCell ref="E67:F67"/>
    <mergeCell ref="E68:F69"/>
    <mergeCell ref="E70:F71"/>
    <mergeCell ref="E72:F73"/>
    <mergeCell ref="E74:F75"/>
    <mergeCell ref="C67:D67"/>
    <mergeCell ref="C68:D69"/>
    <mergeCell ref="C70:D71"/>
    <mergeCell ref="C72:D73"/>
    <mergeCell ref="C74:D75"/>
    <mergeCell ref="C76:D77"/>
    <mergeCell ref="E78:F79"/>
    <mergeCell ref="E76:F77"/>
    <mergeCell ref="AJ56:AN57"/>
    <mergeCell ref="AJ58:AN59"/>
    <mergeCell ref="AJ60:AN60"/>
    <mergeCell ref="C60:Y60"/>
    <mergeCell ref="Z60:AC60"/>
    <mergeCell ref="C64:D66"/>
    <mergeCell ref="J64:O66"/>
    <mergeCell ref="J67:O67"/>
    <mergeCell ref="AD56:AI57"/>
    <mergeCell ref="AD58:AI59"/>
    <mergeCell ref="AD60:AI60"/>
    <mergeCell ref="R58:Y59"/>
    <mergeCell ref="C58:D59"/>
    <mergeCell ref="G64:I66"/>
    <mergeCell ref="G67:I67"/>
    <mergeCell ref="AB64:AE66"/>
    <mergeCell ref="AB67:AE67"/>
    <mergeCell ref="Z58:AC59"/>
    <mergeCell ref="K58:Q58"/>
    <mergeCell ref="K59:Q59"/>
    <mergeCell ref="E58:G59"/>
    <mergeCell ref="AJ44:AN44"/>
    <mergeCell ref="AJ45:AN46"/>
    <mergeCell ref="AJ47:AN47"/>
    <mergeCell ref="AJ48:AN49"/>
    <mergeCell ref="AJ50:AN51"/>
    <mergeCell ref="AJ52:AN53"/>
    <mergeCell ref="AJ54:AN55"/>
    <mergeCell ref="AD44:AI46"/>
    <mergeCell ref="AD47:AI47"/>
    <mergeCell ref="AD48:AI49"/>
    <mergeCell ref="AD50:AI51"/>
    <mergeCell ref="AD52:AI53"/>
    <mergeCell ref="AD54:AI55"/>
    <mergeCell ref="H54:J55"/>
    <mergeCell ref="H56:J57"/>
    <mergeCell ref="H58:J59"/>
    <mergeCell ref="E38:G39"/>
    <mergeCell ref="R44:Y46"/>
    <mergeCell ref="R47:Y47"/>
    <mergeCell ref="R48:Y49"/>
    <mergeCell ref="R50:Y51"/>
    <mergeCell ref="R52:Y53"/>
    <mergeCell ref="R54:Y55"/>
    <mergeCell ref="R56:Y57"/>
    <mergeCell ref="K47:Q47"/>
    <mergeCell ref="K48:Q48"/>
    <mergeCell ref="K49:Q49"/>
    <mergeCell ref="K50:Q50"/>
    <mergeCell ref="K51:Q51"/>
    <mergeCell ref="K52:Q52"/>
    <mergeCell ref="K53:Q53"/>
    <mergeCell ref="K38:L39"/>
    <mergeCell ref="T38:Y39"/>
    <mergeCell ref="C52:D53"/>
    <mergeCell ref="K44:Q46"/>
    <mergeCell ref="M38:S39"/>
    <mergeCell ref="H28:J29"/>
    <mergeCell ref="H30:J31"/>
    <mergeCell ref="C38:D39"/>
    <mergeCell ref="H32:J33"/>
    <mergeCell ref="H34:J35"/>
    <mergeCell ref="H36:J37"/>
    <mergeCell ref="E28:G29"/>
    <mergeCell ref="E30:G31"/>
    <mergeCell ref="H44:J46"/>
    <mergeCell ref="H47:J47"/>
    <mergeCell ref="H48:J49"/>
    <mergeCell ref="H50:J51"/>
    <mergeCell ref="H52:J53"/>
    <mergeCell ref="E50:G51"/>
    <mergeCell ref="E52:G53"/>
    <mergeCell ref="H38:J39"/>
    <mergeCell ref="K28:L29"/>
    <mergeCell ref="K30:L31"/>
    <mergeCell ref="K32:L33"/>
    <mergeCell ref="K34:L35"/>
    <mergeCell ref="K36:L37"/>
    <mergeCell ref="C54:D55"/>
    <mergeCell ref="C56:D57"/>
    <mergeCell ref="E54:G55"/>
    <mergeCell ref="E56:G57"/>
    <mergeCell ref="C47:D47"/>
    <mergeCell ref="C48:D49"/>
    <mergeCell ref="C50:D51"/>
    <mergeCell ref="C40:Y40"/>
    <mergeCell ref="Z40:AC40"/>
    <mergeCell ref="K54:Q54"/>
    <mergeCell ref="K55:Q55"/>
    <mergeCell ref="K56:Q56"/>
    <mergeCell ref="K57:Q57"/>
    <mergeCell ref="Z44:AC46"/>
    <mergeCell ref="Z47:AC47"/>
    <mergeCell ref="Z48:AC49"/>
    <mergeCell ref="Z50:AC51"/>
    <mergeCell ref="Z52:AC53"/>
    <mergeCell ref="Z54:AC55"/>
    <mergeCell ref="Z56:AC57"/>
    <mergeCell ref="C44:D46"/>
    <mergeCell ref="E44:G46"/>
    <mergeCell ref="E47:G47"/>
    <mergeCell ref="E48:G49"/>
    <mergeCell ref="AD40:AI40"/>
    <mergeCell ref="AJ40:AN40"/>
    <mergeCell ref="AD36:AI37"/>
    <mergeCell ref="AD38:AI39"/>
    <mergeCell ref="AJ28:AN29"/>
    <mergeCell ref="AJ30:AN31"/>
    <mergeCell ref="AJ32:AN33"/>
    <mergeCell ref="AJ34:AN35"/>
    <mergeCell ref="AJ36:AN37"/>
    <mergeCell ref="AJ38:AN39"/>
    <mergeCell ref="AD28:AI29"/>
    <mergeCell ref="AD30:AI31"/>
    <mergeCell ref="AD32:AI33"/>
    <mergeCell ref="AD34:AI35"/>
    <mergeCell ref="Z28:AC29"/>
    <mergeCell ref="Z30:AC31"/>
    <mergeCell ref="Z32:AC33"/>
    <mergeCell ref="Z34:AC35"/>
    <mergeCell ref="Z36:AC37"/>
    <mergeCell ref="Z38:AC39"/>
    <mergeCell ref="T28:Y29"/>
    <mergeCell ref="T30:Y31"/>
    <mergeCell ref="T32:Y33"/>
    <mergeCell ref="T34:Y35"/>
    <mergeCell ref="T36:Y37"/>
    <mergeCell ref="M28:S29"/>
    <mergeCell ref="M30:S31"/>
    <mergeCell ref="M32:S33"/>
    <mergeCell ref="E32:G33"/>
    <mergeCell ref="E34:G35"/>
    <mergeCell ref="E36:G37"/>
    <mergeCell ref="C28:D29"/>
    <mergeCell ref="C30:D31"/>
    <mergeCell ref="C32:D33"/>
    <mergeCell ref="C34:D35"/>
    <mergeCell ref="C36:D37"/>
    <mergeCell ref="M34:S35"/>
    <mergeCell ref="M36:S37"/>
    <mergeCell ref="AD24:AI26"/>
    <mergeCell ref="AJ24:AN24"/>
    <mergeCell ref="AJ25:AN26"/>
    <mergeCell ref="C27:D27"/>
    <mergeCell ref="AO26:AV26"/>
    <mergeCell ref="AG5:AM9"/>
    <mergeCell ref="AG10:AM13"/>
    <mergeCell ref="C24:D26"/>
    <mergeCell ref="T24:Y26"/>
    <mergeCell ref="Z24:AC26"/>
    <mergeCell ref="M24:S26"/>
    <mergeCell ref="AO25:AV25"/>
    <mergeCell ref="AO24:AV24"/>
    <mergeCell ref="AJ27:AN27"/>
    <mergeCell ref="E24:G26"/>
    <mergeCell ref="H24:J26"/>
    <mergeCell ref="K24:L26"/>
    <mergeCell ref="T27:Y27"/>
    <mergeCell ref="Z27:AC27"/>
    <mergeCell ref="AD27:AI27"/>
    <mergeCell ref="E27:G27"/>
    <mergeCell ref="H27:J27"/>
    <mergeCell ref="K27:L27"/>
    <mergeCell ref="M27:S27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AADD8-3C8F-4B68-B60E-B2749BBC433F}">
  <sheetPr>
    <pageSetUpPr fitToPage="1"/>
  </sheetPr>
  <dimension ref="C4:BB124"/>
  <sheetViews>
    <sheetView showGridLines="0" topLeftCell="B124" zoomScale="85" zoomScaleNormal="85" workbookViewId="0">
      <selection activeCell="AE42" sqref="AE42:AI42"/>
    </sheetView>
  </sheetViews>
  <sheetFormatPr defaultRowHeight="15" x14ac:dyDescent="0.25"/>
  <cols>
    <col min="2" max="2" width="8.7109375" customWidth="1"/>
    <col min="3" max="3" width="4.28515625" customWidth="1"/>
    <col min="7" max="7" width="10.7109375" customWidth="1"/>
    <col min="9" max="9" width="7" customWidth="1"/>
    <col min="10" max="10" width="5.28515625" customWidth="1"/>
    <col min="11" max="11" width="7" customWidth="1"/>
    <col min="12" max="12" width="6.5703125" customWidth="1"/>
    <col min="13" max="13" width="8" customWidth="1"/>
    <col min="14" max="14" width="4.28515625" customWidth="1"/>
    <col min="15" max="15" width="4.5703125" customWidth="1"/>
    <col min="16" max="32" width="4.28515625" customWidth="1"/>
    <col min="35" max="35" width="0.7109375" customWidth="1"/>
    <col min="36" max="39" width="4.28515625" customWidth="1"/>
  </cols>
  <sheetData>
    <row r="4" spans="3:40" x14ac:dyDescent="0.25">
      <c r="C4" s="165"/>
      <c r="D4" s="166"/>
      <c r="E4" s="166"/>
      <c r="F4" s="166"/>
      <c r="G4" s="166"/>
      <c r="H4" s="166"/>
      <c r="I4" s="166"/>
      <c r="J4" s="166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8"/>
    </row>
    <row r="5" spans="3:40" ht="15.75" x14ac:dyDescent="0.25">
      <c r="C5" s="169"/>
      <c r="D5" s="170" t="s">
        <v>202</v>
      </c>
      <c r="E5" s="14"/>
      <c r="F5" s="14"/>
      <c r="G5" s="14"/>
      <c r="H5" s="14"/>
      <c r="I5" s="14"/>
      <c r="J5" s="14"/>
      <c r="K5" s="163"/>
      <c r="L5" s="171" t="s">
        <v>28</v>
      </c>
      <c r="M5" s="172" t="s">
        <v>206</v>
      </c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  <c r="AB5" s="163"/>
      <c r="AC5" s="163"/>
      <c r="AD5" s="163"/>
      <c r="AE5" s="163"/>
      <c r="AF5" s="163"/>
      <c r="AG5" s="569" t="s">
        <v>210</v>
      </c>
      <c r="AH5" s="569"/>
      <c r="AI5" s="569"/>
      <c r="AJ5" s="569"/>
      <c r="AK5" s="569"/>
      <c r="AL5" s="569"/>
      <c r="AM5" s="569"/>
      <c r="AN5" s="173"/>
    </row>
    <row r="6" spans="3:40" ht="2.65" customHeight="1" x14ac:dyDescent="0.25">
      <c r="C6" s="169"/>
      <c r="D6" s="14"/>
      <c r="E6" s="14"/>
      <c r="F6" s="14"/>
      <c r="G6" s="14"/>
      <c r="H6" s="14"/>
      <c r="I6" s="14"/>
      <c r="J6" s="14"/>
      <c r="K6" s="163"/>
      <c r="L6" s="171"/>
      <c r="M6" s="172"/>
      <c r="N6" s="163"/>
      <c r="O6" s="163"/>
      <c r="P6" s="163"/>
      <c r="Q6" s="163"/>
      <c r="R6" s="163"/>
      <c r="S6" s="163"/>
      <c r="T6" s="163"/>
      <c r="U6" s="163"/>
      <c r="V6" s="163"/>
      <c r="W6" s="163"/>
      <c r="X6" s="163"/>
      <c r="Y6" s="163"/>
      <c r="Z6" s="163"/>
      <c r="AA6" s="163"/>
      <c r="AB6" s="163"/>
      <c r="AC6" s="163"/>
      <c r="AD6" s="163"/>
      <c r="AE6" s="163"/>
      <c r="AF6" s="163"/>
      <c r="AG6" s="569"/>
      <c r="AH6" s="569"/>
      <c r="AI6" s="569"/>
      <c r="AJ6" s="569"/>
      <c r="AK6" s="569"/>
      <c r="AL6" s="569"/>
      <c r="AM6" s="569"/>
      <c r="AN6" s="173"/>
    </row>
    <row r="7" spans="3:40" x14ac:dyDescent="0.25">
      <c r="C7" s="169"/>
      <c r="D7" s="174" t="s">
        <v>203</v>
      </c>
      <c r="E7" s="14"/>
      <c r="F7" s="14"/>
      <c r="G7" s="14"/>
      <c r="H7" s="14"/>
      <c r="I7" s="14"/>
      <c r="J7" s="14"/>
      <c r="K7" s="163"/>
      <c r="L7" s="171" t="s">
        <v>51</v>
      </c>
      <c r="M7" s="172" t="s">
        <v>207</v>
      </c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569"/>
      <c r="AH7" s="569"/>
      <c r="AI7" s="569"/>
      <c r="AJ7" s="569"/>
      <c r="AK7" s="569"/>
      <c r="AL7" s="569"/>
      <c r="AM7" s="569"/>
      <c r="AN7" s="173"/>
    </row>
    <row r="8" spans="3:40" ht="2.65" customHeight="1" x14ac:dyDescent="0.25">
      <c r="C8" s="169"/>
      <c r="D8" s="2"/>
      <c r="E8" s="14"/>
      <c r="F8" s="14"/>
      <c r="G8" s="14"/>
      <c r="H8" s="14"/>
      <c r="I8" s="14"/>
      <c r="J8" s="14"/>
      <c r="K8" s="163"/>
      <c r="L8" s="171"/>
      <c r="M8" s="172"/>
      <c r="N8" s="163"/>
      <c r="O8" s="163"/>
      <c r="P8" s="163"/>
      <c r="Q8" s="163"/>
      <c r="R8" s="163"/>
      <c r="S8" s="163"/>
      <c r="T8" s="163"/>
      <c r="U8" s="163"/>
      <c r="V8" s="163"/>
      <c r="W8" s="163"/>
      <c r="X8" s="163"/>
      <c r="Y8" s="163"/>
      <c r="Z8" s="163"/>
      <c r="AA8" s="163"/>
      <c r="AB8" s="163"/>
      <c r="AC8" s="163"/>
      <c r="AD8" s="163"/>
      <c r="AE8" s="163"/>
      <c r="AF8" s="163"/>
      <c r="AG8" s="569"/>
      <c r="AH8" s="569"/>
      <c r="AI8" s="569"/>
      <c r="AJ8" s="569"/>
      <c r="AK8" s="569"/>
      <c r="AL8" s="569"/>
      <c r="AM8" s="569"/>
      <c r="AN8" s="173"/>
    </row>
    <row r="9" spans="3:40" x14ac:dyDescent="0.25">
      <c r="C9" s="169"/>
      <c r="D9" s="174" t="s">
        <v>604</v>
      </c>
      <c r="E9" s="175"/>
      <c r="F9" s="175"/>
      <c r="G9" s="175"/>
      <c r="H9" s="175"/>
      <c r="I9" s="175"/>
      <c r="J9" s="14"/>
      <c r="K9" s="163"/>
      <c r="L9" s="171" t="s">
        <v>81</v>
      </c>
      <c r="M9" s="172" t="s">
        <v>208</v>
      </c>
      <c r="N9" s="163"/>
      <c r="O9" s="163"/>
      <c r="P9" s="163"/>
      <c r="Q9" s="163"/>
      <c r="R9" s="163"/>
      <c r="S9" s="163"/>
      <c r="T9" s="163"/>
      <c r="U9" s="163"/>
      <c r="V9" s="163"/>
      <c r="W9" s="163"/>
      <c r="X9" s="163"/>
      <c r="Y9" s="163"/>
      <c r="Z9" s="163"/>
      <c r="AA9" s="163"/>
      <c r="AB9" s="163"/>
      <c r="AC9" s="163"/>
      <c r="AD9" s="163"/>
      <c r="AE9" s="163"/>
      <c r="AF9" s="163"/>
      <c r="AG9" s="569"/>
      <c r="AH9" s="569"/>
      <c r="AI9" s="569"/>
      <c r="AJ9" s="569"/>
      <c r="AK9" s="569"/>
      <c r="AL9" s="569"/>
      <c r="AM9" s="569"/>
      <c r="AN9" s="173"/>
    </row>
    <row r="10" spans="3:40" ht="2.65" customHeight="1" x14ac:dyDescent="0.25">
      <c r="C10" s="169"/>
      <c r="D10" s="2"/>
      <c r="E10" s="175"/>
      <c r="F10" s="175"/>
      <c r="G10" s="175"/>
      <c r="H10" s="175"/>
      <c r="I10" s="175"/>
      <c r="J10" s="14"/>
      <c r="K10" s="163"/>
      <c r="L10" s="171"/>
      <c r="M10" s="172"/>
      <c r="N10" s="163"/>
      <c r="O10" s="163"/>
      <c r="P10" s="163"/>
      <c r="Q10" s="163"/>
      <c r="R10" s="163"/>
      <c r="S10" s="163"/>
      <c r="T10" s="163"/>
      <c r="U10" s="163"/>
      <c r="V10" s="163"/>
      <c r="W10" s="163"/>
      <c r="X10" s="163"/>
      <c r="Y10" s="163"/>
      <c r="Z10" s="163"/>
      <c r="AA10" s="163"/>
      <c r="AB10" s="163"/>
      <c r="AC10" s="163"/>
      <c r="AD10" s="163"/>
      <c r="AE10" s="163"/>
      <c r="AF10" s="163"/>
      <c r="AG10" s="570" t="s">
        <v>114</v>
      </c>
      <c r="AH10" s="570"/>
      <c r="AI10" s="570"/>
      <c r="AJ10" s="570"/>
      <c r="AK10" s="570"/>
      <c r="AL10" s="570"/>
      <c r="AM10" s="570"/>
      <c r="AN10" s="173"/>
    </row>
    <row r="11" spans="3:40" x14ac:dyDescent="0.25">
      <c r="C11" s="169"/>
      <c r="D11" s="174" t="s">
        <v>204</v>
      </c>
      <c r="E11" s="175"/>
      <c r="F11" s="175"/>
      <c r="G11" s="175"/>
      <c r="H11" s="175"/>
      <c r="I11" s="175"/>
      <c r="J11" s="14"/>
      <c r="K11" s="163"/>
      <c r="L11" s="171" t="s">
        <v>95</v>
      </c>
      <c r="M11" s="172" t="s">
        <v>209</v>
      </c>
      <c r="N11" s="163"/>
      <c r="O11" s="163"/>
      <c r="P11" s="163"/>
      <c r="Q11" s="163"/>
      <c r="R11" s="163"/>
      <c r="S11" s="163"/>
      <c r="T11" s="163"/>
      <c r="U11" s="163"/>
      <c r="V11" s="163"/>
      <c r="W11" s="163"/>
      <c r="X11" s="163"/>
      <c r="Y11" s="163"/>
      <c r="Z11" s="163"/>
      <c r="AA11" s="163"/>
      <c r="AB11" s="163"/>
      <c r="AC11" s="163"/>
      <c r="AD11" s="163"/>
      <c r="AE11" s="163"/>
      <c r="AF11" s="163"/>
      <c r="AG11" s="570"/>
      <c r="AH11" s="570"/>
      <c r="AI11" s="570"/>
      <c r="AJ11" s="570"/>
      <c r="AK11" s="570"/>
      <c r="AL11" s="570"/>
      <c r="AM11" s="570"/>
      <c r="AN11" s="173"/>
    </row>
    <row r="12" spans="3:40" ht="2.65" customHeight="1" x14ac:dyDescent="0.25">
      <c r="C12" s="169"/>
      <c r="D12" s="2"/>
      <c r="E12" s="175"/>
      <c r="F12" s="175"/>
      <c r="G12" s="175"/>
      <c r="H12" s="175"/>
      <c r="I12" s="175"/>
      <c r="J12" s="14"/>
      <c r="K12" s="163"/>
      <c r="L12" s="171"/>
      <c r="M12" s="172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  <c r="AA12" s="163"/>
      <c r="AB12" s="163"/>
      <c r="AC12" s="163"/>
      <c r="AD12" s="163"/>
      <c r="AE12" s="163"/>
      <c r="AF12" s="163"/>
      <c r="AG12" s="570"/>
      <c r="AH12" s="570"/>
      <c r="AI12" s="570"/>
      <c r="AJ12" s="570"/>
      <c r="AK12" s="570"/>
      <c r="AL12" s="570"/>
      <c r="AM12" s="570"/>
      <c r="AN12" s="173"/>
    </row>
    <row r="13" spans="3:40" x14ac:dyDescent="0.25">
      <c r="C13" s="169"/>
      <c r="D13" s="174" t="s">
        <v>605</v>
      </c>
      <c r="E13" s="175"/>
      <c r="F13" s="175"/>
      <c r="G13" s="175"/>
      <c r="H13" s="175"/>
      <c r="I13" s="175"/>
      <c r="J13" s="14"/>
      <c r="K13" s="163"/>
      <c r="L13" s="171" t="s">
        <v>119</v>
      </c>
      <c r="M13" s="172" t="s">
        <v>615</v>
      </c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  <c r="AA13" s="163"/>
      <c r="AB13" s="163"/>
      <c r="AC13" s="163"/>
      <c r="AD13" s="163"/>
      <c r="AE13" s="163"/>
      <c r="AF13" s="163"/>
      <c r="AG13" s="570"/>
      <c r="AH13" s="570"/>
      <c r="AI13" s="570"/>
      <c r="AJ13" s="570"/>
      <c r="AK13" s="570"/>
      <c r="AL13" s="570"/>
      <c r="AM13" s="570"/>
      <c r="AN13" s="173"/>
    </row>
    <row r="14" spans="3:40" ht="2.65" customHeight="1" x14ac:dyDescent="0.25">
      <c r="C14" s="169"/>
      <c r="D14" s="2"/>
      <c r="E14" s="175"/>
      <c r="F14" s="175"/>
      <c r="G14" s="175"/>
      <c r="H14" s="175"/>
      <c r="I14" s="175"/>
      <c r="J14" s="14"/>
      <c r="K14" s="163"/>
      <c r="L14" s="176"/>
      <c r="M14" s="176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163"/>
      <c r="Z14" s="163"/>
      <c r="AA14" s="163"/>
      <c r="AB14" s="163"/>
      <c r="AC14" s="163"/>
      <c r="AD14" s="163"/>
      <c r="AE14" s="163"/>
      <c r="AF14" s="163"/>
      <c r="AG14" s="163"/>
      <c r="AH14" s="163"/>
      <c r="AI14" s="163"/>
      <c r="AJ14" s="163"/>
      <c r="AK14" s="163"/>
      <c r="AL14" s="163"/>
      <c r="AM14" s="163"/>
      <c r="AN14" s="173"/>
    </row>
    <row r="15" spans="3:40" x14ac:dyDescent="0.25">
      <c r="C15" s="169"/>
      <c r="D15" s="174" t="s">
        <v>606</v>
      </c>
      <c r="E15" s="14"/>
      <c r="F15" s="14"/>
      <c r="G15" s="14"/>
      <c r="H15" s="14"/>
      <c r="I15" s="14"/>
      <c r="J15" s="14"/>
      <c r="K15" s="163"/>
      <c r="L15" s="176"/>
      <c r="M15" s="176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  <c r="AA15" s="163"/>
      <c r="AB15" s="163"/>
      <c r="AC15" s="163"/>
      <c r="AD15" s="163"/>
      <c r="AE15" s="163"/>
      <c r="AF15" s="163"/>
      <c r="AG15" s="163"/>
      <c r="AH15" s="163"/>
      <c r="AI15" s="163"/>
      <c r="AJ15" s="163"/>
      <c r="AK15" s="163"/>
      <c r="AL15" s="163"/>
      <c r="AM15" s="163"/>
      <c r="AN15" s="173"/>
    </row>
    <row r="16" spans="3:40" ht="2.65" customHeight="1" x14ac:dyDescent="0.25">
      <c r="C16" s="169"/>
      <c r="D16" s="2"/>
      <c r="E16" s="14"/>
      <c r="F16" s="14"/>
      <c r="G16" s="14"/>
      <c r="H16" s="14"/>
      <c r="I16" s="14"/>
      <c r="J16" s="14"/>
      <c r="K16" s="163"/>
      <c r="L16" s="176"/>
      <c r="M16" s="176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  <c r="AA16" s="163"/>
      <c r="AB16" s="163"/>
      <c r="AC16" s="163"/>
      <c r="AD16" s="163"/>
      <c r="AE16" s="163"/>
      <c r="AF16" s="163"/>
      <c r="AG16" s="163"/>
      <c r="AH16" s="163"/>
      <c r="AI16" s="163"/>
      <c r="AJ16" s="163"/>
      <c r="AK16" s="163"/>
      <c r="AL16" s="163"/>
      <c r="AM16" s="163"/>
      <c r="AN16" s="173"/>
    </row>
    <row r="17" spans="3:54" ht="16.5" customHeight="1" x14ac:dyDescent="0.25">
      <c r="C17" s="169"/>
      <c r="D17" s="174" t="s">
        <v>205</v>
      </c>
      <c r="E17" s="14"/>
      <c r="F17" s="14"/>
      <c r="G17" s="14"/>
      <c r="H17" s="14"/>
      <c r="I17" s="14"/>
      <c r="J17" s="14"/>
      <c r="K17" s="163"/>
      <c r="L17" s="171" t="s">
        <v>36</v>
      </c>
      <c r="M17" s="176"/>
      <c r="N17" s="352">
        <f>'Lampiran 1.1'!N17</f>
        <v>3</v>
      </c>
      <c r="O17" s="352">
        <f>'Lampiran 1.1'!O17</f>
        <v>4</v>
      </c>
      <c r="P17" s="352">
        <f>'Lampiran 1.1'!P17</f>
        <v>0</v>
      </c>
      <c r="Q17" s="352">
        <f>'Lampiran 1.1'!Q17</f>
        <v>2</v>
      </c>
      <c r="R17" s="352">
        <f>'Lampiran 1.1'!R17</f>
        <v>0</v>
      </c>
      <c r="S17" s="352">
        <f>'Lampiran 1.1'!S17</f>
        <v>1</v>
      </c>
      <c r="T17" s="352">
        <f>'Lampiran 1.1'!T17</f>
        <v>1</v>
      </c>
      <c r="U17" s="352">
        <f>'Lampiran 1.1'!U17</f>
        <v>2</v>
      </c>
      <c r="V17" s="352">
        <f>'Lampiran 1.1'!V17</f>
        <v>3</v>
      </c>
      <c r="W17" s="352">
        <f>'Lampiran 1.1'!W17</f>
        <v>4</v>
      </c>
      <c r="X17" s="352">
        <f>'Lampiran 1.1'!X17</f>
        <v>5</v>
      </c>
      <c r="Y17" s="352">
        <f>'Lampiran 1.1'!Y17</f>
        <v>6</v>
      </c>
      <c r="Z17" s="352">
        <f>'Lampiran 1.1'!Z17</f>
        <v>0</v>
      </c>
      <c r="AA17" s="352">
        <f>'Lampiran 1.1'!AA17</f>
        <v>0</v>
      </c>
      <c r="AB17" s="352">
        <f>'Lampiran 1.1'!AB17</f>
        <v>0</v>
      </c>
      <c r="AC17" s="352">
        <f>'Lampiran 1.1'!AC17</f>
        <v>1</v>
      </c>
      <c r="AD17" s="305"/>
      <c r="AE17" s="163"/>
      <c r="AF17" s="163"/>
      <c r="AG17" s="164" t="s">
        <v>11</v>
      </c>
      <c r="AH17" s="176"/>
      <c r="AI17" s="163"/>
      <c r="AJ17" s="364">
        <f>'Lampiran 1.1'!AJ17</f>
        <v>2</v>
      </c>
      <c r="AK17" s="364">
        <f>'Lampiran 1.1'!AK17</f>
        <v>0</v>
      </c>
      <c r="AL17" s="364">
        <f>'Lampiran 1.1'!AL17</f>
        <v>2</v>
      </c>
      <c r="AM17" s="364">
        <f>'Lampiran 1.1'!AM17</f>
        <v>5</v>
      </c>
      <c r="AN17" s="173"/>
    </row>
    <row r="18" spans="3:54" x14ac:dyDescent="0.25">
      <c r="C18" s="169"/>
      <c r="D18" s="14"/>
      <c r="E18" s="14"/>
      <c r="F18" s="14"/>
      <c r="G18" s="14"/>
      <c r="H18" s="14"/>
      <c r="I18" s="14"/>
      <c r="J18" s="14"/>
      <c r="K18" s="163"/>
      <c r="L18" s="163"/>
      <c r="M18" s="163"/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  <c r="AA18" s="163"/>
      <c r="AB18" s="163"/>
      <c r="AC18" s="163"/>
      <c r="AD18" s="163"/>
      <c r="AE18" s="163"/>
      <c r="AF18" s="163"/>
      <c r="AG18" s="163"/>
      <c r="AH18" s="163"/>
      <c r="AI18" s="163"/>
      <c r="AJ18" s="163"/>
      <c r="AK18" s="163"/>
      <c r="AL18" s="163"/>
      <c r="AM18" s="163"/>
      <c r="AN18" s="173"/>
    </row>
    <row r="19" spans="3:54" ht="3.6" customHeight="1" x14ac:dyDescent="0.25">
      <c r="C19" s="39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  <c r="AL19" s="115"/>
      <c r="AM19" s="115"/>
      <c r="AN19" s="177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6"/>
    </row>
    <row r="20" spans="3:54" x14ac:dyDescent="0.25">
      <c r="C20" s="37" t="s">
        <v>28</v>
      </c>
      <c r="D20" s="110" t="s">
        <v>206</v>
      </c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178"/>
      <c r="AO20" s="153"/>
      <c r="AP20" s="153"/>
      <c r="AQ20" s="153"/>
      <c r="AR20" s="153"/>
      <c r="AS20" s="153"/>
      <c r="AT20" s="153"/>
      <c r="AU20" s="153"/>
      <c r="AV20" s="153"/>
      <c r="AW20" s="153"/>
      <c r="AX20" s="153"/>
      <c r="AY20" s="153"/>
      <c r="AZ20" s="153"/>
      <c r="BA20" s="154"/>
      <c r="BB20" s="154"/>
    </row>
    <row r="21" spans="3:54" ht="3" customHeight="1" x14ac:dyDescent="0.25">
      <c r="C21" s="53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179"/>
      <c r="AO21" s="153"/>
      <c r="AP21" s="153"/>
      <c r="AQ21" s="153"/>
      <c r="AR21" s="153"/>
      <c r="AS21" s="153"/>
      <c r="AT21" s="153"/>
      <c r="AU21" s="153"/>
      <c r="AV21" s="153"/>
      <c r="AW21" s="153"/>
      <c r="AX21" s="153"/>
      <c r="AY21" s="153"/>
      <c r="AZ21" s="153"/>
      <c r="BA21" s="153"/>
      <c r="BB21" s="154"/>
    </row>
    <row r="22" spans="3:54" ht="17.649999999999999" customHeight="1" x14ac:dyDescent="0.25">
      <c r="C22" s="180" t="s">
        <v>34</v>
      </c>
      <c r="D22" s="320" t="s">
        <v>244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182"/>
    </row>
    <row r="23" spans="3:54" ht="3" customHeight="1" x14ac:dyDescent="0.25">
      <c r="C23" s="155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57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 spans="3:54" x14ac:dyDescent="0.25">
      <c r="C24" s="691" t="s">
        <v>193</v>
      </c>
      <c r="D24" s="691"/>
      <c r="E24" s="691" t="s">
        <v>194</v>
      </c>
      <c r="F24" s="691"/>
      <c r="G24" s="691" t="s">
        <v>201</v>
      </c>
      <c r="H24" s="691"/>
      <c r="I24" s="691" t="s">
        <v>245</v>
      </c>
      <c r="J24" s="691"/>
      <c r="K24" s="691"/>
      <c r="L24" s="691"/>
      <c r="M24" s="691" t="s">
        <v>246</v>
      </c>
      <c r="N24" s="691"/>
      <c r="O24" s="691"/>
      <c r="P24" s="691" t="s">
        <v>247</v>
      </c>
      <c r="Q24" s="691"/>
      <c r="R24" s="691"/>
      <c r="S24" s="691"/>
      <c r="T24" s="691" t="s">
        <v>198</v>
      </c>
      <c r="U24" s="691"/>
      <c r="V24" s="691"/>
      <c r="W24" s="691"/>
      <c r="X24" s="691" t="s">
        <v>231</v>
      </c>
      <c r="Y24" s="691"/>
      <c r="Z24" s="691"/>
      <c r="AA24" s="691"/>
      <c r="AB24" s="691"/>
      <c r="AC24" s="691"/>
      <c r="AD24" s="691"/>
      <c r="AE24" s="691" t="s">
        <v>232</v>
      </c>
      <c r="AF24" s="691"/>
      <c r="AG24" s="691"/>
      <c r="AH24" s="691"/>
      <c r="AI24" s="691"/>
      <c r="AJ24" s="584" t="s">
        <v>211</v>
      </c>
      <c r="AK24" s="559"/>
      <c r="AL24" s="559"/>
      <c r="AM24" s="559"/>
      <c r="AN24" s="559"/>
    </row>
    <row r="25" spans="3:54" x14ac:dyDescent="0.25">
      <c r="C25" s="691"/>
      <c r="D25" s="691"/>
      <c r="E25" s="691"/>
      <c r="F25" s="691"/>
      <c r="G25" s="691"/>
      <c r="H25" s="691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Y25" s="691"/>
      <c r="Z25" s="691"/>
      <c r="AA25" s="691"/>
      <c r="AB25" s="691"/>
      <c r="AC25" s="691"/>
      <c r="AD25" s="691"/>
      <c r="AE25" s="691"/>
      <c r="AF25" s="691"/>
      <c r="AG25" s="691"/>
      <c r="AH25" s="691"/>
      <c r="AI25" s="691"/>
      <c r="AJ25" s="561" t="s">
        <v>212</v>
      </c>
      <c r="AK25" s="561"/>
      <c r="AL25" s="561"/>
      <c r="AM25" s="561"/>
      <c r="AN25" s="562"/>
    </row>
    <row r="26" spans="3:54" x14ac:dyDescent="0.25">
      <c r="C26" s="691"/>
      <c r="D26" s="691"/>
      <c r="E26" s="691"/>
      <c r="F26" s="691"/>
      <c r="G26" s="691"/>
      <c r="H26" s="691"/>
      <c r="I26" s="691"/>
      <c r="J26" s="691"/>
      <c r="K26" s="691"/>
      <c r="L26" s="691"/>
      <c r="M26" s="691"/>
      <c r="N26" s="691"/>
      <c r="O26" s="691"/>
      <c r="P26" s="691"/>
      <c r="Q26" s="691"/>
      <c r="R26" s="691"/>
      <c r="S26" s="691"/>
      <c r="T26" s="691"/>
      <c r="U26" s="691"/>
      <c r="V26" s="691"/>
      <c r="W26" s="691"/>
      <c r="X26" s="691"/>
      <c r="Y26" s="691"/>
      <c r="Z26" s="691"/>
      <c r="AA26" s="691"/>
      <c r="AB26" s="691"/>
      <c r="AC26" s="691"/>
      <c r="AD26" s="691"/>
      <c r="AE26" s="691"/>
      <c r="AF26" s="691"/>
      <c r="AG26" s="691"/>
      <c r="AH26" s="691"/>
      <c r="AI26" s="691"/>
      <c r="AJ26" s="564"/>
      <c r="AK26" s="564"/>
      <c r="AL26" s="564"/>
      <c r="AM26" s="564"/>
      <c r="AN26" s="565"/>
    </row>
    <row r="27" spans="3:54" ht="10.5" customHeight="1" x14ac:dyDescent="0.25">
      <c r="C27" s="606" t="s">
        <v>213</v>
      </c>
      <c r="D27" s="592"/>
      <c r="E27" s="606" t="s">
        <v>214</v>
      </c>
      <c r="F27" s="592"/>
      <c r="G27" s="606" t="s">
        <v>215</v>
      </c>
      <c r="H27" s="592"/>
      <c r="I27" s="699" t="s">
        <v>216</v>
      </c>
      <c r="J27" s="599"/>
      <c r="K27" s="599"/>
      <c r="L27" s="599"/>
      <c r="M27" s="606" t="s">
        <v>217</v>
      </c>
      <c r="N27" s="592"/>
      <c r="O27" s="592"/>
      <c r="P27" s="606" t="s">
        <v>218</v>
      </c>
      <c r="Q27" s="592"/>
      <c r="R27" s="592"/>
      <c r="S27" s="592"/>
      <c r="T27" s="606" t="s">
        <v>219</v>
      </c>
      <c r="U27" s="592"/>
      <c r="V27" s="592"/>
      <c r="W27" s="592"/>
      <c r="X27" s="606" t="s">
        <v>220</v>
      </c>
      <c r="Y27" s="592"/>
      <c r="Z27" s="592"/>
      <c r="AA27" s="592"/>
      <c r="AB27" s="592"/>
      <c r="AC27" s="592"/>
      <c r="AD27" s="592"/>
      <c r="AE27" s="606" t="s">
        <v>223</v>
      </c>
      <c r="AF27" s="592"/>
      <c r="AG27" s="592"/>
      <c r="AH27" s="592"/>
      <c r="AI27" s="592"/>
      <c r="AJ27" s="566" t="s">
        <v>248</v>
      </c>
      <c r="AK27" s="567"/>
      <c r="AL27" s="567"/>
      <c r="AM27" s="567"/>
      <c r="AN27" s="567"/>
    </row>
    <row r="28" spans="3:54" x14ac:dyDescent="0.25">
      <c r="C28" s="591" t="str">
        <f>'SOAL KASUS'!B58</f>
        <v>0501</v>
      </c>
      <c r="D28" s="590"/>
      <c r="E28" s="590" t="str">
        <f>UPPER('SOAL KASUS'!C58)</f>
        <v>TANAH KOSONG</v>
      </c>
      <c r="F28" s="590"/>
      <c r="G28" s="630" t="s">
        <v>1241</v>
      </c>
      <c r="H28" s="1054"/>
      <c r="I28" s="635" t="s">
        <v>754</v>
      </c>
      <c r="J28" s="636"/>
      <c r="K28" s="636"/>
      <c r="L28" s="637"/>
      <c r="M28" s="632" t="s">
        <v>1242</v>
      </c>
      <c r="N28" s="590"/>
      <c r="O28" s="590"/>
      <c r="P28" s="590">
        <v>325</v>
      </c>
      <c r="Q28" s="590"/>
      <c r="R28" s="590"/>
      <c r="S28" s="590"/>
      <c r="T28" s="590">
        <f>'SOAL KASUS'!D58</f>
        <v>2023</v>
      </c>
      <c r="U28" s="590"/>
      <c r="V28" s="590"/>
      <c r="W28" s="590"/>
      <c r="X28" s="605">
        <f>'SOAL KASUS'!E58</f>
        <v>550000000</v>
      </c>
      <c r="Y28" s="605"/>
      <c r="Z28" s="605"/>
      <c r="AA28" s="605"/>
      <c r="AB28" s="605"/>
      <c r="AC28" s="605"/>
      <c r="AD28" s="605"/>
      <c r="AE28" s="605">
        <f>'SOAL KASUS'!F58</f>
        <v>900000000</v>
      </c>
      <c r="AF28" s="605"/>
      <c r="AG28" s="605"/>
      <c r="AH28" s="605"/>
      <c r="AI28" s="605"/>
      <c r="AJ28" s="605"/>
      <c r="AK28" s="605"/>
      <c r="AL28" s="605"/>
      <c r="AM28" s="605"/>
      <c r="AN28" s="605"/>
    </row>
    <row r="29" spans="3:54" x14ac:dyDescent="0.25">
      <c r="C29" s="590"/>
      <c r="D29" s="590"/>
      <c r="E29" s="590"/>
      <c r="F29" s="590"/>
      <c r="G29" s="630"/>
      <c r="H29" s="1054"/>
      <c r="I29" s="638" t="s">
        <v>677</v>
      </c>
      <c r="J29" s="639"/>
      <c r="K29" s="639"/>
      <c r="L29" s="640"/>
      <c r="M29" s="632"/>
      <c r="N29" s="590"/>
      <c r="O29" s="590"/>
      <c r="P29" s="590"/>
      <c r="Q29" s="590"/>
      <c r="R29" s="590"/>
      <c r="S29" s="590"/>
      <c r="T29" s="590"/>
      <c r="U29" s="590"/>
      <c r="V29" s="590"/>
      <c r="W29" s="590"/>
      <c r="X29" s="605"/>
      <c r="Y29" s="605"/>
      <c r="Z29" s="605"/>
      <c r="AA29" s="605"/>
      <c r="AB29" s="605"/>
      <c r="AC29" s="605"/>
      <c r="AD29" s="605"/>
      <c r="AE29" s="605"/>
      <c r="AF29" s="605"/>
      <c r="AG29" s="605"/>
      <c r="AH29" s="605"/>
      <c r="AI29" s="605"/>
      <c r="AJ29" s="605"/>
      <c r="AK29" s="605"/>
      <c r="AL29" s="605"/>
      <c r="AM29" s="605"/>
      <c r="AN29" s="605"/>
    </row>
    <row r="30" spans="3:54" hidden="1" x14ac:dyDescent="0.25">
      <c r="C30" s="674"/>
      <c r="D30" s="674"/>
      <c r="E30" s="674"/>
      <c r="F30" s="674"/>
      <c r="G30" s="674"/>
      <c r="H30" s="674"/>
      <c r="I30" s="664" t="s">
        <v>249</v>
      </c>
      <c r="J30" s="665"/>
      <c r="K30" s="665"/>
      <c r="L30" s="666"/>
      <c r="M30" s="674"/>
      <c r="N30" s="674"/>
      <c r="O30" s="674"/>
      <c r="P30" s="674"/>
      <c r="Q30" s="674"/>
      <c r="R30" s="674"/>
      <c r="S30" s="674"/>
      <c r="T30" s="674"/>
      <c r="U30" s="674"/>
      <c r="V30" s="674"/>
      <c r="W30" s="674"/>
      <c r="X30" s="676"/>
      <c r="Y30" s="676"/>
      <c r="Z30" s="676"/>
      <c r="AA30" s="676"/>
      <c r="AB30" s="676"/>
      <c r="AC30" s="676"/>
      <c r="AD30" s="676"/>
      <c r="AE30" s="676"/>
      <c r="AF30" s="676"/>
      <c r="AG30" s="676"/>
      <c r="AH30" s="676"/>
      <c r="AI30" s="676"/>
      <c r="AJ30" s="676"/>
      <c r="AK30" s="676"/>
      <c r="AL30" s="676"/>
      <c r="AM30" s="676"/>
      <c r="AN30" s="676"/>
    </row>
    <row r="31" spans="3:54" hidden="1" x14ac:dyDescent="0.25">
      <c r="C31" s="674"/>
      <c r="D31" s="674"/>
      <c r="E31" s="674"/>
      <c r="F31" s="674"/>
      <c r="G31" s="674"/>
      <c r="H31" s="674"/>
      <c r="I31" s="670" t="s">
        <v>250</v>
      </c>
      <c r="J31" s="671"/>
      <c r="K31" s="671"/>
      <c r="L31" s="672"/>
      <c r="M31" s="674"/>
      <c r="N31" s="674"/>
      <c r="O31" s="674"/>
      <c r="P31" s="674"/>
      <c r="Q31" s="674"/>
      <c r="R31" s="674"/>
      <c r="S31" s="674"/>
      <c r="T31" s="674"/>
      <c r="U31" s="674"/>
      <c r="V31" s="674"/>
      <c r="W31" s="674"/>
      <c r="X31" s="676"/>
      <c r="Y31" s="676"/>
      <c r="Z31" s="676"/>
      <c r="AA31" s="676"/>
      <c r="AB31" s="676"/>
      <c r="AC31" s="676"/>
      <c r="AD31" s="676"/>
      <c r="AE31" s="676"/>
      <c r="AF31" s="676"/>
      <c r="AG31" s="676"/>
      <c r="AH31" s="676"/>
      <c r="AI31" s="676"/>
      <c r="AJ31" s="676"/>
      <c r="AK31" s="676"/>
      <c r="AL31" s="676"/>
      <c r="AM31" s="676"/>
      <c r="AN31" s="676"/>
    </row>
    <row r="32" spans="3:54" hidden="1" x14ac:dyDescent="0.25">
      <c r="C32" s="674"/>
      <c r="D32" s="674"/>
      <c r="E32" s="674"/>
      <c r="F32" s="674"/>
      <c r="G32" s="674"/>
      <c r="H32" s="674"/>
      <c r="I32" s="664" t="s">
        <v>249</v>
      </c>
      <c r="J32" s="665"/>
      <c r="K32" s="665"/>
      <c r="L32" s="666"/>
      <c r="M32" s="674"/>
      <c r="N32" s="674"/>
      <c r="O32" s="674"/>
      <c r="P32" s="674"/>
      <c r="Q32" s="674"/>
      <c r="R32" s="674"/>
      <c r="S32" s="674"/>
      <c r="T32" s="674"/>
      <c r="U32" s="674"/>
      <c r="V32" s="674"/>
      <c r="W32" s="674"/>
      <c r="X32" s="676"/>
      <c r="Y32" s="676"/>
      <c r="Z32" s="676"/>
      <c r="AA32" s="676"/>
      <c r="AB32" s="676"/>
      <c r="AC32" s="676"/>
      <c r="AD32" s="676"/>
      <c r="AE32" s="676"/>
      <c r="AF32" s="676"/>
      <c r="AG32" s="676"/>
      <c r="AH32" s="676"/>
      <c r="AI32" s="676"/>
      <c r="AJ32" s="676"/>
      <c r="AK32" s="676"/>
      <c r="AL32" s="676"/>
      <c r="AM32" s="676"/>
      <c r="AN32" s="676"/>
    </row>
    <row r="33" spans="3:40" hidden="1" x14ac:dyDescent="0.25">
      <c r="C33" s="674"/>
      <c r="D33" s="674"/>
      <c r="E33" s="674"/>
      <c r="F33" s="674"/>
      <c r="G33" s="674"/>
      <c r="H33" s="674"/>
      <c r="I33" s="670" t="s">
        <v>250</v>
      </c>
      <c r="J33" s="671"/>
      <c r="K33" s="671"/>
      <c r="L33" s="672"/>
      <c r="M33" s="674"/>
      <c r="N33" s="674"/>
      <c r="O33" s="674"/>
      <c r="P33" s="674"/>
      <c r="Q33" s="674"/>
      <c r="R33" s="674"/>
      <c r="S33" s="674"/>
      <c r="T33" s="674"/>
      <c r="U33" s="674"/>
      <c r="V33" s="674"/>
      <c r="W33" s="674"/>
      <c r="X33" s="676"/>
      <c r="Y33" s="676"/>
      <c r="Z33" s="676"/>
      <c r="AA33" s="676"/>
      <c r="AB33" s="676"/>
      <c r="AC33" s="676"/>
      <c r="AD33" s="676"/>
      <c r="AE33" s="676"/>
      <c r="AF33" s="676"/>
      <c r="AG33" s="676"/>
      <c r="AH33" s="676"/>
      <c r="AI33" s="676"/>
      <c r="AJ33" s="676"/>
      <c r="AK33" s="676"/>
      <c r="AL33" s="676"/>
      <c r="AM33" s="676"/>
      <c r="AN33" s="676"/>
    </row>
    <row r="34" spans="3:40" hidden="1" x14ac:dyDescent="0.25">
      <c r="C34" s="674"/>
      <c r="D34" s="674"/>
      <c r="E34" s="674"/>
      <c r="F34" s="674"/>
      <c r="G34" s="674"/>
      <c r="H34" s="674"/>
      <c r="I34" s="664" t="s">
        <v>249</v>
      </c>
      <c r="J34" s="665"/>
      <c r="K34" s="665"/>
      <c r="L34" s="666"/>
      <c r="M34" s="674"/>
      <c r="N34" s="674"/>
      <c r="O34" s="674"/>
      <c r="P34" s="674"/>
      <c r="Q34" s="674"/>
      <c r="R34" s="674"/>
      <c r="S34" s="674"/>
      <c r="T34" s="674"/>
      <c r="U34" s="674"/>
      <c r="V34" s="674"/>
      <c r="W34" s="674"/>
      <c r="X34" s="676"/>
      <c r="Y34" s="676"/>
      <c r="Z34" s="676"/>
      <c r="AA34" s="676"/>
      <c r="AB34" s="676"/>
      <c r="AC34" s="676"/>
      <c r="AD34" s="676"/>
      <c r="AE34" s="676"/>
      <c r="AF34" s="676"/>
      <c r="AG34" s="676"/>
      <c r="AH34" s="676"/>
      <c r="AI34" s="676"/>
      <c r="AJ34" s="676"/>
      <c r="AK34" s="676"/>
      <c r="AL34" s="676"/>
      <c r="AM34" s="676"/>
      <c r="AN34" s="676"/>
    </row>
    <row r="35" spans="3:40" hidden="1" x14ac:dyDescent="0.25">
      <c r="C35" s="674"/>
      <c r="D35" s="674"/>
      <c r="E35" s="674"/>
      <c r="F35" s="674"/>
      <c r="G35" s="674"/>
      <c r="H35" s="674"/>
      <c r="I35" s="670" t="s">
        <v>250</v>
      </c>
      <c r="J35" s="671"/>
      <c r="K35" s="671"/>
      <c r="L35" s="672"/>
      <c r="M35" s="674"/>
      <c r="N35" s="674"/>
      <c r="O35" s="674"/>
      <c r="P35" s="674"/>
      <c r="Q35" s="674"/>
      <c r="R35" s="674"/>
      <c r="S35" s="674"/>
      <c r="T35" s="674"/>
      <c r="U35" s="674"/>
      <c r="V35" s="674"/>
      <c r="W35" s="674"/>
      <c r="X35" s="676"/>
      <c r="Y35" s="676"/>
      <c r="Z35" s="676"/>
      <c r="AA35" s="676"/>
      <c r="AB35" s="676"/>
      <c r="AC35" s="676"/>
      <c r="AD35" s="676"/>
      <c r="AE35" s="676"/>
      <c r="AF35" s="676"/>
      <c r="AG35" s="676"/>
      <c r="AH35" s="676"/>
      <c r="AI35" s="676"/>
      <c r="AJ35" s="676"/>
      <c r="AK35" s="676"/>
      <c r="AL35" s="676"/>
      <c r="AM35" s="676"/>
      <c r="AN35" s="676"/>
    </row>
    <row r="36" spans="3:40" hidden="1" x14ac:dyDescent="0.25">
      <c r="C36" s="674"/>
      <c r="D36" s="674"/>
      <c r="E36" s="674"/>
      <c r="F36" s="674"/>
      <c r="G36" s="674"/>
      <c r="H36" s="674"/>
      <c r="I36" s="664" t="s">
        <v>249</v>
      </c>
      <c r="J36" s="665"/>
      <c r="K36" s="665"/>
      <c r="L36" s="666"/>
      <c r="M36" s="674"/>
      <c r="N36" s="674"/>
      <c r="O36" s="674"/>
      <c r="P36" s="674"/>
      <c r="Q36" s="674"/>
      <c r="R36" s="674"/>
      <c r="S36" s="674"/>
      <c r="T36" s="674"/>
      <c r="U36" s="674"/>
      <c r="V36" s="674"/>
      <c r="W36" s="674"/>
      <c r="X36" s="676"/>
      <c r="Y36" s="676"/>
      <c r="Z36" s="676"/>
      <c r="AA36" s="676"/>
      <c r="AB36" s="676"/>
      <c r="AC36" s="676"/>
      <c r="AD36" s="676"/>
      <c r="AE36" s="676"/>
      <c r="AF36" s="676"/>
      <c r="AG36" s="676"/>
      <c r="AH36" s="676"/>
      <c r="AI36" s="676"/>
      <c r="AJ36" s="676"/>
      <c r="AK36" s="676"/>
      <c r="AL36" s="676"/>
      <c r="AM36" s="676"/>
      <c r="AN36" s="676"/>
    </row>
    <row r="37" spans="3:40" hidden="1" x14ac:dyDescent="0.25">
      <c r="C37" s="674"/>
      <c r="D37" s="674"/>
      <c r="E37" s="674"/>
      <c r="F37" s="674"/>
      <c r="G37" s="674"/>
      <c r="H37" s="674"/>
      <c r="I37" s="670" t="s">
        <v>250</v>
      </c>
      <c r="J37" s="671"/>
      <c r="K37" s="671"/>
      <c r="L37" s="672"/>
      <c r="M37" s="674"/>
      <c r="N37" s="674"/>
      <c r="O37" s="674"/>
      <c r="P37" s="674"/>
      <c r="Q37" s="674"/>
      <c r="R37" s="674"/>
      <c r="S37" s="674"/>
      <c r="T37" s="674"/>
      <c r="U37" s="674"/>
      <c r="V37" s="674"/>
      <c r="W37" s="674"/>
      <c r="X37" s="676"/>
      <c r="Y37" s="676"/>
      <c r="Z37" s="676"/>
      <c r="AA37" s="676"/>
      <c r="AB37" s="676"/>
      <c r="AC37" s="676"/>
      <c r="AD37" s="676"/>
      <c r="AE37" s="676"/>
      <c r="AF37" s="676"/>
      <c r="AG37" s="676"/>
      <c r="AH37" s="676"/>
      <c r="AI37" s="676"/>
      <c r="AJ37" s="676"/>
      <c r="AK37" s="676"/>
      <c r="AL37" s="676"/>
      <c r="AM37" s="676"/>
      <c r="AN37" s="676"/>
    </row>
    <row r="38" spans="3:40" hidden="1" x14ac:dyDescent="0.25">
      <c r="C38" s="674"/>
      <c r="D38" s="674"/>
      <c r="E38" s="674"/>
      <c r="F38" s="674"/>
      <c r="G38" s="674"/>
      <c r="H38" s="674"/>
      <c r="I38" s="664" t="s">
        <v>249</v>
      </c>
      <c r="J38" s="665"/>
      <c r="K38" s="665"/>
      <c r="L38" s="666"/>
      <c r="M38" s="674"/>
      <c r="N38" s="674"/>
      <c r="O38" s="674"/>
      <c r="P38" s="674"/>
      <c r="Q38" s="674"/>
      <c r="R38" s="674"/>
      <c r="S38" s="674"/>
      <c r="T38" s="674"/>
      <c r="U38" s="674"/>
      <c r="V38" s="674"/>
      <c r="W38" s="674"/>
      <c r="X38" s="676"/>
      <c r="Y38" s="676"/>
      <c r="Z38" s="676"/>
      <c r="AA38" s="676"/>
      <c r="AB38" s="676"/>
      <c r="AC38" s="676"/>
      <c r="AD38" s="676"/>
      <c r="AE38" s="676"/>
      <c r="AF38" s="676"/>
      <c r="AG38" s="676"/>
      <c r="AH38" s="676"/>
      <c r="AI38" s="676"/>
      <c r="AJ38" s="676"/>
      <c r="AK38" s="676"/>
      <c r="AL38" s="676"/>
      <c r="AM38" s="676"/>
      <c r="AN38" s="676"/>
    </row>
    <row r="39" spans="3:40" hidden="1" x14ac:dyDescent="0.25">
      <c r="C39" s="674"/>
      <c r="D39" s="674"/>
      <c r="E39" s="674"/>
      <c r="F39" s="674"/>
      <c r="G39" s="674"/>
      <c r="H39" s="674"/>
      <c r="I39" s="670" t="s">
        <v>250</v>
      </c>
      <c r="J39" s="671"/>
      <c r="K39" s="671"/>
      <c r="L39" s="672"/>
      <c r="M39" s="674"/>
      <c r="N39" s="674"/>
      <c r="O39" s="674"/>
      <c r="P39" s="674"/>
      <c r="Q39" s="674"/>
      <c r="R39" s="674"/>
      <c r="S39" s="674"/>
      <c r="T39" s="674"/>
      <c r="U39" s="674"/>
      <c r="V39" s="674"/>
      <c r="W39" s="674"/>
      <c r="X39" s="676"/>
      <c r="Y39" s="676"/>
      <c r="Z39" s="676"/>
      <c r="AA39" s="676"/>
      <c r="AB39" s="676"/>
      <c r="AC39" s="676"/>
      <c r="AD39" s="676"/>
      <c r="AE39" s="676"/>
      <c r="AF39" s="676"/>
      <c r="AG39" s="676"/>
      <c r="AH39" s="676"/>
      <c r="AI39" s="676"/>
      <c r="AJ39" s="676"/>
      <c r="AK39" s="676"/>
      <c r="AL39" s="676"/>
      <c r="AM39" s="676"/>
      <c r="AN39" s="676"/>
    </row>
    <row r="40" spans="3:40" hidden="1" x14ac:dyDescent="0.25">
      <c r="C40" s="674"/>
      <c r="D40" s="674"/>
      <c r="E40" s="674"/>
      <c r="F40" s="674"/>
      <c r="G40" s="674"/>
      <c r="H40" s="674"/>
      <c r="I40" s="664" t="s">
        <v>249</v>
      </c>
      <c r="J40" s="665"/>
      <c r="K40" s="665"/>
      <c r="L40" s="666"/>
      <c r="M40" s="674"/>
      <c r="N40" s="674"/>
      <c r="O40" s="674"/>
      <c r="P40" s="674"/>
      <c r="Q40" s="674"/>
      <c r="R40" s="674"/>
      <c r="S40" s="674"/>
      <c r="T40" s="674"/>
      <c r="U40" s="674"/>
      <c r="V40" s="674"/>
      <c r="W40" s="674"/>
      <c r="X40" s="676"/>
      <c r="Y40" s="676"/>
      <c r="Z40" s="676"/>
      <c r="AA40" s="676"/>
      <c r="AB40" s="676"/>
      <c r="AC40" s="676"/>
      <c r="AD40" s="676"/>
      <c r="AE40" s="676"/>
      <c r="AF40" s="676"/>
      <c r="AG40" s="676"/>
      <c r="AH40" s="676"/>
      <c r="AI40" s="676"/>
      <c r="AJ40" s="693"/>
      <c r="AK40" s="693"/>
      <c r="AL40" s="693"/>
      <c r="AM40" s="693"/>
      <c r="AN40" s="693"/>
    </row>
    <row r="41" spans="3:40" hidden="1" x14ac:dyDescent="0.25">
      <c r="C41" s="674"/>
      <c r="D41" s="674"/>
      <c r="E41" s="674"/>
      <c r="F41" s="674"/>
      <c r="G41" s="674"/>
      <c r="H41" s="674"/>
      <c r="I41" s="670" t="s">
        <v>250</v>
      </c>
      <c r="J41" s="671"/>
      <c r="K41" s="671"/>
      <c r="L41" s="672"/>
      <c r="M41" s="674"/>
      <c r="N41" s="674"/>
      <c r="O41" s="674"/>
      <c r="P41" s="674"/>
      <c r="Q41" s="674"/>
      <c r="R41" s="674"/>
      <c r="S41" s="674"/>
      <c r="T41" s="674"/>
      <c r="U41" s="674"/>
      <c r="V41" s="674"/>
      <c r="W41" s="674"/>
      <c r="X41" s="676"/>
      <c r="Y41" s="676"/>
      <c r="Z41" s="676"/>
      <c r="AA41" s="676"/>
      <c r="AB41" s="676"/>
      <c r="AC41" s="676"/>
      <c r="AD41" s="676"/>
      <c r="AE41" s="676"/>
      <c r="AF41" s="676"/>
      <c r="AG41" s="676"/>
      <c r="AH41" s="676"/>
      <c r="AI41" s="676"/>
      <c r="AJ41" s="693"/>
      <c r="AK41" s="693"/>
      <c r="AL41" s="693"/>
      <c r="AM41" s="693"/>
      <c r="AN41" s="693"/>
    </row>
    <row r="42" spans="3:40" x14ac:dyDescent="0.25">
      <c r="C42" s="601" t="s">
        <v>251</v>
      </c>
      <c r="D42" s="601"/>
      <c r="E42" s="601"/>
      <c r="F42" s="601"/>
      <c r="G42" s="601"/>
      <c r="H42" s="601"/>
      <c r="I42" s="601"/>
      <c r="J42" s="601"/>
      <c r="K42" s="601"/>
      <c r="L42" s="601"/>
      <c r="M42" s="601"/>
      <c r="N42" s="601"/>
      <c r="O42" s="601"/>
      <c r="P42" s="601"/>
      <c r="Q42" s="601"/>
      <c r="R42" s="601"/>
      <c r="S42" s="601"/>
      <c r="T42" s="601"/>
      <c r="U42" s="601"/>
      <c r="V42" s="601"/>
      <c r="W42" s="601"/>
      <c r="X42" s="692">
        <f>SUM(X28:AD41)</f>
        <v>550000000</v>
      </c>
      <c r="Y42" s="592"/>
      <c r="Z42" s="592"/>
      <c r="AA42" s="592"/>
      <c r="AB42" s="592"/>
      <c r="AC42" s="592"/>
      <c r="AD42" s="592"/>
      <c r="AE42" s="692">
        <f>SUM(AE28:AI41)</f>
        <v>900000000</v>
      </c>
      <c r="AF42" s="592"/>
      <c r="AG42" s="592"/>
      <c r="AH42" s="592"/>
      <c r="AI42" s="592"/>
      <c r="AJ42" s="601"/>
      <c r="AK42" s="601"/>
      <c r="AL42" s="601"/>
      <c r="AM42" s="601"/>
      <c r="AN42" s="601"/>
    </row>
    <row r="43" spans="3:40" ht="3" customHeight="1" x14ac:dyDescent="0.25">
      <c r="C43" s="53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179"/>
    </row>
    <row r="44" spans="3:40" ht="18.600000000000001" customHeight="1" x14ac:dyDescent="0.25">
      <c r="C44" s="180" t="s">
        <v>35</v>
      </c>
      <c r="D44" s="181" t="s">
        <v>255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182"/>
    </row>
    <row r="45" spans="3:40" ht="3" customHeight="1" x14ac:dyDescent="0.25">
      <c r="C45" s="155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57"/>
    </row>
    <row r="46" spans="3:40" ht="14.65" customHeight="1" x14ac:dyDescent="0.25">
      <c r="C46" s="691" t="s">
        <v>193</v>
      </c>
      <c r="D46" s="691"/>
      <c r="E46" s="691" t="s">
        <v>194</v>
      </c>
      <c r="F46" s="691"/>
      <c r="G46" s="691" t="s">
        <v>198</v>
      </c>
      <c r="H46" s="691"/>
      <c r="I46" s="691" t="s">
        <v>252</v>
      </c>
      <c r="J46" s="691"/>
      <c r="K46" s="691"/>
      <c r="L46" s="691"/>
      <c r="M46" s="571" t="s">
        <v>253</v>
      </c>
      <c r="N46" s="571"/>
      <c r="O46" s="571"/>
      <c r="P46" s="571"/>
      <c r="Q46" s="571"/>
      <c r="R46" s="571"/>
      <c r="S46" s="571"/>
      <c r="T46" s="571"/>
      <c r="U46" s="571"/>
      <c r="V46" s="691" t="s">
        <v>231</v>
      </c>
      <c r="W46" s="691"/>
      <c r="X46" s="691"/>
      <c r="Y46" s="691"/>
      <c r="Z46" s="691"/>
      <c r="AA46" s="691"/>
      <c r="AB46" s="691"/>
      <c r="AC46" s="691"/>
      <c r="AD46" s="691" t="s">
        <v>232</v>
      </c>
      <c r="AE46" s="691"/>
      <c r="AF46" s="691"/>
      <c r="AG46" s="691"/>
      <c r="AH46" s="691"/>
      <c r="AI46" s="691"/>
      <c r="AJ46" s="584" t="s">
        <v>211</v>
      </c>
      <c r="AK46" s="559"/>
      <c r="AL46" s="559"/>
      <c r="AM46" s="559"/>
      <c r="AN46" s="559"/>
    </row>
    <row r="47" spans="3:40" x14ac:dyDescent="0.25">
      <c r="C47" s="691"/>
      <c r="D47" s="691"/>
      <c r="E47" s="691"/>
      <c r="F47" s="691"/>
      <c r="G47" s="691"/>
      <c r="H47" s="691"/>
      <c r="I47" s="691"/>
      <c r="J47" s="691"/>
      <c r="K47" s="691"/>
      <c r="L47" s="691"/>
      <c r="M47" s="571"/>
      <c r="N47" s="571"/>
      <c r="O47" s="571"/>
      <c r="P47" s="571"/>
      <c r="Q47" s="571"/>
      <c r="R47" s="571"/>
      <c r="S47" s="571"/>
      <c r="T47" s="571"/>
      <c r="U47" s="571"/>
      <c r="V47" s="691"/>
      <c r="W47" s="691"/>
      <c r="X47" s="691"/>
      <c r="Y47" s="691"/>
      <c r="Z47" s="691"/>
      <c r="AA47" s="691"/>
      <c r="AB47" s="691"/>
      <c r="AC47" s="691"/>
      <c r="AD47" s="691"/>
      <c r="AE47" s="691"/>
      <c r="AF47" s="691"/>
      <c r="AG47" s="691"/>
      <c r="AH47" s="691"/>
      <c r="AI47" s="691"/>
      <c r="AJ47" s="561" t="s">
        <v>212</v>
      </c>
      <c r="AK47" s="561"/>
      <c r="AL47" s="561"/>
      <c r="AM47" s="561"/>
      <c r="AN47" s="562"/>
    </row>
    <row r="48" spans="3:40" x14ac:dyDescent="0.25">
      <c r="C48" s="691"/>
      <c r="D48" s="691"/>
      <c r="E48" s="691"/>
      <c r="F48" s="691"/>
      <c r="G48" s="691"/>
      <c r="H48" s="691"/>
      <c r="I48" s="691"/>
      <c r="J48" s="691"/>
      <c r="K48" s="691"/>
      <c r="L48" s="691"/>
      <c r="M48" s="571"/>
      <c r="N48" s="571"/>
      <c r="O48" s="571"/>
      <c r="P48" s="571"/>
      <c r="Q48" s="571"/>
      <c r="R48" s="571"/>
      <c r="S48" s="571"/>
      <c r="T48" s="571"/>
      <c r="U48" s="571"/>
      <c r="V48" s="691"/>
      <c r="W48" s="691"/>
      <c r="X48" s="691"/>
      <c r="Y48" s="691"/>
      <c r="Z48" s="691"/>
      <c r="AA48" s="691"/>
      <c r="AB48" s="691"/>
      <c r="AC48" s="691"/>
      <c r="AD48" s="691"/>
      <c r="AE48" s="691"/>
      <c r="AF48" s="691"/>
      <c r="AG48" s="691"/>
      <c r="AH48" s="691"/>
      <c r="AI48" s="691"/>
      <c r="AJ48" s="564"/>
      <c r="AK48" s="564"/>
      <c r="AL48" s="564"/>
      <c r="AM48" s="564"/>
      <c r="AN48" s="565"/>
    </row>
    <row r="49" spans="3:40" ht="10.5" customHeight="1" x14ac:dyDescent="0.25">
      <c r="C49" s="606" t="s">
        <v>213</v>
      </c>
      <c r="D49" s="592"/>
      <c r="E49" s="606" t="s">
        <v>214</v>
      </c>
      <c r="F49" s="592"/>
      <c r="G49" s="606" t="s">
        <v>215</v>
      </c>
      <c r="H49" s="592"/>
      <c r="I49" s="606" t="s">
        <v>216</v>
      </c>
      <c r="J49" s="592"/>
      <c r="K49" s="592"/>
      <c r="L49" s="592"/>
      <c r="M49" s="592" t="s">
        <v>217</v>
      </c>
      <c r="N49" s="592"/>
      <c r="O49" s="592"/>
      <c r="P49" s="592"/>
      <c r="Q49" s="592"/>
      <c r="R49" s="592"/>
      <c r="S49" s="592"/>
      <c r="T49" s="592"/>
      <c r="U49" s="592"/>
      <c r="V49" s="592" t="s">
        <v>218</v>
      </c>
      <c r="W49" s="592"/>
      <c r="X49" s="592"/>
      <c r="Y49" s="592"/>
      <c r="Z49" s="592"/>
      <c r="AA49" s="592"/>
      <c r="AB49" s="592"/>
      <c r="AC49" s="592"/>
      <c r="AD49" s="592" t="s">
        <v>219</v>
      </c>
      <c r="AE49" s="592"/>
      <c r="AF49" s="592"/>
      <c r="AG49" s="592"/>
      <c r="AH49" s="592"/>
      <c r="AI49" s="592"/>
      <c r="AJ49" s="587" t="s">
        <v>220</v>
      </c>
      <c r="AK49" s="567"/>
      <c r="AL49" s="567"/>
      <c r="AM49" s="567"/>
      <c r="AN49" s="567"/>
    </row>
    <row r="50" spans="3:40" x14ac:dyDescent="0.25">
      <c r="C50" s="592"/>
      <c r="D50" s="592"/>
      <c r="E50" s="592"/>
      <c r="F50" s="592"/>
      <c r="G50" s="592"/>
      <c r="H50" s="592"/>
      <c r="I50" s="602"/>
      <c r="J50" s="602"/>
      <c r="K50" s="602"/>
      <c r="L50" s="602"/>
      <c r="M50" s="602"/>
      <c r="N50" s="602"/>
      <c r="O50" s="602"/>
      <c r="P50" s="602"/>
      <c r="Q50" s="602"/>
      <c r="R50" s="602"/>
      <c r="S50" s="602"/>
      <c r="T50" s="602"/>
      <c r="U50" s="602"/>
      <c r="V50" s="602"/>
      <c r="W50" s="602"/>
      <c r="X50" s="602"/>
      <c r="Y50" s="602"/>
      <c r="Z50" s="602"/>
      <c r="AA50" s="602"/>
      <c r="AB50" s="602"/>
      <c r="AC50" s="602"/>
      <c r="AD50" s="602"/>
      <c r="AE50" s="602"/>
      <c r="AF50" s="602"/>
      <c r="AG50" s="602"/>
      <c r="AH50" s="602"/>
      <c r="AI50" s="602"/>
      <c r="AJ50" s="629"/>
      <c r="AK50" s="592"/>
      <c r="AL50" s="592"/>
      <c r="AM50" s="592"/>
      <c r="AN50" s="592"/>
    </row>
    <row r="51" spans="3:40" x14ac:dyDescent="0.25">
      <c r="C51" s="592"/>
      <c r="D51" s="592"/>
      <c r="E51" s="592"/>
      <c r="F51" s="592"/>
      <c r="G51" s="592"/>
      <c r="H51" s="592"/>
      <c r="I51" s="602"/>
      <c r="J51" s="602"/>
      <c r="K51" s="602"/>
      <c r="L51" s="602"/>
      <c r="M51" s="602"/>
      <c r="N51" s="602"/>
      <c r="O51" s="602"/>
      <c r="P51" s="602"/>
      <c r="Q51" s="602"/>
      <c r="R51" s="602"/>
      <c r="S51" s="602"/>
      <c r="T51" s="602"/>
      <c r="U51" s="602"/>
      <c r="V51" s="602"/>
      <c r="W51" s="602"/>
      <c r="X51" s="602"/>
      <c r="Y51" s="602"/>
      <c r="Z51" s="602"/>
      <c r="AA51" s="602"/>
      <c r="AB51" s="602"/>
      <c r="AC51" s="602"/>
      <c r="AD51" s="602"/>
      <c r="AE51" s="602"/>
      <c r="AF51" s="602"/>
      <c r="AG51" s="602"/>
      <c r="AH51" s="602"/>
      <c r="AI51" s="602"/>
      <c r="AJ51" s="629"/>
      <c r="AK51" s="592"/>
      <c r="AL51" s="592"/>
      <c r="AM51" s="592"/>
      <c r="AN51" s="592"/>
    </row>
    <row r="52" spans="3:40" hidden="1" x14ac:dyDescent="0.25">
      <c r="C52" s="592"/>
      <c r="D52" s="592"/>
      <c r="E52" s="592"/>
      <c r="F52" s="592"/>
      <c r="G52" s="592"/>
      <c r="H52" s="592"/>
      <c r="I52" s="602"/>
      <c r="J52" s="602"/>
      <c r="K52" s="602"/>
      <c r="L52" s="602"/>
      <c r="M52" s="602"/>
      <c r="N52" s="602"/>
      <c r="O52" s="602"/>
      <c r="P52" s="602"/>
      <c r="Q52" s="602"/>
      <c r="R52" s="602"/>
      <c r="S52" s="602"/>
      <c r="T52" s="602"/>
      <c r="U52" s="602"/>
      <c r="V52" s="602"/>
      <c r="W52" s="602"/>
      <c r="X52" s="602"/>
      <c r="Y52" s="602"/>
      <c r="Z52" s="602"/>
      <c r="AA52" s="602"/>
      <c r="AB52" s="602"/>
      <c r="AC52" s="602"/>
      <c r="AD52" s="602"/>
      <c r="AE52" s="602"/>
      <c r="AF52" s="602"/>
      <c r="AG52" s="602"/>
      <c r="AH52" s="602"/>
      <c r="AI52" s="602"/>
      <c r="AJ52" s="629"/>
      <c r="AK52" s="592"/>
      <c r="AL52" s="592"/>
      <c r="AM52" s="592"/>
      <c r="AN52" s="592"/>
    </row>
    <row r="53" spans="3:40" hidden="1" x14ac:dyDescent="0.25">
      <c r="C53" s="592"/>
      <c r="D53" s="592"/>
      <c r="E53" s="592"/>
      <c r="F53" s="592"/>
      <c r="G53" s="592"/>
      <c r="H53" s="592"/>
      <c r="I53" s="602"/>
      <c r="J53" s="602"/>
      <c r="K53" s="602"/>
      <c r="L53" s="602"/>
      <c r="M53" s="602"/>
      <c r="N53" s="602"/>
      <c r="O53" s="602"/>
      <c r="P53" s="602"/>
      <c r="Q53" s="602"/>
      <c r="R53" s="602"/>
      <c r="S53" s="602"/>
      <c r="T53" s="602"/>
      <c r="U53" s="602"/>
      <c r="V53" s="602"/>
      <c r="W53" s="602"/>
      <c r="X53" s="602"/>
      <c r="Y53" s="602"/>
      <c r="Z53" s="602"/>
      <c r="AA53" s="602"/>
      <c r="AB53" s="602"/>
      <c r="AC53" s="602"/>
      <c r="AD53" s="602"/>
      <c r="AE53" s="602"/>
      <c r="AF53" s="602"/>
      <c r="AG53" s="602"/>
      <c r="AH53" s="602"/>
      <c r="AI53" s="602"/>
      <c r="AJ53" s="629"/>
      <c r="AK53" s="592"/>
      <c r="AL53" s="592"/>
      <c r="AM53" s="592"/>
      <c r="AN53" s="592"/>
    </row>
    <row r="54" spans="3:40" hidden="1" x14ac:dyDescent="0.25">
      <c r="C54" s="592"/>
      <c r="D54" s="592"/>
      <c r="E54" s="592"/>
      <c r="F54" s="592"/>
      <c r="G54" s="592"/>
      <c r="H54" s="592"/>
      <c r="I54" s="602"/>
      <c r="J54" s="602"/>
      <c r="K54" s="602"/>
      <c r="L54" s="602"/>
      <c r="M54" s="602"/>
      <c r="N54" s="602"/>
      <c r="O54" s="602"/>
      <c r="P54" s="602"/>
      <c r="Q54" s="602"/>
      <c r="R54" s="602"/>
      <c r="S54" s="602"/>
      <c r="T54" s="602"/>
      <c r="U54" s="602"/>
      <c r="V54" s="602"/>
      <c r="W54" s="602"/>
      <c r="X54" s="602"/>
      <c r="Y54" s="602"/>
      <c r="Z54" s="602"/>
      <c r="AA54" s="602"/>
      <c r="AB54" s="602"/>
      <c r="AC54" s="602"/>
      <c r="AD54" s="602"/>
      <c r="AE54" s="602"/>
      <c r="AF54" s="602"/>
      <c r="AG54" s="602"/>
      <c r="AH54" s="602"/>
      <c r="AI54" s="602"/>
      <c r="AJ54" s="629"/>
      <c r="AK54" s="592"/>
      <c r="AL54" s="592"/>
      <c r="AM54" s="592"/>
      <c r="AN54" s="592"/>
    </row>
    <row r="55" spans="3:40" hidden="1" x14ac:dyDescent="0.25">
      <c r="C55" s="592"/>
      <c r="D55" s="592"/>
      <c r="E55" s="592"/>
      <c r="F55" s="592"/>
      <c r="G55" s="592"/>
      <c r="H55" s="592"/>
      <c r="I55" s="602"/>
      <c r="J55" s="602"/>
      <c r="K55" s="602"/>
      <c r="L55" s="602"/>
      <c r="M55" s="602"/>
      <c r="N55" s="602"/>
      <c r="O55" s="602"/>
      <c r="P55" s="602"/>
      <c r="Q55" s="602"/>
      <c r="R55" s="602"/>
      <c r="S55" s="602"/>
      <c r="T55" s="602"/>
      <c r="U55" s="602"/>
      <c r="V55" s="602"/>
      <c r="W55" s="602"/>
      <c r="X55" s="602"/>
      <c r="Y55" s="602"/>
      <c r="Z55" s="602"/>
      <c r="AA55" s="602"/>
      <c r="AB55" s="602"/>
      <c r="AC55" s="602"/>
      <c r="AD55" s="602"/>
      <c r="AE55" s="602"/>
      <c r="AF55" s="602"/>
      <c r="AG55" s="602"/>
      <c r="AH55" s="602"/>
      <c r="AI55" s="602"/>
      <c r="AJ55" s="629"/>
      <c r="AK55" s="592"/>
      <c r="AL55" s="592"/>
      <c r="AM55" s="592"/>
      <c r="AN55" s="592"/>
    </row>
    <row r="56" spans="3:40" hidden="1" x14ac:dyDescent="0.25">
      <c r="C56" s="592"/>
      <c r="D56" s="592"/>
      <c r="E56" s="592"/>
      <c r="F56" s="592"/>
      <c r="G56" s="592"/>
      <c r="H56" s="592"/>
      <c r="I56" s="602"/>
      <c r="J56" s="602"/>
      <c r="K56" s="602"/>
      <c r="L56" s="602"/>
      <c r="M56" s="602"/>
      <c r="N56" s="602"/>
      <c r="O56" s="602"/>
      <c r="P56" s="602"/>
      <c r="Q56" s="602"/>
      <c r="R56" s="602"/>
      <c r="S56" s="602"/>
      <c r="T56" s="602"/>
      <c r="U56" s="602"/>
      <c r="V56" s="602"/>
      <c r="W56" s="602"/>
      <c r="X56" s="602"/>
      <c r="Y56" s="602"/>
      <c r="Z56" s="602"/>
      <c r="AA56" s="602"/>
      <c r="AB56" s="602"/>
      <c r="AC56" s="602"/>
      <c r="AD56" s="602"/>
      <c r="AE56" s="602"/>
      <c r="AF56" s="602"/>
      <c r="AG56" s="602"/>
      <c r="AH56" s="602"/>
      <c r="AI56" s="602"/>
      <c r="AJ56" s="629"/>
      <c r="AK56" s="592"/>
      <c r="AL56" s="592"/>
      <c r="AM56" s="592"/>
      <c r="AN56" s="592"/>
    </row>
    <row r="57" spans="3:40" hidden="1" x14ac:dyDescent="0.25">
      <c r="C57" s="592"/>
      <c r="D57" s="592"/>
      <c r="E57" s="592"/>
      <c r="F57" s="592"/>
      <c r="G57" s="592"/>
      <c r="H57" s="592"/>
      <c r="I57" s="602"/>
      <c r="J57" s="602"/>
      <c r="K57" s="602"/>
      <c r="L57" s="602"/>
      <c r="M57" s="602"/>
      <c r="N57" s="602"/>
      <c r="O57" s="602"/>
      <c r="P57" s="602"/>
      <c r="Q57" s="602"/>
      <c r="R57" s="602"/>
      <c r="S57" s="602"/>
      <c r="T57" s="602"/>
      <c r="U57" s="602"/>
      <c r="V57" s="602"/>
      <c r="W57" s="602"/>
      <c r="X57" s="602"/>
      <c r="Y57" s="602"/>
      <c r="Z57" s="602"/>
      <c r="AA57" s="602"/>
      <c r="AB57" s="602"/>
      <c r="AC57" s="602"/>
      <c r="AD57" s="602"/>
      <c r="AE57" s="602"/>
      <c r="AF57" s="602"/>
      <c r="AG57" s="602"/>
      <c r="AH57" s="602"/>
      <c r="AI57" s="602"/>
      <c r="AJ57" s="629"/>
      <c r="AK57" s="592"/>
      <c r="AL57" s="592"/>
      <c r="AM57" s="592"/>
      <c r="AN57" s="592"/>
    </row>
    <row r="58" spans="3:40" hidden="1" x14ac:dyDescent="0.25">
      <c r="C58" s="592"/>
      <c r="D58" s="592"/>
      <c r="E58" s="592"/>
      <c r="F58" s="592"/>
      <c r="G58" s="592"/>
      <c r="H58" s="592"/>
      <c r="I58" s="602"/>
      <c r="J58" s="602"/>
      <c r="K58" s="602"/>
      <c r="L58" s="602"/>
      <c r="M58" s="602"/>
      <c r="N58" s="602"/>
      <c r="O58" s="602"/>
      <c r="P58" s="602"/>
      <c r="Q58" s="602"/>
      <c r="R58" s="602"/>
      <c r="S58" s="602"/>
      <c r="T58" s="602"/>
      <c r="U58" s="602"/>
      <c r="V58" s="602"/>
      <c r="W58" s="602"/>
      <c r="X58" s="602"/>
      <c r="Y58" s="602"/>
      <c r="Z58" s="602"/>
      <c r="AA58" s="602"/>
      <c r="AB58" s="602"/>
      <c r="AC58" s="602"/>
      <c r="AD58" s="602"/>
      <c r="AE58" s="602"/>
      <c r="AF58" s="602"/>
      <c r="AG58" s="602"/>
      <c r="AH58" s="602"/>
      <c r="AI58" s="602"/>
      <c r="AJ58" s="629"/>
      <c r="AK58" s="592"/>
      <c r="AL58" s="592"/>
      <c r="AM58" s="592"/>
      <c r="AN58" s="592"/>
    </row>
    <row r="59" spans="3:40" hidden="1" x14ac:dyDescent="0.25">
      <c r="C59" s="592"/>
      <c r="D59" s="592"/>
      <c r="E59" s="592"/>
      <c r="F59" s="592"/>
      <c r="G59" s="592"/>
      <c r="H59" s="592"/>
      <c r="I59" s="602"/>
      <c r="J59" s="602"/>
      <c r="K59" s="602"/>
      <c r="L59" s="602"/>
      <c r="M59" s="602"/>
      <c r="N59" s="602"/>
      <c r="O59" s="602"/>
      <c r="P59" s="602"/>
      <c r="Q59" s="602"/>
      <c r="R59" s="602"/>
      <c r="S59" s="602"/>
      <c r="T59" s="602"/>
      <c r="U59" s="602"/>
      <c r="V59" s="602"/>
      <c r="W59" s="602"/>
      <c r="X59" s="602"/>
      <c r="Y59" s="602"/>
      <c r="Z59" s="602"/>
      <c r="AA59" s="602"/>
      <c r="AB59" s="602"/>
      <c r="AC59" s="602"/>
      <c r="AD59" s="602"/>
      <c r="AE59" s="602"/>
      <c r="AF59" s="602"/>
      <c r="AG59" s="602"/>
      <c r="AH59" s="602"/>
      <c r="AI59" s="602"/>
      <c r="AJ59" s="629"/>
      <c r="AK59" s="592"/>
      <c r="AL59" s="592"/>
      <c r="AM59" s="592"/>
      <c r="AN59" s="592"/>
    </row>
    <row r="60" spans="3:40" hidden="1" x14ac:dyDescent="0.25">
      <c r="C60" s="592"/>
      <c r="D60" s="592"/>
      <c r="E60" s="592"/>
      <c r="F60" s="592"/>
      <c r="G60" s="592"/>
      <c r="H60" s="592"/>
      <c r="I60" s="602"/>
      <c r="J60" s="602"/>
      <c r="K60" s="602"/>
      <c r="L60" s="602"/>
      <c r="M60" s="602"/>
      <c r="N60" s="602"/>
      <c r="O60" s="602"/>
      <c r="P60" s="602"/>
      <c r="Q60" s="602"/>
      <c r="R60" s="602"/>
      <c r="S60" s="602"/>
      <c r="T60" s="602"/>
      <c r="U60" s="602"/>
      <c r="V60" s="602"/>
      <c r="W60" s="602"/>
      <c r="X60" s="602"/>
      <c r="Y60" s="602"/>
      <c r="Z60" s="602"/>
      <c r="AA60" s="602"/>
      <c r="AB60" s="602"/>
      <c r="AC60" s="602"/>
      <c r="AD60" s="602"/>
      <c r="AE60" s="602"/>
      <c r="AF60" s="602"/>
      <c r="AG60" s="602"/>
      <c r="AH60" s="602"/>
      <c r="AI60" s="602"/>
      <c r="AJ60" s="629"/>
      <c r="AK60" s="592"/>
      <c r="AL60" s="592"/>
      <c r="AM60" s="592"/>
      <c r="AN60" s="592"/>
    </row>
    <row r="61" spans="3:40" hidden="1" x14ac:dyDescent="0.25">
      <c r="C61" s="592"/>
      <c r="D61" s="592"/>
      <c r="E61" s="592"/>
      <c r="F61" s="592"/>
      <c r="G61" s="592"/>
      <c r="H61" s="592"/>
      <c r="I61" s="602"/>
      <c r="J61" s="602"/>
      <c r="K61" s="602"/>
      <c r="L61" s="602"/>
      <c r="M61" s="602"/>
      <c r="N61" s="602"/>
      <c r="O61" s="602"/>
      <c r="P61" s="602"/>
      <c r="Q61" s="602"/>
      <c r="R61" s="602"/>
      <c r="S61" s="602"/>
      <c r="T61" s="602"/>
      <c r="U61" s="602"/>
      <c r="V61" s="602"/>
      <c r="W61" s="602"/>
      <c r="X61" s="602"/>
      <c r="Y61" s="602"/>
      <c r="Z61" s="602"/>
      <c r="AA61" s="602"/>
      <c r="AB61" s="602"/>
      <c r="AC61" s="602"/>
      <c r="AD61" s="602"/>
      <c r="AE61" s="602"/>
      <c r="AF61" s="602"/>
      <c r="AG61" s="602"/>
      <c r="AH61" s="602"/>
      <c r="AI61" s="602"/>
      <c r="AJ61" s="629"/>
      <c r="AK61" s="592"/>
      <c r="AL61" s="592"/>
      <c r="AM61" s="592"/>
      <c r="AN61" s="592"/>
    </row>
    <row r="62" spans="3:40" hidden="1" x14ac:dyDescent="0.25">
      <c r="C62" s="592"/>
      <c r="D62" s="592"/>
      <c r="E62" s="592"/>
      <c r="F62" s="592"/>
      <c r="G62" s="592"/>
      <c r="H62" s="592"/>
      <c r="I62" s="602"/>
      <c r="J62" s="602"/>
      <c r="K62" s="602"/>
      <c r="L62" s="602"/>
      <c r="M62" s="602"/>
      <c r="N62" s="602"/>
      <c r="O62" s="602"/>
      <c r="P62" s="602"/>
      <c r="Q62" s="602"/>
      <c r="R62" s="602"/>
      <c r="S62" s="602"/>
      <c r="T62" s="602"/>
      <c r="U62" s="602"/>
      <c r="V62" s="602"/>
      <c r="W62" s="602"/>
      <c r="X62" s="602"/>
      <c r="Y62" s="602"/>
      <c r="Z62" s="602"/>
      <c r="AA62" s="602"/>
      <c r="AB62" s="602"/>
      <c r="AC62" s="602"/>
      <c r="AD62" s="602"/>
      <c r="AE62" s="602"/>
      <c r="AF62" s="602"/>
      <c r="AG62" s="602"/>
      <c r="AH62" s="602"/>
      <c r="AI62" s="602"/>
      <c r="AJ62" s="681"/>
      <c r="AK62" s="700"/>
      <c r="AL62" s="700"/>
      <c r="AM62" s="700"/>
      <c r="AN62" s="700"/>
    </row>
    <row r="63" spans="3:40" hidden="1" x14ac:dyDescent="0.25">
      <c r="C63" s="592"/>
      <c r="D63" s="592"/>
      <c r="E63" s="592"/>
      <c r="F63" s="592"/>
      <c r="G63" s="592"/>
      <c r="H63" s="592"/>
      <c r="I63" s="602"/>
      <c r="J63" s="602"/>
      <c r="K63" s="602"/>
      <c r="L63" s="602"/>
      <c r="M63" s="602"/>
      <c r="N63" s="602"/>
      <c r="O63" s="602"/>
      <c r="P63" s="602"/>
      <c r="Q63" s="602"/>
      <c r="R63" s="602"/>
      <c r="S63" s="602"/>
      <c r="T63" s="602"/>
      <c r="U63" s="602"/>
      <c r="V63" s="602"/>
      <c r="W63" s="602"/>
      <c r="X63" s="602"/>
      <c r="Y63" s="602"/>
      <c r="Z63" s="602"/>
      <c r="AA63" s="602"/>
      <c r="AB63" s="602"/>
      <c r="AC63" s="602"/>
      <c r="AD63" s="602"/>
      <c r="AE63" s="602"/>
      <c r="AF63" s="602"/>
      <c r="AG63" s="602"/>
      <c r="AH63" s="602"/>
      <c r="AI63" s="602"/>
      <c r="AJ63" s="681"/>
      <c r="AK63" s="700"/>
      <c r="AL63" s="700"/>
      <c r="AM63" s="700"/>
      <c r="AN63" s="700"/>
    </row>
    <row r="64" spans="3:40" hidden="1" x14ac:dyDescent="0.25">
      <c r="C64" s="592"/>
      <c r="D64" s="592"/>
      <c r="E64" s="592"/>
      <c r="F64" s="592"/>
      <c r="G64" s="592"/>
      <c r="H64" s="592"/>
      <c r="I64" s="602"/>
      <c r="J64" s="602"/>
      <c r="K64" s="602"/>
      <c r="L64" s="602"/>
      <c r="M64" s="602"/>
      <c r="N64" s="602"/>
      <c r="O64" s="602"/>
      <c r="P64" s="602"/>
      <c r="Q64" s="602"/>
      <c r="R64" s="602"/>
      <c r="S64" s="602"/>
      <c r="T64" s="602"/>
      <c r="U64" s="602"/>
      <c r="V64" s="602"/>
      <c r="W64" s="602"/>
      <c r="X64" s="602"/>
      <c r="Y64" s="602"/>
      <c r="Z64" s="602"/>
      <c r="AA64" s="602"/>
      <c r="AB64" s="602"/>
      <c r="AC64" s="602"/>
      <c r="AD64" s="602"/>
      <c r="AE64" s="602"/>
      <c r="AF64" s="602"/>
      <c r="AG64" s="602"/>
      <c r="AH64" s="602"/>
      <c r="AI64" s="602"/>
      <c r="AJ64" s="681"/>
      <c r="AK64" s="700"/>
      <c r="AL64" s="700"/>
      <c r="AM64" s="700"/>
      <c r="AN64" s="700"/>
    </row>
    <row r="65" spans="3:40" hidden="1" x14ac:dyDescent="0.25">
      <c r="C65" s="592"/>
      <c r="D65" s="592"/>
      <c r="E65" s="592"/>
      <c r="F65" s="592"/>
      <c r="G65" s="592"/>
      <c r="H65" s="592"/>
      <c r="I65" s="602"/>
      <c r="J65" s="602"/>
      <c r="K65" s="602"/>
      <c r="L65" s="602"/>
      <c r="M65" s="602"/>
      <c r="N65" s="602"/>
      <c r="O65" s="602"/>
      <c r="P65" s="602"/>
      <c r="Q65" s="602"/>
      <c r="R65" s="602"/>
      <c r="S65" s="602"/>
      <c r="T65" s="602"/>
      <c r="U65" s="602"/>
      <c r="V65" s="602"/>
      <c r="W65" s="602"/>
      <c r="X65" s="602"/>
      <c r="Y65" s="602"/>
      <c r="Z65" s="602"/>
      <c r="AA65" s="602"/>
      <c r="AB65" s="602"/>
      <c r="AC65" s="602"/>
      <c r="AD65" s="602"/>
      <c r="AE65" s="602"/>
      <c r="AF65" s="602"/>
      <c r="AG65" s="602"/>
      <c r="AH65" s="602"/>
      <c r="AI65" s="602"/>
      <c r="AJ65" s="681"/>
      <c r="AK65" s="700"/>
      <c r="AL65" s="700"/>
      <c r="AM65" s="700"/>
      <c r="AN65" s="700"/>
    </row>
    <row r="66" spans="3:40" hidden="1" x14ac:dyDescent="0.25">
      <c r="C66" s="592"/>
      <c r="D66" s="592"/>
      <c r="E66" s="592"/>
      <c r="F66" s="592"/>
      <c r="G66" s="592"/>
      <c r="H66" s="592"/>
      <c r="I66" s="602"/>
      <c r="J66" s="602"/>
      <c r="K66" s="602"/>
      <c r="L66" s="602"/>
      <c r="M66" s="602"/>
      <c r="N66" s="602"/>
      <c r="O66" s="602"/>
      <c r="P66" s="602"/>
      <c r="Q66" s="602"/>
      <c r="R66" s="602"/>
      <c r="S66" s="602"/>
      <c r="T66" s="602"/>
      <c r="U66" s="602"/>
      <c r="V66" s="602"/>
      <c r="W66" s="602"/>
      <c r="X66" s="602"/>
      <c r="Y66" s="602"/>
      <c r="Z66" s="602"/>
      <c r="AA66" s="602"/>
      <c r="AB66" s="602"/>
      <c r="AC66" s="602"/>
      <c r="AD66" s="602"/>
      <c r="AE66" s="602"/>
      <c r="AF66" s="602"/>
      <c r="AG66" s="602"/>
      <c r="AH66" s="602"/>
      <c r="AI66" s="602"/>
      <c r="AJ66" s="681"/>
      <c r="AK66" s="700"/>
      <c r="AL66" s="700"/>
      <c r="AM66" s="700"/>
      <c r="AN66" s="700"/>
    </row>
    <row r="67" spans="3:40" hidden="1" x14ac:dyDescent="0.25">
      <c r="C67" s="592"/>
      <c r="D67" s="592"/>
      <c r="E67" s="592"/>
      <c r="F67" s="592"/>
      <c r="G67" s="592"/>
      <c r="H67" s="592"/>
      <c r="I67" s="602"/>
      <c r="J67" s="602"/>
      <c r="K67" s="602"/>
      <c r="L67" s="602"/>
      <c r="M67" s="602"/>
      <c r="N67" s="602"/>
      <c r="O67" s="602"/>
      <c r="P67" s="602"/>
      <c r="Q67" s="602"/>
      <c r="R67" s="602"/>
      <c r="S67" s="602"/>
      <c r="T67" s="602"/>
      <c r="U67" s="602"/>
      <c r="V67" s="602"/>
      <c r="W67" s="602"/>
      <c r="X67" s="602"/>
      <c r="Y67" s="602"/>
      <c r="Z67" s="602"/>
      <c r="AA67" s="602"/>
      <c r="AB67" s="602"/>
      <c r="AC67" s="602"/>
      <c r="AD67" s="602"/>
      <c r="AE67" s="602"/>
      <c r="AF67" s="602"/>
      <c r="AG67" s="602"/>
      <c r="AH67" s="602"/>
      <c r="AI67" s="602"/>
      <c r="AJ67" s="681"/>
      <c r="AK67" s="700"/>
      <c r="AL67" s="700"/>
      <c r="AM67" s="700"/>
      <c r="AN67" s="700"/>
    </row>
    <row r="68" spans="3:40" hidden="1" x14ac:dyDescent="0.25">
      <c r="C68" s="592"/>
      <c r="D68" s="592"/>
      <c r="E68" s="592"/>
      <c r="F68" s="592"/>
      <c r="G68" s="592"/>
      <c r="H68" s="592"/>
      <c r="I68" s="602"/>
      <c r="J68" s="602"/>
      <c r="K68" s="602"/>
      <c r="L68" s="602"/>
      <c r="M68" s="602"/>
      <c r="N68" s="602"/>
      <c r="O68" s="602"/>
      <c r="P68" s="602"/>
      <c r="Q68" s="602"/>
      <c r="R68" s="602"/>
      <c r="S68" s="602"/>
      <c r="T68" s="602"/>
      <c r="U68" s="602"/>
      <c r="V68" s="602"/>
      <c r="W68" s="602"/>
      <c r="X68" s="602"/>
      <c r="Y68" s="602"/>
      <c r="Z68" s="602"/>
      <c r="AA68" s="602"/>
      <c r="AB68" s="602"/>
      <c r="AC68" s="602"/>
      <c r="AD68" s="602"/>
      <c r="AE68" s="602"/>
      <c r="AF68" s="602"/>
      <c r="AG68" s="602"/>
      <c r="AH68" s="602"/>
      <c r="AI68" s="602"/>
      <c r="AJ68" s="681"/>
      <c r="AK68" s="700"/>
      <c r="AL68" s="700"/>
      <c r="AM68" s="700"/>
      <c r="AN68" s="700"/>
    </row>
    <row r="69" spans="3:40" hidden="1" x14ac:dyDescent="0.25">
      <c r="C69" s="592"/>
      <c r="D69" s="592"/>
      <c r="E69" s="592"/>
      <c r="F69" s="592"/>
      <c r="G69" s="592"/>
      <c r="H69" s="592"/>
      <c r="I69" s="602"/>
      <c r="J69" s="602"/>
      <c r="K69" s="602"/>
      <c r="L69" s="602"/>
      <c r="M69" s="602"/>
      <c r="N69" s="602"/>
      <c r="O69" s="602"/>
      <c r="P69" s="602"/>
      <c r="Q69" s="602"/>
      <c r="R69" s="602"/>
      <c r="S69" s="602"/>
      <c r="T69" s="602"/>
      <c r="U69" s="602"/>
      <c r="V69" s="602"/>
      <c r="W69" s="602"/>
      <c r="X69" s="602"/>
      <c r="Y69" s="602"/>
      <c r="Z69" s="602"/>
      <c r="AA69" s="602"/>
      <c r="AB69" s="602"/>
      <c r="AC69" s="602"/>
      <c r="AD69" s="602"/>
      <c r="AE69" s="602"/>
      <c r="AF69" s="602"/>
      <c r="AG69" s="602"/>
      <c r="AH69" s="602"/>
      <c r="AI69" s="602"/>
      <c r="AJ69" s="681"/>
      <c r="AK69" s="700"/>
      <c r="AL69" s="700"/>
      <c r="AM69" s="700"/>
      <c r="AN69" s="700"/>
    </row>
    <row r="70" spans="3:40" hidden="1" x14ac:dyDescent="0.25">
      <c r="C70" s="592"/>
      <c r="D70" s="592"/>
      <c r="E70" s="592"/>
      <c r="F70" s="592"/>
      <c r="G70" s="592"/>
      <c r="H70" s="592"/>
      <c r="I70" s="602"/>
      <c r="J70" s="602"/>
      <c r="K70" s="602"/>
      <c r="L70" s="602"/>
      <c r="M70" s="602"/>
      <c r="N70" s="602"/>
      <c r="O70" s="602"/>
      <c r="P70" s="602"/>
      <c r="Q70" s="602"/>
      <c r="R70" s="602"/>
      <c r="S70" s="602"/>
      <c r="T70" s="602"/>
      <c r="U70" s="602"/>
      <c r="V70" s="602"/>
      <c r="W70" s="602"/>
      <c r="X70" s="602"/>
      <c r="Y70" s="602"/>
      <c r="Z70" s="602"/>
      <c r="AA70" s="602"/>
      <c r="AB70" s="602"/>
      <c r="AC70" s="602"/>
      <c r="AD70" s="602"/>
      <c r="AE70" s="602"/>
      <c r="AF70" s="602"/>
      <c r="AG70" s="602"/>
      <c r="AH70" s="602"/>
      <c r="AI70" s="602"/>
      <c r="AJ70" s="681"/>
      <c r="AK70" s="700"/>
      <c r="AL70" s="700"/>
      <c r="AM70" s="700"/>
      <c r="AN70" s="700"/>
    </row>
    <row r="71" spans="3:40" hidden="1" x14ac:dyDescent="0.25">
      <c r="C71" s="592"/>
      <c r="D71" s="592"/>
      <c r="E71" s="592"/>
      <c r="F71" s="592"/>
      <c r="G71" s="592"/>
      <c r="H71" s="592"/>
      <c r="I71" s="602"/>
      <c r="J71" s="602"/>
      <c r="K71" s="602"/>
      <c r="L71" s="602"/>
      <c r="M71" s="602"/>
      <c r="N71" s="602"/>
      <c r="O71" s="602"/>
      <c r="P71" s="602"/>
      <c r="Q71" s="602"/>
      <c r="R71" s="602"/>
      <c r="S71" s="602"/>
      <c r="T71" s="602"/>
      <c r="U71" s="602"/>
      <c r="V71" s="602"/>
      <c r="W71" s="602"/>
      <c r="X71" s="602"/>
      <c r="Y71" s="602"/>
      <c r="Z71" s="602"/>
      <c r="AA71" s="602"/>
      <c r="AB71" s="602"/>
      <c r="AC71" s="602"/>
      <c r="AD71" s="602"/>
      <c r="AE71" s="602"/>
      <c r="AF71" s="602"/>
      <c r="AG71" s="602"/>
      <c r="AH71" s="602"/>
      <c r="AI71" s="602"/>
      <c r="AJ71" s="681"/>
      <c r="AK71" s="700"/>
      <c r="AL71" s="700"/>
      <c r="AM71" s="700"/>
      <c r="AN71" s="700"/>
    </row>
    <row r="72" spans="3:40" hidden="1" x14ac:dyDescent="0.25">
      <c r="C72" s="592"/>
      <c r="D72" s="592"/>
      <c r="E72" s="592"/>
      <c r="F72" s="592"/>
      <c r="G72" s="592"/>
      <c r="H72" s="592"/>
      <c r="I72" s="602"/>
      <c r="J72" s="602"/>
      <c r="K72" s="602"/>
      <c r="L72" s="602"/>
      <c r="M72" s="602"/>
      <c r="N72" s="602"/>
      <c r="O72" s="602"/>
      <c r="P72" s="602"/>
      <c r="Q72" s="602"/>
      <c r="R72" s="602"/>
      <c r="S72" s="602"/>
      <c r="T72" s="602"/>
      <c r="U72" s="602"/>
      <c r="V72" s="602"/>
      <c r="W72" s="602"/>
      <c r="X72" s="602"/>
      <c r="Y72" s="602"/>
      <c r="Z72" s="602"/>
      <c r="AA72" s="602"/>
      <c r="AB72" s="602"/>
      <c r="AC72" s="602"/>
      <c r="AD72" s="602"/>
      <c r="AE72" s="602"/>
      <c r="AF72" s="602"/>
      <c r="AG72" s="602"/>
      <c r="AH72" s="602"/>
      <c r="AI72" s="602"/>
      <c r="AJ72" s="681"/>
      <c r="AK72" s="700"/>
      <c r="AL72" s="700"/>
      <c r="AM72" s="700"/>
      <c r="AN72" s="700"/>
    </row>
    <row r="73" spans="3:40" hidden="1" x14ac:dyDescent="0.25">
      <c r="C73" s="592"/>
      <c r="D73" s="592"/>
      <c r="E73" s="592"/>
      <c r="F73" s="592"/>
      <c r="G73" s="592"/>
      <c r="H73" s="592"/>
      <c r="I73" s="602"/>
      <c r="J73" s="602"/>
      <c r="K73" s="602"/>
      <c r="L73" s="602"/>
      <c r="M73" s="602"/>
      <c r="N73" s="602"/>
      <c r="O73" s="602"/>
      <c r="P73" s="602"/>
      <c r="Q73" s="602"/>
      <c r="R73" s="602"/>
      <c r="S73" s="602"/>
      <c r="T73" s="602"/>
      <c r="U73" s="602"/>
      <c r="V73" s="602"/>
      <c r="W73" s="602"/>
      <c r="X73" s="602"/>
      <c r="Y73" s="602"/>
      <c r="Z73" s="602"/>
      <c r="AA73" s="602"/>
      <c r="AB73" s="602"/>
      <c r="AC73" s="602"/>
      <c r="AD73" s="602"/>
      <c r="AE73" s="602"/>
      <c r="AF73" s="602"/>
      <c r="AG73" s="602"/>
      <c r="AH73" s="602"/>
      <c r="AI73" s="602"/>
      <c r="AJ73" s="681"/>
      <c r="AK73" s="700"/>
      <c r="AL73" s="700"/>
      <c r="AM73" s="700"/>
      <c r="AN73" s="700"/>
    </row>
    <row r="74" spans="3:40" hidden="1" x14ac:dyDescent="0.25">
      <c r="C74" s="592"/>
      <c r="D74" s="592"/>
      <c r="E74" s="592"/>
      <c r="F74" s="592"/>
      <c r="G74" s="592"/>
      <c r="H74" s="592"/>
      <c r="I74" s="602"/>
      <c r="J74" s="602"/>
      <c r="K74" s="602"/>
      <c r="L74" s="602"/>
      <c r="M74" s="602"/>
      <c r="N74" s="602"/>
      <c r="O74" s="602"/>
      <c r="P74" s="602"/>
      <c r="Q74" s="602"/>
      <c r="R74" s="602"/>
      <c r="S74" s="602"/>
      <c r="T74" s="602"/>
      <c r="U74" s="602"/>
      <c r="V74" s="602"/>
      <c r="W74" s="602"/>
      <c r="X74" s="602"/>
      <c r="Y74" s="602"/>
      <c r="Z74" s="602"/>
      <c r="AA74" s="602"/>
      <c r="AB74" s="602"/>
      <c r="AC74" s="602"/>
      <c r="AD74" s="602"/>
      <c r="AE74" s="602"/>
      <c r="AF74" s="602"/>
      <c r="AG74" s="602"/>
      <c r="AH74" s="602"/>
      <c r="AI74" s="602"/>
      <c r="AJ74" s="681"/>
      <c r="AK74" s="700"/>
      <c r="AL74" s="700"/>
      <c r="AM74" s="700"/>
      <c r="AN74" s="700"/>
    </row>
    <row r="75" spans="3:40" hidden="1" x14ac:dyDescent="0.25">
      <c r="C75" s="592"/>
      <c r="D75" s="592"/>
      <c r="E75" s="592"/>
      <c r="F75" s="592"/>
      <c r="G75" s="592"/>
      <c r="H75" s="592"/>
      <c r="I75" s="602"/>
      <c r="J75" s="602"/>
      <c r="K75" s="602"/>
      <c r="L75" s="602"/>
      <c r="M75" s="602"/>
      <c r="N75" s="602"/>
      <c r="O75" s="602"/>
      <c r="P75" s="602"/>
      <c r="Q75" s="602"/>
      <c r="R75" s="602"/>
      <c r="S75" s="602"/>
      <c r="T75" s="602"/>
      <c r="U75" s="602"/>
      <c r="V75" s="602"/>
      <c r="W75" s="602"/>
      <c r="X75" s="602"/>
      <c r="Y75" s="602"/>
      <c r="Z75" s="602"/>
      <c r="AA75" s="602"/>
      <c r="AB75" s="602"/>
      <c r="AC75" s="602"/>
      <c r="AD75" s="602"/>
      <c r="AE75" s="602"/>
      <c r="AF75" s="602"/>
      <c r="AG75" s="602"/>
      <c r="AH75" s="602"/>
      <c r="AI75" s="602"/>
      <c r="AJ75" s="681"/>
      <c r="AK75" s="700"/>
      <c r="AL75" s="700"/>
      <c r="AM75" s="700"/>
      <c r="AN75" s="700"/>
    </row>
    <row r="76" spans="3:40" hidden="1" x14ac:dyDescent="0.25">
      <c r="C76" s="592"/>
      <c r="D76" s="592"/>
      <c r="E76" s="592"/>
      <c r="F76" s="592"/>
      <c r="G76" s="592"/>
      <c r="H76" s="592"/>
      <c r="I76" s="602"/>
      <c r="J76" s="602"/>
      <c r="K76" s="602"/>
      <c r="L76" s="602"/>
      <c r="M76" s="602"/>
      <c r="N76" s="602"/>
      <c r="O76" s="602"/>
      <c r="P76" s="602"/>
      <c r="Q76" s="602"/>
      <c r="R76" s="602"/>
      <c r="S76" s="602"/>
      <c r="T76" s="602"/>
      <c r="U76" s="602"/>
      <c r="V76" s="602"/>
      <c r="W76" s="602"/>
      <c r="X76" s="602"/>
      <c r="Y76" s="602"/>
      <c r="Z76" s="602"/>
      <c r="AA76" s="602"/>
      <c r="AB76" s="602"/>
      <c r="AC76" s="602"/>
      <c r="AD76" s="602"/>
      <c r="AE76" s="602"/>
      <c r="AF76" s="602"/>
      <c r="AG76" s="602"/>
      <c r="AH76" s="602"/>
      <c r="AI76" s="602"/>
      <c r="AJ76" s="681"/>
      <c r="AK76" s="700"/>
      <c r="AL76" s="700"/>
      <c r="AM76" s="700"/>
      <c r="AN76" s="700"/>
    </row>
    <row r="77" spans="3:40" hidden="1" x14ac:dyDescent="0.25">
      <c r="C77" s="592"/>
      <c r="D77" s="592"/>
      <c r="E77" s="592"/>
      <c r="F77" s="592"/>
      <c r="G77" s="592"/>
      <c r="H77" s="592"/>
      <c r="I77" s="602"/>
      <c r="J77" s="602"/>
      <c r="K77" s="602"/>
      <c r="L77" s="602"/>
      <c r="M77" s="602"/>
      <c r="N77" s="602"/>
      <c r="O77" s="602"/>
      <c r="P77" s="602"/>
      <c r="Q77" s="602"/>
      <c r="R77" s="602"/>
      <c r="S77" s="602"/>
      <c r="T77" s="602"/>
      <c r="U77" s="602"/>
      <c r="V77" s="602"/>
      <c r="W77" s="602"/>
      <c r="X77" s="602"/>
      <c r="Y77" s="602"/>
      <c r="Z77" s="602"/>
      <c r="AA77" s="602"/>
      <c r="AB77" s="602"/>
      <c r="AC77" s="602"/>
      <c r="AD77" s="602"/>
      <c r="AE77" s="602"/>
      <c r="AF77" s="602"/>
      <c r="AG77" s="602"/>
      <c r="AH77" s="602"/>
      <c r="AI77" s="602"/>
      <c r="AJ77" s="681"/>
      <c r="AK77" s="700"/>
      <c r="AL77" s="700"/>
      <c r="AM77" s="700"/>
      <c r="AN77" s="700"/>
    </row>
    <row r="78" spans="3:40" hidden="1" x14ac:dyDescent="0.25">
      <c r="C78" s="592"/>
      <c r="D78" s="592"/>
      <c r="E78" s="592"/>
      <c r="F78" s="592"/>
      <c r="G78" s="592"/>
      <c r="H78" s="592"/>
      <c r="I78" s="602"/>
      <c r="J78" s="602"/>
      <c r="K78" s="602"/>
      <c r="L78" s="602"/>
      <c r="M78" s="602"/>
      <c r="N78" s="602"/>
      <c r="O78" s="602"/>
      <c r="P78" s="602"/>
      <c r="Q78" s="602"/>
      <c r="R78" s="602"/>
      <c r="S78" s="602"/>
      <c r="T78" s="602"/>
      <c r="U78" s="602"/>
      <c r="V78" s="602"/>
      <c r="W78" s="602"/>
      <c r="X78" s="602"/>
      <c r="Y78" s="602"/>
      <c r="Z78" s="602"/>
      <c r="AA78" s="602"/>
      <c r="AB78" s="602"/>
      <c r="AC78" s="602"/>
      <c r="AD78" s="602"/>
      <c r="AE78" s="602"/>
      <c r="AF78" s="602"/>
      <c r="AG78" s="602"/>
      <c r="AH78" s="602"/>
      <c r="AI78" s="602"/>
      <c r="AJ78" s="681"/>
      <c r="AK78" s="700"/>
      <c r="AL78" s="700"/>
      <c r="AM78" s="700"/>
      <c r="AN78" s="700"/>
    </row>
    <row r="79" spans="3:40" hidden="1" x14ac:dyDescent="0.25">
      <c r="C79" s="592"/>
      <c r="D79" s="592"/>
      <c r="E79" s="592"/>
      <c r="F79" s="592"/>
      <c r="G79" s="592"/>
      <c r="H79" s="592"/>
      <c r="I79" s="602"/>
      <c r="J79" s="602"/>
      <c r="K79" s="602"/>
      <c r="L79" s="602"/>
      <c r="M79" s="602"/>
      <c r="N79" s="602"/>
      <c r="O79" s="602"/>
      <c r="P79" s="602"/>
      <c r="Q79" s="602"/>
      <c r="R79" s="602"/>
      <c r="S79" s="602"/>
      <c r="T79" s="602"/>
      <c r="U79" s="602"/>
      <c r="V79" s="602"/>
      <c r="W79" s="602"/>
      <c r="X79" s="602"/>
      <c r="Y79" s="602"/>
      <c r="Z79" s="602"/>
      <c r="AA79" s="602"/>
      <c r="AB79" s="602"/>
      <c r="AC79" s="602"/>
      <c r="AD79" s="602"/>
      <c r="AE79" s="602"/>
      <c r="AF79" s="602"/>
      <c r="AG79" s="602"/>
      <c r="AH79" s="602"/>
      <c r="AI79" s="602"/>
      <c r="AJ79" s="681"/>
      <c r="AK79" s="700"/>
      <c r="AL79" s="700"/>
      <c r="AM79" s="700"/>
      <c r="AN79" s="700"/>
    </row>
    <row r="80" spans="3:40" hidden="1" x14ac:dyDescent="0.25">
      <c r="C80" s="592"/>
      <c r="D80" s="592"/>
      <c r="E80" s="592"/>
      <c r="F80" s="592"/>
      <c r="G80" s="592"/>
      <c r="H80" s="592"/>
      <c r="I80" s="602"/>
      <c r="J80" s="602"/>
      <c r="K80" s="602"/>
      <c r="L80" s="602"/>
      <c r="M80" s="602"/>
      <c r="N80" s="602"/>
      <c r="O80" s="602"/>
      <c r="P80" s="602"/>
      <c r="Q80" s="602"/>
      <c r="R80" s="602"/>
      <c r="S80" s="602"/>
      <c r="T80" s="602"/>
      <c r="U80" s="602"/>
      <c r="V80" s="602"/>
      <c r="W80" s="602"/>
      <c r="X80" s="602"/>
      <c r="Y80" s="602"/>
      <c r="Z80" s="602"/>
      <c r="AA80" s="602"/>
      <c r="AB80" s="602"/>
      <c r="AC80" s="602"/>
      <c r="AD80" s="602"/>
      <c r="AE80" s="602"/>
      <c r="AF80" s="602"/>
      <c r="AG80" s="602"/>
      <c r="AH80" s="602"/>
      <c r="AI80" s="602"/>
      <c r="AJ80" s="681"/>
      <c r="AK80" s="700"/>
      <c r="AL80" s="700"/>
      <c r="AM80" s="700"/>
      <c r="AN80" s="700"/>
    </row>
    <row r="81" spans="3:40" hidden="1" x14ac:dyDescent="0.25">
      <c r="C81" s="592"/>
      <c r="D81" s="592"/>
      <c r="E81" s="592"/>
      <c r="F81" s="592"/>
      <c r="G81" s="592"/>
      <c r="H81" s="592"/>
      <c r="I81" s="602"/>
      <c r="J81" s="602"/>
      <c r="K81" s="602"/>
      <c r="L81" s="602"/>
      <c r="M81" s="602"/>
      <c r="N81" s="602"/>
      <c r="O81" s="602"/>
      <c r="P81" s="602"/>
      <c r="Q81" s="602"/>
      <c r="R81" s="602"/>
      <c r="S81" s="602"/>
      <c r="T81" s="602"/>
      <c r="U81" s="602"/>
      <c r="V81" s="602"/>
      <c r="W81" s="602"/>
      <c r="X81" s="602"/>
      <c r="Y81" s="602"/>
      <c r="Z81" s="602"/>
      <c r="AA81" s="602"/>
      <c r="AB81" s="602"/>
      <c r="AC81" s="602"/>
      <c r="AD81" s="602"/>
      <c r="AE81" s="602"/>
      <c r="AF81" s="602"/>
      <c r="AG81" s="602"/>
      <c r="AH81" s="602"/>
      <c r="AI81" s="602"/>
      <c r="AJ81" s="681"/>
      <c r="AK81" s="700"/>
      <c r="AL81" s="700"/>
      <c r="AM81" s="700"/>
      <c r="AN81" s="700"/>
    </row>
    <row r="82" spans="3:40" hidden="1" x14ac:dyDescent="0.25">
      <c r="C82" s="592"/>
      <c r="D82" s="592"/>
      <c r="E82" s="592"/>
      <c r="F82" s="592"/>
      <c r="G82" s="592"/>
      <c r="H82" s="592"/>
      <c r="I82" s="602"/>
      <c r="J82" s="602"/>
      <c r="K82" s="602"/>
      <c r="L82" s="602"/>
      <c r="M82" s="602"/>
      <c r="N82" s="602"/>
      <c r="O82" s="602"/>
      <c r="P82" s="602"/>
      <c r="Q82" s="602"/>
      <c r="R82" s="602"/>
      <c r="S82" s="602"/>
      <c r="T82" s="602"/>
      <c r="U82" s="602"/>
      <c r="V82" s="602"/>
      <c r="W82" s="602"/>
      <c r="X82" s="602"/>
      <c r="Y82" s="602"/>
      <c r="Z82" s="602"/>
      <c r="AA82" s="602"/>
      <c r="AB82" s="602"/>
      <c r="AC82" s="602"/>
      <c r="AD82" s="602"/>
      <c r="AE82" s="602"/>
      <c r="AF82" s="602"/>
      <c r="AG82" s="602"/>
      <c r="AH82" s="602"/>
      <c r="AI82" s="602"/>
      <c r="AJ82" s="681"/>
      <c r="AK82" s="700"/>
      <c r="AL82" s="700"/>
      <c r="AM82" s="700"/>
      <c r="AN82" s="700"/>
    </row>
    <row r="83" spans="3:40" hidden="1" x14ac:dyDescent="0.25">
      <c r="C83" s="592"/>
      <c r="D83" s="592"/>
      <c r="E83" s="592"/>
      <c r="F83" s="592"/>
      <c r="G83" s="592"/>
      <c r="H83" s="592"/>
      <c r="I83" s="602"/>
      <c r="J83" s="602"/>
      <c r="K83" s="602"/>
      <c r="L83" s="602"/>
      <c r="M83" s="602"/>
      <c r="N83" s="602"/>
      <c r="O83" s="602"/>
      <c r="P83" s="602"/>
      <c r="Q83" s="602"/>
      <c r="R83" s="602"/>
      <c r="S83" s="602"/>
      <c r="T83" s="602"/>
      <c r="U83" s="602"/>
      <c r="V83" s="602"/>
      <c r="W83" s="602"/>
      <c r="X83" s="602"/>
      <c r="Y83" s="602"/>
      <c r="Z83" s="602"/>
      <c r="AA83" s="602"/>
      <c r="AB83" s="602"/>
      <c r="AC83" s="602"/>
      <c r="AD83" s="602"/>
      <c r="AE83" s="602"/>
      <c r="AF83" s="602"/>
      <c r="AG83" s="602"/>
      <c r="AH83" s="602"/>
      <c r="AI83" s="602"/>
      <c r="AJ83" s="681"/>
      <c r="AK83" s="700"/>
      <c r="AL83" s="700"/>
      <c r="AM83" s="700"/>
      <c r="AN83" s="700"/>
    </row>
    <row r="84" spans="3:40" hidden="1" x14ac:dyDescent="0.25">
      <c r="C84" s="592"/>
      <c r="D84" s="592"/>
      <c r="E84" s="592"/>
      <c r="F84" s="592"/>
      <c r="G84" s="592"/>
      <c r="H84" s="592"/>
      <c r="I84" s="602"/>
      <c r="J84" s="602"/>
      <c r="K84" s="602"/>
      <c r="L84" s="602"/>
      <c r="M84" s="602"/>
      <c r="N84" s="602"/>
      <c r="O84" s="602"/>
      <c r="P84" s="602"/>
      <c r="Q84" s="602"/>
      <c r="R84" s="602"/>
      <c r="S84" s="602"/>
      <c r="T84" s="602"/>
      <c r="U84" s="602"/>
      <c r="V84" s="602"/>
      <c r="W84" s="602"/>
      <c r="X84" s="602"/>
      <c r="Y84" s="602"/>
      <c r="Z84" s="602"/>
      <c r="AA84" s="602"/>
      <c r="AB84" s="602"/>
      <c r="AC84" s="602"/>
      <c r="AD84" s="602"/>
      <c r="AE84" s="602"/>
      <c r="AF84" s="602"/>
      <c r="AG84" s="602"/>
      <c r="AH84" s="602"/>
      <c r="AI84" s="602"/>
      <c r="AJ84" s="681"/>
      <c r="AK84" s="700"/>
      <c r="AL84" s="700"/>
      <c r="AM84" s="700"/>
      <c r="AN84" s="700"/>
    </row>
    <row r="85" spans="3:40" hidden="1" x14ac:dyDescent="0.25">
      <c r="C85" s="592"/>
      <c r="D85" s="592"/>
      <c r="E85" s="592"/>
      <c r="F85" s="592"/>
      <c r="G85" s="592"/>
      <c r="H85" s="592"/>
      <c r="I85" s="602"/>
      <c r="J85" s="602"/>
      <c r="K85" s="602"/>
      <c r="L85" s="602"/>
      <c r="M85" s="602"/>
      <c r="N85" s="602"/>
      <c r="O85" s="602"/>
      <c r="P85" s="602"/>
      <c r="Q85" s="602"/>
      <c r="R85" s="602"/>
      <c r="S85" s="602"/>
      <c r="T85" s="602"/>
      <c r="U85" s="602"/>
      <c r="V85" s="602"/>
      <c r="W85" s="602"/>
      <c r="X85" s="602"/>
      <c r="Y85" s="602"/>
      <c r="Z85" s="602"/>
      <c r="AA85" s="602"/>
      <c r="AB85" s="602"/>
      <c r="AC85" s="602"/>
      <c r="AD85" s="602"/>
      <c r="AE85" s="602"/>
      <c r="AF85" s="602"/>
      <c r="AG85" s="602"/>
      <c r="AH85" s="602"/>
      <c r="AI85" s="602"/>
      <c r="AJ85" s="681"/>
      <c r="AK85" s="700"/>
      <c r="AL85" s="700"/>
      <c r="AM85" s="700"/>
      <c r="AN85" s="700"/>
    </row>
    <row r="86" spans="3:40" hidden="1" x14ac:dyDescent="0.25">
      <c r="C86" s="592"/>
      <c r="D86" s="592"/>
      <c r="E86" s="592"/>
      <c r="F86" s="592"/>
      <c r="G86" s="592"/>
      <c r="H86" s="592"/>
      <c r="I86" s="602"/>
      <c r="J86" s="602"/>
      <c r="K86" s="602"/>
      <c r="L86" s="602"/>
      <c r="M86" s="602"/>
      <c r="N86" s="602"/>
      <c r="O86" s="602"/>
      <c r="P86" s="602"/>
      <c r="Q86" s="602"/>
      <c r="R86" s="602"/>
      <c r="S86" s="602"/>
      <c r="T86" s="602"/>
      <c r="U86" s="602"/>
      <c r="V86" s="602"/>
      <c r="W86" s="602"/>
      <c r="X86" s="602"/>
      <c r="Y86" s="602"/>
      <c r="Z86" s="602"/>
      <c r="AA86" s="602"/>
      <c r="AB86" s="602"/>
      <c r="AC86" s="602"/>
      <c r="AD86" s="602"/>
      <c r="AE86" s="602"/>
      <c r="AF86" s="602"/>
      <c r="AG86" s="602"/>
      <c r="AH86" s="602"/>
      <c r="AI86" s="602"/>
      <c r="AJ86" s="681"/>
      <c r="AK86" s="700"/>
      <c r="AL86" s="700"/>
      <c r="AM86" s="700"/>
      <c r="AN86" s="700"/>
    </row>
    <row r="87" spans="3:40" hidden="1" x14ac:dyDescent="0.25">
      <c r="C87" s="592"/>
      <c r="D87" s="592"/>
      <c r="E87" s="592"/>
      <c r="F87" s="592"/>
      <c r="G87" s="592"/>
      <c r="H87" s="592"/>
      <c r="I87" s="602"/>
      <c r="J87" s="602"/>
      <c r="K87" s="602"/>
      <c r="L87" s="602"/>
      <c r="M87" s="602"/>
      <c r="N87" s="602"/>
      <c r="O87" s="602"/>
      <c r="P87" s="602"/>
      <c r="Q87" s="602"/>
      <c r="R87" s="602"/>
      <c r="S87" s="602"/>
      <c r="T87" s="602"/>
      <c r="U87" s="602"/>
      <c r="V87" s="602"/>
      <c r="W87" s="602"/>
      <c r="X87" s="602"/>
      <c r="Y87" s="602"/>
      <c r="Z87" s="602"/>
      <c r="AA87" s="602"/>
      <c r="AB87" s="602"/>
      <c r="AC87" s="602"/>
      <c r="AD87" s="602"/>
      <c r="AE87" s="602"/>
      <c r="AF87" s="602"/>
      <c r="AG87" s="602"/>
      <c r="AH87" s="602"/>
      <c r="AI87" s="602"/>
      <c r="AJ87" s="681"/>
      <c r="AK87" s="700"/>
      <c r="AL87" s="700"/>
      <c r="AM87" s="700"/>
      <c r="AN87" s="700"/>
    </row>
    <row r="88" spans="3:40" hidden="1" x14ac:dyDescent="0.25">
      <c r="C88" s="592"/>
      <c r="D88" s="592"/>
      <c r="E88" s="592"/>
      <c r="F88" s="592"/>
      <c r="G88" s="592"/>
      <c r="H88" s="592"/>
      <c r="I88" s="602"/>
      <c r="J88" s="602"/>
      <c r="K88" s="602"/>
      <c r="L88" s="602"/>
      <c r="M88" s="602"/>
      <c r="N88" s="602"/>
      <c r="O88" s="602"/>
      <c r="P88" s="602"/>
      <c r="Q88" s="602"/>
      <c r="R88" s="602"/>
      <c r="S88" s="602"/>
      <c r="T88" s="602"/>
      <c r="U88" s="602"/>
      <c r="V88" s="602"/>
      <c r="W88" s="602"/>
      <c r="X88" s="602"/>
      <c r="Y88" s="602"/>
      <c r="Z88" s="602"/>
      <c r="AA88" s="602"/>
      <c r="AB88" s="602"/>
      <c r="AC88" s="602"/>
      <c r="AD88" s="602"/>
      <c r="AE88" s="602"/>
      <c r="AF88" s="602"/>
      <c r="AG88" s="602"/>
      <c r="AH88" s="602"/>
      <c r="AI88" s="602"/>
      <c r="AJ88" s="681"/>
      <c r="AK88" s="700"/>
      <c r="AL88" s="700"/>
      <c r="AM88" s="700"/>
      <c r="AN88" s="700"/>
    </row>
    <row r="89" spans="3:40" hidden="1" x14ac:dyDescent="0.25">
      <c r="C89" s="592"/>
      <c r="D89" s="592"/>
      <c r="E89" s="592"/>
      <c r="F89" s="592"/>
      <c r="G89" s="592"/>
      <c r="H89" s="592"/>
      <c r="I89" s="602"/>
      <c r="J89" s="602"/>
      <c r="K89" s="602"/>
      <c r="L89" s="602"/>
      <c r="M89" s="602"/>
      <c r="N89" s="602"/>
      <c r="O89" s="602"/>
      <c r="P89" s="602"/>
      <c r="Q89" s="602"/>
      <c r="R89" s="602"/>
      <c r="S89" s="602"/>
      <c r="T89" s="602"/>
      <c r="U89" s="602"/>
      <c r="V89" s="602"/>
      <c r="W89" s="602"/>
      <c r="X89" s="602"/>
      <c r="Y89" s="602"/>
      <c r="Z89" s="602"/>
      <c r="AA89" s="602"/>
      <c r="AB89" s="602"/>
      <c r="AC89" s="602"/>
      <c r="AD89" s="602"/>
      <c r="AE89" s="602"/>
      <c r="AF89" s="602"/>
      <c r="AG89" s="602"/>
      <c r="AH89" s="602"/>
      <c r="AI89" s="602"/>
      <c r="AJ89" s="681"/>
      <c r="AK89" s="700"/>
      <c r="AL89" s="700"/>
      <c r="AM89" s="700"/>
      <c r="AN89" s="700"/>
    </row>
    <row r="90" spans="3:40" x14ac:dyDescent="0.25">
      <c r="C90" s="601" t="s">
        <v>254</v>
      </c>
      <c r="D90" s="601"/>
      <c r="E90" s="601"/>
      <c r="F90" s="601"/>
      <c r="G90" s="601"/>
      <c r="H90" s="601"/>
      <c r="I90" s="601"/>
      <c r="J90" s="601"/>
      <c r="K90" s="601"/>
      <c r="L90" s="601"/>
      <c r="M90" s="601"/>
      <c r="N90" s="601"/>
      <c r="O90" s="601"/>
      <c r="P90" s="601"/>
      <c r="Q90" s="601"/>
      <c r="R90" s="601"/>
      <c r="S90" s="601"/>
      <c r="T90" s="601"/>
      <c r="U90" s="601"/>
      <c r="V90" s="592"/>
      <c r="W90" s="592"/>
      <c r="X90" s="592"/>
      <c r="Y90" s="592"/>
      <c r="Z90" s="592"/>
      <c r="AA90" s="592"/>
      <c r="AB90" s="592"/>
      <c r="AC90" s="592"/>
      <c r="AD90" s="592"/>
      <c r="AE90" s="592"/>
      <c r="AF90" s="592"/>
      <c r="AG90" s="592"/>
      <c r="AH90" s="592"/>
      <c r="AI90" s="592"/>
      <c r="AJ90" s="601"/>
      <c r="AK90" s="601"/>
      <c r="AL90" s="601"/>
      <c r="AM90" s="601"/>
      <c r="AN90" s="601"/>
    </row>
    <row r="91" spans="3:40" ht="3" customHeight="1" x14ac:dyDescent="0.25">
      <c r="C91" s="53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179"/>
    </row>
    <row r="92" spans="3:40" ht="16.5" customHeight="1" x14ac:dyDescent="0.25">
      <c r="C92" s="180" t="s">
        <v>43</v>
      </c>
      <c r="D92" s="181" t="s">
        <v>256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182"/>
    </row>
    <row r="93" spans="3:40" ht="3" customHeight="1" x14ac:dyDescent="0.25">
      <c r="C93" s="155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57"/>
    </row>
    <row r="94" spans="3:40" x14ac:dyDescent="0.25">
      <c r="C94" s="707" t="s">
        <v>194</v>
      </c>
      <c r="D94" s="707"/>
      <c r="E94" s="707"/>
      <c r="F94" s="707"/>
      <c r="G94" s="707"/>
      <c r="H94" s="707"/>
      <c r="I94" s="707"/>
      <c r="J94" s="707" t="s">
        <v>231</v>
      </c>
      <c r="K94" s="707"/>
      <c r="L94" s="707"/>
      <c r="M94" s="707"/>
      <c r="N94" s="707"/>
      <c r="O94" s="707"/>
      <c r="P94" s="707"/>
      <c r="Q94" s="707"/>
      <c r="R94" s="707"/>
      <c r="S94" s="707"/>
      <c r="T94" s="707"/>
      <c r="U94" s="707"/>
      <c r="V94" s="707" t="s">
        <v>232</v>
      </c>
      <c r="W94" s="707"/>
      <c r="X94" s="707"/>
      <c r="Y94" s="707"/>
      <c r="Z94" s="707"/>
      <c r="AA94" s="707"/>
      <c r="AB94" s="707"/>
      <c r="AC94" s="707"/>
      <c r="AD94" s="707"/>
      <c r="AE94" s="707"/>
      <c r="AF94" s="707"/>
      <c r="AG94" s="707"/>
      <c r="AH94" s="707"/>
      <c r="AI94" s="707"/>
      <c r="AJ94" s="707"/>
      <c r="AK94" s="707"/>
      <c r="AL94" s="707"/>
      <c r="AM94" s="707"/>
      <c r="AN94" s="707"/>
    </row>
    <row r="95" spans="3:40" x14ac:dyDescent="0.25">
      <c r="C95" s="694" t="s">
        <v>213</v>
      </c>
      <c r="D95" s="695"/>
      <c r="E95" s="695"/>
      <c r="F95" s="695"/>
      <c r="G95" s="695"/>
      <c r="H95" s="695"/>
      <c r="I95" s="695"/>
      <c r="J95" s="694" t="s">
        <v>214</v>
      </c>
      <c r="K95" s="695"/>
      <c r="L95" s="695"/>
      <c r="M95" s="695"/>
      <c r="N95" s="695"/>
      <c r="O95" s="695"/>
      <c r="P95" s="695"/>
      <c r="Q95" s="695"/>
      <c r="R95" s="695"/>
      <c r="S95" s="695"/>
      <c r="T95" s="695"/>
      <c r="U95" s="695"/>
      <c r="V95" s="694" t="s">
        <v>215</v>
      </c>
      <c r="W95" s="695"/>
      <c r="X95" s="695"/>
      <c r="Y95" s="695"/>
      <c r="Z95" s="695"/>
      <c r="AA95" s="695"/>
      <c r="AB95" s="695"/>
      <c r="AC95" s="695"/>
      <c r="AD95" s="695"/>
      <c r="AE95" s="695"/>
      <c r="AF95" s="695"/>
      <c r="AG95" s="695"/>
      <c r="AH95" s="695"/>
      <c r="AI95" s="695"/>
      <c r="AJ95" s="695"/>
      <c r="AK95" s="695"/>
      <c r="AL95" s="695"/>
      <c r="AM95" s="695"/>
      <c r="AN95" s="695"/>
    </row>
    <row r="96" spans="3:40" x14ac:dyDescent="0.25">
      <c r="C96" s="696" t="s">
        <v>609</v>
      </c>
      <c r="D96" s="696"/>
      <c r="E96" s="696"/>
      <c r="F96" s="696"/>
      <c r="G96" s="696"/>
      <c r="H96" s="696"/>
      <c r="I96" s="696"/>
      <c r="J96" s="697">
        <f>'Lampiran 1.1'!AD40+'Lampiran 1.1'!AD60+'Lampiran 1.1'!V80+'Lampiran 1.1'!Z118+'Lampiran 1.2'!X42+'Lampiran 1.2'!V90</f>
        <v>1475000000</v>
      </c>
      <c r="K96" s="698"/>
      <c r="L96" s="698"/>
      <c r="M96" s="698"/>
      <c r="N96" s="698"/>
      <c r="O96" s="698"/>
      <c r="P96" s="698"/>
      <c r="Q96" s="698"/>
      <c r="R96" s="698"/>
      <c r="S96" s="698"/>
      <c r="T96" s="698"/>
      <c r="U96" s="698"/>
      <c r="V96" s="697">
        <f>'Lampiran 1.1'!AD40+'Lampiran 1.1'!AD60+'Lampiran 1.1'!AF80+'Lampiran 1.1'!AF118+'Lampiran 1.2'!AE42+'Lampiran 1.2'!AD90</f>
        <v>1750000000</v>
      </c>
      <c r="W96" s="698"/>
      <c r="X96" s="698"/>
      <c r="Y96" s="698"/>
      <c r="Z96" s="698"/>
      <c r="AA96" s="698"/>
      <c r="AB96" s="698"/>
      <c r="AC96" s="698"/>
      <c r="AD96" s="698"/>
      <c r="AE96" s="698"/>
      <c r="AF96" s="698"/>
      <c r="AG96" s="698"/>
      <c r="AH96" s="698"/>
      <c r="AI96" s="698"/>
      <c r="AJ96" s="698"/>
      <c r="AK96" s="698"/>
      <c r="AL96" s="698"/>
      <c r="AM96" s="698"/>
      <c r="AN96" s="698"/>
    </row>
    <row r="97" spans="3:40" x14ac:dyDescent="0.25">
      <c r="C97" s="701" t="s">
        <v>610</v>
      </c>
      <c r="D97" s="702"/>
      <c r="E97" s="702"/>
      <c r="F97" s="702"/>
      <c r="G97" s="702"/>
      <c r="H97" s="702"/>
      <c r="I97" s="702"/>
      <c r="J97" s="702"/>
      <c r="K97" s="702"/>
      <c r="L97" s="702"/>
      <c r="M97" s="702"/>
      <c r="N97" s="702"/>
      <c r="O97" s="702"/>
      <c r="P97" s="702"/>
      <c r="Q97" s="702"/>
      <c r="R97" s="702"/>
      <c r="S97" s="702"/>
      <c r="T97" s="702"/>
      <c r="U97" s="702"/>
      <c r="V97" s="702"/>
      <c r="W97" s="702"/>
      <c r="X97" s="702"/>
      <c r="Y97" s="702"/>
      <c r="Z97" s="702"/>
      <c r="AA97" s="702"/>
      <c r="AB97" s="702"/>
      <c r="AC97" s="702"/>
      <c r="AD97" s="702"/>
      <c r="AE97" s="702"/>
      <c r="AF97" s="702"/>
      <c r="AG97" s="702"/>
      <c r="AH97" s="702"/>
      <c r="AI97" s="702"/>
      <c r="AJ97" s="702"/>
      <c r="AK97" s="702"/>
      <c r="AL97" s="702"/>
      <c r="AM97" s="702"/>
      <c r="AN97" s="703"/>
    </row>
    <row r="98" spans="3:40" x14ac:dyDescent="0.25">
      <c r="C98" s="704" t="s">
        <v>611</v>
      </c>
      <c r="D98" s="705"/>
      <c r="E98" s="705"/>
      <c r="F98" s="705"/>
      <c r="G98" s="705"/>
      <c r="H98" s="705"/>
      <c r="I98" s="705"/>
      <c r="J98" s="705"/>
      <c r="K98" s="705"/>
      <c r="L98" s="705"/>
      <c r="M98" s="705"/>
      <c r="N98" s="705"/>
      <c r="O98" s="705"/>
      <c r="P98" s="705"/>
      <c r="Q98" s="705"/>
      <c r="R98" s="705"/>
      <c r="S98" s="705"/>
      <c r="T98" s="705"/>
      <c r="U98" s="705"/>
      <c r="V98" s="705"/>
      <c r="W98" s="705"/>
      <c r="X98" s="705"/>
      <c r="Y98" s="705"/>
      <c r="Z98" s="705"/>
      <c r="AA98" s="705"/>
      <c r="AB98" s="705"/>
      <c r="AC98" s="705"/>
      <c r="AD98" s="705"/>
      <c r="AE98" s="705"/>
      <c r="AF98" s="705"/>
      <c r="AG98" s="705"/>
      <c r="AH98" s="705"/>
      <c r="AI98" s="705"/>
      <c r="AJ98" s="705"/>
      <c r="AK98" s="705"/>
      <c r="AL98" s="705"/>
      <c r="AM98" s="705"/>
      <c r="AN98" s="706"/>
    </row>
    <row r="99" spans="3:40" ht="4.1500000000000004" customHeight="1" x14ac:dyDescent="0.25">
      <c r="C99" s="158"/>
      <c r="D99" s="159"/>
      <c r="E99" s="159"/>
      <c r="F99" s="159"/>
      <c r="G99" s="159"/>
      <c r="H99" s="159"/>
      <c r="I99" s="159"/>
      <c r="J99" s="159"/>
      <c r="K99" s="159"/>
      <c r="L99" s="159"/>
      <c r="M99" s="159"/>
      <c r="N99" s="159"/>
      <c r="O99" s="159"/>
      <c r="P99" s="159"/>
      <c r="Q99" s="159"/>
      <c r="R99" s="159"/>
      <c r="S99" s="159"/>
      <c r="T99" s="159"/>
      <c r="U99" s="159"/>
      <c r="V99" s="159"/>
      <c r="W99" s="159"/>
      <c r="X99" s="159"/>
      <c r="Y99" s="159"/>
      <c r="Z99" s="159"/>
      <c r="AA99" s="159"/>
      <c r="AB99" s="159"/>
      <c r="AC99" s="159"/>
      <c r="AD99" s="159"/>
      <c r="AE99" s="159"/>
      <c r="AF99" s="159"/>
      <c r="AG99" s="159"/>
      <c r="AH99" s="159"/>
      <c r="AI99" s="159"/>
      <c r="AJ99" s="159"/>
      <c r="AK99" s="159"/>
      <c r="AL99" s="159"/>
      <c r="AM99" s="159"/>
      <c r="AN99" s="160"/>
    </row>
    <row r="100" spans="3:40" ht="18.600000000000001" customHeight="1" x14ac:dyDescent="0.25">
      <c r="C100" s="321" t="s">
        <v>51</v>
      </c>
      <c r="D100" s="322" t="s">
        <v>207</v>
      </c>
      <c r="E100" s="163"/>
      <c r="F100" s="163"/>
      <c r="G100" s="163"/>
      <c r="H100" s="163"/>
      <c r="I100" s="163"/>
      <c r="J100" s="163"/>
      <c r="K100" s="163"/>
      <c r="L100" s="163"/>
      <c r="M100" s="163"/>
      <c r="N100" s="163"/>
      <c r="O100" s="163"/>
      <c r="P100" s="163"/>
      <c r="Q100" s="163"/>
      <c r="R100" s="163"/>
      <c r="S100" s="163"/>
      <c r="T100" s="163"/>
      <c r="U100" s="163"/>
      <c r="V100" s="163"/>
      <c r="W100" s="163"/>
      <c r="X100" s="163"/>
      <c r="Y100" s="163"/>
      <c r="Z100" s="163"/>
      <c r="AA100" s="163"/>
      <c r="AB100" s="163"/>
      <c r="AC100" s="163"/>
      <c r="AD100" s="163"/>
      <c r="AE100" s="163"/>
      <c r="AF100" s="163"/>
      <c r="AG100" s="163"/>
      <c r="AH100" s="163"/>
      <c r="AI100" s="163"/>
      <c r="AJ100" s="163"/>
      <c r="AK100" s="163"/>
      <c r="AL100" s="163"/>
      <c r="AM100" s="163"/>
      <c r="AN100" s="173"/>
    </row>
    <row r="101" spans="3:40" ht="3" customHeight="1" x14ac:dyDescent="0.25">
      <c r="C101" s="155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57"/>
    </row>
    <row r="102" spans="3:40" x14ac:dyDescent="0.25">
      <c r="C102" s="691" t="s">
        <v>193</v>
      </c>
      <c r="D102" s="691"/>
      <c r="E102" s="691" t="s">
        <v>194</v>
      </c>
      <c r="F102" s="691"/>
      <c r="G102" s="571" t="s">
        <v>257</v>
      </c>
      <c r="H102" s="571"/>
      <c r="I102" s="571"/>
      <c r="J102" s="571"/>
      <c r="K102" s="571"/>
      <c r="L102" s="571"/>
      <c r="M102" s="571"/>
      <c r="N102" s="571" t="s">
        <v>258</v>
      </c>
      <c r="O102" s="571"/>
      <c r="P102" s="571"/>
      <c r="Q102" s="571"/>
      <c r="R102" s="571"/>
      <c r="S102" s="571"/>
      <c r="T102" s="571"/>
      <c r="U102" s="571"/>
      <c r="V102" s="571" t="s">
        <v>259</v>
      </c>
      <c r="W102" s="571"/>
      <c r="X102" s="571"/>
      <c r="Y102" s="571"/>
      <c r="Z102" s="571"/>
      <c r="AA102" s="571"/>
      <c r="AB102" s="571" t="s">
        <v>199</v>
      </c>
      <c r="AC102" s="571"/>
      <c r="AD102" s="571"/>
      <c r="AE102" s="571"/>
      <c r="AF102" s="571"/>
      <c r="AG102" s="571"/>
      <c r="AH102" s="571"/>
      <c r="AI102" s="571"/>
      <c r="AJ102" s="571" t="s">
        <v>200</v>
      </c>
      <c r="AK102" s="571"/>
      <c r="AL102" s="571"/>
      <c r="AM102" s="571"/>
      <c r="AN102" s="571"/>
    </row>
    <row r="103" spans="3:40" x14ac:dyDescent="0.25">
      <c r="C103" s="691"/>
      <c r="D103" s="691"/>
      <c r="E103" s="691"/>
      <c r="F103" s="691"/>
      <c r="G103" s="571"/>
      <c r="H103" s="571"/>
      <c r="I103" s="571"/>
      <c r="J103" s="571"/>
      <c r="K103" s="571"/>
      <c r="L103" s="571"/>
      <c r="M103" s="571"/>
      <c r="N103" s="571"/>
      <c r="O103" s="571"/>
      <c r="P103" s="571"/>
      <c r="Q103" s="571"/>
      <c r="R103" s="571"/>
      <c r="S103" s="571"/>
      <c r="T103" s="571"/>
      <c r="U103" s="571"/>
      <c r="V103" s="571"/>
      <c r="W103" s="571"/>
      <c r="X103" s="571"/>
      <c r="Y103" s="571"/>
      <c r="Z103" s="571"/>
      <c r="AA103" s="571"/>
      <c r="AB103" s="571"/>
      <c r="AC103" s="571"/>
      <c r="AD103" s="571"/>
      <c r="AE103" s="571"/>
      <c r="AF103" s="571"/>
      <c r="AG103" s="571"/>
      <c r="AH103" s="571"/>
      <c r="AI103" s="571"/>
      <c r="AJ103" s="571"/>
      <c r="AK103" s="571"/>
      <c r="AL103" s="571"/>
      <c r="AM103" s="571"/>
      <c r="AN103" s="571"/>
    </row>
    <row r="104" spans="3:40" x14ac:dyDescent="0.25">
      <c r="C104" s="691"/>
      <c r="D104" s="691"/>
      <c r="E104" s="691"/>
      <c r="F104" s="691"/>
      <c r="G104" s="571"/>
      <c r="H104" s="571"/>
      <c r="I104" s="571"/>
      <c r="J104" s="571"/>
      <c r="K104" s="571"/>
      <c r="L104" s="571"/>
      <c r="M104" s="571"/>
      <c r="N104" s="571"/>
      <c r="O104" s="571"/>
      <c r="P104" s="571"/>
      <c r="Q104" s="571"/>
      <c r="R104" s="571"/>
      <c r="S104" s="571"/>
      <c r="T104" s="571"/>
      <c r="U104" s="571"/>
      <c r="V104" s="571"/>
      <c r="W104" s="571"/>
      <c r="X104" s="571"/>
      <c r="Y104" s="571"/>
      <c r="Z104" s="571"/>
      <c r="AA104" s="571"/>
      <c r="AB104" s="571"/>
      <c r="AC104" s="571"/>
      <c r="AD104" s="571"/>
      <c r="AE104" s="571"/>
      <c r="AF104" s="571"/>
      <c r="AG104" s="571"/>
      <c r="AH104" s="571"/>
      <c r="AI104" s="571"/>
      <c r="AJ104" s="571"/>
      <c r="AK104" s="571"/>
      <c r="AL104" s="571"/>
      <c r="AM104" s="571"/>
      <c r="AN104" s="571"/>
    </row>
    <row r="105" spans="3:40" x14ac:dyDescent="0.25">
      <c r="C105" s="606" t="s">
        <v>213</v>
      </c>
      <c r="D105" s="592"/>
      <c r="E105" s="606" t="s">
        <v>214</v>
      </c>
      <c r="F105" s="592"/>
      <c r="G105" s="606" t="s">
        <v>215</v>
      </c>
      <c r="H105" s="592"/>
      <c r="I105" s="592"/>
      <c r="J105" s="592"/>
      <c r="K105" s="592"/>
      <c r="L105" s="592"/>
      <c r="M105" s="592"/>
      <c r="N105" s="592" t="s">
        <v>216</v>
      </c>
      <c r="O105" s="592"/>
      <c r="P105" s="592"/>
      <c r="Q105" s="592"/>
      <c r="R105" s="592"/>
      <c r="S105" s="592"/>
      <c r="T105" s="592"/>
      <c r="U105" s="592"/>
      <c r="V105" s="592" t="s">
        <v>217</v>
      </c>
      <c r="W105" s="592"/>
      <c r="X105" s="592"/>
      <c r="Y105" s="592"/>
      <c r="Z105" s="592"/>
      <c r="AA105" s="592"/>
      <c r="AB105" s="592" t="s">
        <v>218</v>
      </c>
      <c r="AC105" s="592"/>
      <c r="AD105" s="592"/>
      <c r="AE105" s="592"/>
      <c r="AF105" s="592"/>
      <c r="AG105" s="592"/>
      <c r="AH105" s="592"/>
      <c r="AI105" s="592"/>
      <c r="AJ105" s="592" t="s">
        <v>219</v>
      </c>
      <c r="AK105" s="592"/>
      <c r="AL105" s="592"/>
      <c r="AM105" s="592"/>
      <c r="AN105" s="592"/>
    </row>
    <row r="106" spans="3:40" s="149" customFormat="1" x14ac:dyDescent="0.25">
      <c r="C106" s="590">
        <v>101</v>
      </c>
      <c r="D106" s="590"/>
      <c r="E106" s="590" t="s">
        <v>1234</v>
      </c>
      <c r="F106" s="590"/>
      <c r="G106" s="635" t="s">
        <v>1220</v>
      </c>
      <c r="H106" s="636"/>
      <c r="I106" s="636"/>
      <c r="J106" s="636"/>
      <c r="K106" s="636"/>
      <c r="L106" s="636"/>
      <c r="M106" s="637"/>
      <c r="N106" s="590" t="s">
        <v>1221</v>
      </c>
      <c r="O106" s="590"/>
      <c r="P106" s="590"/>
      <c r="Q106" s="590"/>
      <c r="R106" s="590"/>
      <c r="S106" s="590"/>
      <c r="T106" s="590"/>
      <c r="U106" s="590"/>
      <c r="V106" s="590">
        <v>2024</v>
      </c>
      <c r="W106" s="590"/>
      <c r="X106" s="590"/>
      <c r="Y106" s="590"/>
      <c r="Z106" s="590"/>
      <c r="AA106" s="590"/>
      <c r="AB106" s="605">
        <f>'SOAL KASUS'!F65</f>
        <v>50000000</v>
      </c>
      <c r="AC106" s="605"/>
      <c r="AD106" s="605"/>
      <c r="AE106" s="605"/>
      <c r="AF106" s="605"/>
      <c r="AG106" s="605"/>
      <c r="AH106" s="605"/>
      <c r="AI106" s="605"/>
      <c r="AJ106" s="590"/>
      <c r="AK106" s="590"/>
      <c r="AL106" s="590"/>
      <c r="AM106" s="590"/>
      <c r="AN106" s="590"/>
    </row>
    <row r="107" spans="3:40" s="149" customFormat="1" x14ac:dyDescent="0.25">
      <c r="C107" s="590"/>
      <c r="D107" s="590"/>
      <c r="E107" s="590"/>
      <c r="F107" s="590"/>
      <c r="G107" s="638" t="s">
        <v>1235</v>
      </c>
      <c r="H107" s="639"/>
      <c r="I107" s="639"/>
      <c r="J107" s="639"/>
      <c r="K107" s="639"/>
      <c r="L107" s="639"/>
      <c r="M107" s="640"/>
      <c r="N107" s="590"/>
      <c r="O107" s="590"/>
      <c r="P107" s="590"/>
      <c r="Q107" s="590"/>
      <c r="R107" s="590"/>
      <c r="S107" s="590"/>
      <c r="T107" s="590"/>
      <c r="U107" s="590"/>
      <c r="V107" s="590"/>
      <c r="W107" s="590"/>
      <c r="X107" s="590"/>
      <c r="Y107" s="590"/>
      <c r="Z107" s="590"/>
      <c r="AA107" s="590"/>
      <c r="AB107" s="605"/>
      <c r="AC107" s="605"/>
      <c r="AD107" s="605"/>
      <c r="AE107" s="605"/>
      <c r="AF107" s="605"/>
      <c r="AG107" s="605"/>
      <c r="AH107" s="605"/>
      <c r="AI107" s="605"/>
      <c r="AJ107" s="590"/>
      <c r="AK107" s="590"/>
      <c r="AL107" s="590"/>
      <c r="AM107" s="590"/>
      <c r="AN107" s="590"/>
    </row>
    <row r="108" spans="3:40" hidden="1" x14ac:dyDescent="0.25">
      <c r="C108" s="592"/>
      <c r="D108" s="592"/>
      <c r="E108" s="592"/>
      <c r="F108" s="592"/>
      <c r="G108" s="610" t="s">
        <v>224</v>
      </c>
      <c r="H108" s="611"/>
      <c r="I108" s="611"/>
      <c r="J108" s="611"/>
      <c r="K108" s="611"/>
      <c r="L108" s="611"/>
      <c r="M108" s="633"/>
      <c r="N108" s="592"/>
      <c r="O108" s="592"/>
      <c r="P108" s="592"/>
      <c r="Q108" s="592"/>
      <c r="R108" s="592"/>
      <c r="S108" s="592"/>
      <c r="T108" s="592"/>
      <c r="U108" s="592"/>
      <c r="V108" s="592"/>
      <c r="W108" s="592"/>
      <c r="X108" s="592"/>
      <c r="Y108" s="592"/>
      <c r="Z108" s="592"/>
      <c r="AA108" s="592"/>
      <c r="AB108" s="602"/>
      <c r="AC108" s="602"/>
      <c r="AD108" s="602"/>
      <c r="AE108" s="602"/>
      <c r="AF108" s="602"/>
      <c r="AG108" s="602"/>
      <c r="AH108" s="602"/>
      <c r="AI108" s="602"/>
      <c r="AJ108" s="592"/>
      <c r="AK108" s="592"/>
      <c r="AL108" s="592"/>
      <c r="AM108" s="592"/>
      <c r="AN108" s="592"/>
    </row>
    <row r="109" spans="3:40" hidden="1" x14ac:dyDescent="0.25">
      <c r="C109" s="592"/>
      <c r="D109" s="592"/>
      <c r="E109" s="592"/>
      <c r="F109" s="592"/>
      <c r="G109" s="612" t="s">
        <v>225</v>
      </c>
      <c r="H109" s="613"/>
      <c r="I109" s="613"/>
      <c r="J109" s="613"/>
      <c r="K109" s="613"/>
      <c r="L109" s="613"/>
      <c r="M109" s="634"/>
      <c r="N109" s="592"/>
      <c r="O109" s="592"/>
      <c r="P109" s="592"/>
      <c r="Q109" s="592"/>
      <c r="R109" s="592"/>
      <c r="S109" s="592"/>
      <c r="T109" s="592"/>
      <c r="U109" s="592"/>
      <c r="V109" s="592"/>
      <c r="W109" s="592"/>
      <c r="X109" s="592"/>
      <c r="Y109" s="592"/>
      <c r="Z109" s="592"/>
      <c r="AA109" s="592"/>
      <c r="AB109" s="602"/>
      <c r="AC109" s="602"/>
      <c r="AD109" s="602"/>
      <c r="AE109" s="602"/>
      <c r="AF109" s="602"/>
      <c r="AG109" s="602"/>
      <c r="AH109" s="602"/>
      <c r="AI109" s="602"/>
      <c r="AJ109" s="592"/>
      <c r="AK109" s="592"/>
      <c r="AL109" s="592"/>
      <c r="AM109" s="592"/>
      <c r="AN109" s="592"/>
    </row>
    <row r="110" spans="3:40" hidden="1" x14ac:dyDescent="0.25">
      <c r="C110" s="592"/>
      <c r="D110" s="592"/>
      <c r="E110" s="592"/>
      <c r="F110" s="592"/>
      <c r="G110" s="610" t="s">
        <v>224</v>
      </c>
      <c r="H110" s="611"/>
      <c r="I110" s="611"/>
      <c r="J110" s="611"/>
      <c r="K110" s="611"/>
      <c r="L110" s="611"/>
      <c r="M110" s="633"/>
      <c r="N110" s="592"/>
      <c r="O110" s="592"/>
      <c r="P110" s="592"/>
      <c r="Q110" s="592"/>
      <c r="R110" s="592"/>
      <c r="S110" s="592"/>
      <c r="T110" s="592"/>
      <c r="U110" s="592"/>
      <c r="V110" s="592"/>
      <c r="W110" s="592"/>
      <c r="X110" s="592"/>
      <c r="Y110" s="592"/>
      <c r="Z110" s="592"/>
      <c r="AA110" s="592"/>
      <c r="AB110" s="602"/>
      <c r="AC110" s="602"/>
      <c r="AD110" s="602"/>
      <c r="AE110" s="602"/>
      <c r="AF110" s="602"/>
      <c r="AG110" s="602"/>
      <c r="AH110" s="602"/>
      <c r="AI110" s="602"/>
      <c r="AJ110" s="592"/>
      <c r="AK110" s="592"/>
      <c r="AL110" s="592"/>
      <c r="AM110" s="592"/>
      <c r="AN110" s="592"/>
    </row>
    <row r="111" spans="3:40" hidden="1" x14ac:dyDescent="0.25">
      <c r="C111" s="592"/>
      <c r="D111" s="592"/>
      <c r="E111" s="592"/>
      <c r="F111" s="592"/>
      <c r="G111" s="612" t="s">
        <v>225</v>
      </c>
      <c r="H111" s="613"/>
      <c r="I111" s="613"/>
      <c r="J111" s="613"/>
      <c r="K111" s="613"/>
      <c r="L111" s="613"/>
      <c r="M111" s="634"/>
      <c r="N111" s="592"/>
      <c r="O111" s="592"/>
      <c r="P111" s="592"/>
      <c r="Q111" s="592"/>
      <c r="R111" s="592"/>
      <c r="S111" s="592"/>
      <c r="T111" s="592"/>
      <c r="U111" s="592"/>
      <c r="V111" s="592"/>
      <c r="W111" s="592"/>
      <c r="X111" s="592"/>
      <c r="Y111" s="592"/>
      <c r="Z111" s="592"/>
      <c r="AA111" s="592"/>
      <c r="AB111" s="602"/>
      <c r="AC111" s="602"/>
      <c r="AD111" s="602"/>
      <c r="AE111" s="602"/>
      <c r="AF111" s="602"/>
      <c r="AG111" s="602"/>
      <c r="AH111" s="602"/>
      <c r="AI111" s="602"/>
      <c r="AJ111" s="592"/>
      <c r="AK111" s="592"/>
      <c r="AL111" s="592"/>
      <c r="AM111" s="592"/>
      <c r="AN111" s="592"/>
    </row>
    <row r="112" spans="3:40" hidden="1" x14ac:dyDescent="0.25">
      <c r="C112" s="592"/>
      <c r="D112" s="592"/>
      <c r="E112" s="592"/>
      <c r="F112" s="592"/>
      <c r="G112" s="610" t="s">
        <v>224</v>
      </c>
      <c r="H112" s="611"/>
      <c r="I112" s="611"/>
      <c r="J112" s="611"/>
      <c r="K112" s="611"/>
      <c r="L112" s="611"/>
      <c r="M112" s="633"/>
      <c r="N112" s="592"/>
      <c r="O112" s="592"/>
      <c r="P112" s="592"/>
      <c r="Q112" s="592"/>
      <c r="R112" s="592"/>
      <c r="S112" s="592"/>
      <c r="T112" s="592"/>
      <c r="U112" s="592"/>
      <c r="V112" s="592"/>
      <c r="W112" s="592"/>
      <c r="X112" s="592"/>
      <c r="Y112" s="592"/>
      <c r="Z112" s="592"/>
      <c r="AA112" s="592"/>
      <c r="AB112" s="602"/>
      <c r="AC112" s="602"/>
      <c r="AD112" s="602"/>
      <c r="AE112" s="602"/>
      <c r="AF112" s="602"/>
      <c r="AG112" s="602"/>
      <c r="AH112" s="602"/>
      <c r="AI112" s="602"/>
      <c r="AJ112" s="592"/>
      <c r="AK112" s="592"/>
      <c r="AL112" s="592"/>
      <c r="AM112" s="592"/>
      <c r="AN112" s="592"/>
    </row>
    <row r="113" spans="3:40" hidden="1" x14ac:dyDescent="0.25">
      <c r="C113" s="592"/>
      <c r="D113" s="592"/>
      <c r="E113" s="592"/>
      <c r="F113" s="592"/>
      <c r="G113" s="612" t="s">
        <v>225</v>
      </c>
      <c r="H113" s="613"/>
      <c r="I113" s="613"/>
      <c r="J113" s="613"/>
      <c r="K113" s="613"/>
      <c r="L113" s="613"/>
      <c r="M113" s="634"/>
      <c r="N113" s="592"/>
      <c r="O113" s="592"/>
      <c r="P113" s="592"/>
      <c r="Q113" s="592"/>
      <c r="R113" s="592"/>
      <c r="S113" s="592"/>
      <c r="T113" s="592"/>
      <c r="U113" s="592"/>
      <c r="V113" s="592"/>
      <c r="W113" s="592"/>
      <c r="X113" s="592"/>
      <c r="Y113" s="592"/>
      <c r="Z113" s="592"/>
      <c r="AA113" s="592"/>
      <c r="AB113" s="602"/>
      <c r="AC113" s="602"/>
      <c r="AD113" s="602"/>
      <c r="AE113" s="602"/>
      <c r="AF113" s="602"/>
      <c r="AG113" s="602"/>
      <c r="AH113" s="602"/>
      <c r="AI113" s="602"/>
      <c r="AJ113" s="592"/>
      <c r="AK113" s="592"/>
      <c r="AL113" s="592"/>
      <c r="AM113" s="592"/>
      <c r="AN113" s="592"/>
    </row>
    <row r="114" spans="3:40" hidden="1" x14ac:dyDescent="0.25">
      <c r="C114" s="592"/>
      <c r="D114" s="592"/>
      <c r="E114" s="592"/>
      <c r="F114" s="592"/>
      <c r="G114" s="610" t="s">
        <v>224</v>
      </c>
      <c r="H114" s="611"/>
      <c r="I114" s="611"/>
      <c r="J114" s="611"/>
      <c r="K114" s="611"/>
      <c r="L114" s="611"/>
      <c r="M114" s="633"/>
      <c r="N114" s="592"/>
      <c r="O114" s="592"/>
      <c r="P114" s="592"/>
      <c r="Q114" s="592"/>
      <c r="R114" s="592"/>
      <c r="S114" s="592"/>
      <c r="T114" s="592"/>
      <c r="U114" s="592"/>
      <c r="V114" s="592"/>
      <c r="W114" s="592"/>
      <c r="X114" s="592"/>
      <c r="Y114" s="592"/>
      <c r="Z114" s="592"/>
      <c r="AA114" s="592"/>
      <c r="AB114" s="602"/>
      <c r="AC114" s="602"/>
      <c r="AD114" s="602"/>
      <c r="AE114" s="602"/>
      <c r="AF114" s="602"/>
      <c r="AG114" s="602"/>
      <c r="AH114" s="602"/>
      <c r="AI114" s="602"/>
      <c r="AJ114" s="592"/>
      <c r="AK114" s="592"/>
      <c r="AL114" s="592"/>
      <c r="AM114" s="592"/>
      <c r="AN114" s="592"/>
    </row>
    <row r="115" spans="3:40" hidden="1" x14ac:dyDescent="0.25">
      <c r="C115" s="592"/>
      <c r="D115" s="592"/>
      <c r="E115" s="592"/>
      <c r="F115" s="592"/>
      <c r="G115" s="612" t="s">
        <v>225</v>
      </c>
      <c r="H115" s="613"/>
      <c r="I115" s="613"/>
      <c r="J115" s="613"/>
      <c r="K115" s="613"/>
      <c r="L115" s="613"/>
      <c r="M115" s="634"/>
      <c r="N115" s="592"/>
      <c r="O115" s="592"/>
      <c r="P115" s="592"/>
      <c r="Q115" s="592"/>
      <c r="R115" s="592"/>
      <c r="S115" s="592"/>
      <c r="T115" s="592"/>
      <c r="U115" s="592"/>
      <c r="V115" s="592"/>
      <c r="W115" s="592"/>
      <c r="X115" s="592"/>
      <c r="Y115" s="592"/>
      <c r="Z115" s="592"/>
      <c r="AA115" s="592"/>
      <c r="AB115" s="602"/>
      <c r="AC115" s="602"/>
      <c r="AD115" s="602"/>
      <c r="AE115" s="602"/>
      <c r="AF115" s="602"/>
      <c r="AG115" s="602"/>
      <c r="AH115" s="602"/>
      <c r="AI115" s="602"/>
      <c r="AJ115" s="592"/>
      <c r="AK115" s="592"/>
      <c r="AL115" s="592"/>
      <c r="AM115" s="592"/>
      <c r="AN115" s="592"/>
    </row>
    <row r="116" spans="3:40" hidden="1" x14ac:dyDescent="0.25">
      <c r="C116" s="592"/>
      <c r="D116" s="592"/>
      <c r="E116" s="592"/>
      <c r="F116" s="592"/>
      <c r="G116" s="610" t="s">
        <v>224</v>
      </c>
      <c r="H116" s="611"/>
      <c r="I116" s="611"/>
      <c r="J116" s="611"/>
      <c r="K116" s="611"/>
      <c r="L116" s="611"/>
      <c r="M116" s="633"/>
      <c r="N116" s="592"/>
      <c r="O116" s="592"/>
      <c r="P116" s="592"/>
      <c r="Q116" s="592"/>
      <c r="R116" s="592"/>
      <c r="S116" s="592"/>
      <c r="T116" s="592"/>
      <c r="U116" s="592"/>
      <c r="V116" s="592"/>
      <c r="W116" s="592"/>
      <c r="X116" s="592"/>
      <c r="Y116" s="592"/>
      <c r="Z116" s="592"/>
      <c r="AA116" s="592"/>
      <c r="AB116" s="602"/>
      <c r="AC116" s="602"/>
      <c r="AD116" s="602"/>
      <c r="AE116" s="602"/>
      <c r="AF116" s="602"/>
      <c r="AG116" s="602"/>
      <c r="AH116" s="602"/>
      <c r="AI116" s="602"/>
      <c r="AJ116" s="592"/>
      <c r="AK116" s="592"/>
      <c r="AL116" s="592"/>
      <c r="AM116" s="592"/>
      <c r="AN116" s="592"/>
    </row>
    <row r="117" spans="3:40" hidden="1" x14ac:dyDescent="0.25">
      <c r="C117" s="592"/>
      <c r="D117" s="592"/>
      <c r="E117" s="592"/>
      <c r="F117" s="592"/>
      <c r="G117" s="612" t="s">
        <v>225</v>
      </c>
      <c r="H117" s="613"/>
      <c r="I117" s="613"/>
      <c r="J117" s="613"/>
      <c r="K117" s="613"/>
      <c r="L117" s="613"/>
      <c r="M117" s="634"/>
      <c r="N117" s="592"/>
      <c r="O117" s="592"/>
      <c r="P117" s="592"/>
      <c r="Q117" s="592"/>
      <c r="R117" s="592"/>
      <c r="S117" s="592"/>
      <c r="T117" s="592"/>
      <c r="U117" s="592"/>
      <c r="V117" s="592"/>
      <c r="W117" s="592"/>
      <c r="X117" s="592"/>
      <c r="Y117" s="592"/>
      <c r="Z117" s="592"/>
      <c r="AA117" s="592"/>
      <c r="AB117" s="602"/>
      <c r="AC117" s="602"/>
      <c r="AD117" s="602"/>
      <c r="AE117" s="602"/>
      <c r="AF117" s="602"/>
      <c r="AG117" s="602"/>
      <c r="AH117" s="602"/>
      <c r="AI117" s="602"/>
      <c r="AJ117" s="592"/>
      <c r="AK117" s="592"/>
      <c r="AL117" s="592"/>
      <c r="AM117" s="592"/>
      <c r="AN117" s="592"/>
    </row>
    <row r="118" spans="3:40" hidden="1" x14ac:dyDescent="0.25">
      <c r="C118" s="592"/>
      <c r="D118" s="592"/>
      <c r="E118" s="592"/>
      <c r="F118" s="592"/>
      <c r="G118" s="610" t="s">
        <v>224</v>
      </c>
      <c r="H118" s="611"/>
      <c r="I118" s="611"/>
      <c r="J118" s="611"/>
      <c r="K118" s="611"/>
      <c r="L118" s="611"/>
      <c r="M118" s="633"/>
      <c r="N118" s="592"/>
      <c r="O118" s="592"/>
      <c r="P118" s="592"/>
      <c r="Q118" s="592"/>
      <c r="R118" s="592"/>
      <c r="S118" s="592"/>
      <c r="T118" s="592"/>
      <c r="U118" s="592"/>
      <c r="V118" s="592"/>
      <c r="W118" s="592"/>
      <c r="X118" s="592"/>
      <c r="Y118" s="592"/>
      <c r="Z118" s="592"/>
      <c r="AA118" s="592"/>
      <c r="AB118" s="602"/>
      <c r="AC118" s="602"/>
      <c r="AD118" s="602"/>
      <c r="AE118" s="602"/>
      <c r="AF118" s="602"/>
      <c r="AG118" s="602"/>
      <c r="AH118" s="602"/>
      <c r="AI118" s="602"/>
      <c r="AJ118" s="592"/>
      <c r="AK118" s="592"/>
      <c r="AL118" s="592"/>
      <c r="AM118" s="592"/>
      <c r="AN118" s="592"/>
    </row>
    <row r="119" spans="3:40" hidden="1" x14ac:dyDescent="0.25">
      <c r="C119" s="592"/>
      <c r="D119" s="592"/>
      <c r="E119" s="592"/>
      <c r="F119" s="592"/>
      <c r="G119" s="612" t="s">
        <v>225</v>
      </c>
      <c r="H119" s="613"/>
      <c r="I119" s="613"/>
      <c r="J119" s="613"/>
      <c r="K119" s="613"/>
      <c r="L119" s="613"/>
      <c r="M119" s="634"/>
      <c r="N119" s="592"/>
      <c r="O119" s="592"/>
      <c r="P119" s="592"/>
      <c r="Q119" s="592"/>
      <c r="R119" s="592"/>
      <c r="S119" s="592"/>
      <c r="T119" s="592"/>
      <c r="U119" s="592"/>
      <c r="V119" s="592"/>
      <c r="W119" s="592"/>
      <c r="X119" s="592"/>
      <c r="Y119" s="592"/>
      <c r="Z119" s="592"/>
      <c r="AA119" s="592"/>
      <c r="AB119" s="602"/>
      <c r="AC119" s="602"/>
      <c r="AD119" s="602"/>
      <c r="AE119" s="602"/>
      <c r="AF119" s="602"/>
      <c r="AG119" s="602"/>
      <c r="AH119" s="602"/>
      <c r="AI119" s="602"/>
      <c r="AJ119" s="592"/>
      <c r="AK119" s="592"/>
      <c r="AL119" s="592"/>
      <c r="AM119" s="592"/>
      <c r="AN119" s="592"/>
    </row>
    <row r="120" spans="3:40" hidden="1" x14ac:dyDescent="0.25">
      <c r="C120" s="592"/>
      <c r="D120" s="592"/>
      <c r="E120" s="592"/>
      <c r="F120" s="592"/>
      <c r="G120" s="610" t="s">
        <v>224</v>
      </c>
      <c r="H120" s="611"/>
      <c r="I120" s="611"/>
      <c r="J120" s="611"/>
      <c r="K120" s="611"/>
      <c r="L120" s="611"/>
      <c r="M120" s="633"/>
      <c r="N120" s="592"/>
      <c r="O120" s="592"/>
      <c r="P120" s="592"/>
      <c r="Q120" s="592"/>
      <c r="R120" s="592"/>
      <c r="S120" s="592"/>
      <c r="T120" s="592"/>
      <c r="U120" s="592"/>
      <c r="V120" s="592"/>
      <c r="W120" s="592"/>
      <c r="X120" s="592"/>
      <c r="Y120" s="592"/>
      <c r="Z120" s="592"/>
      <c r="AA120" s="592"/>
      <c r="AB120" s="602"/>
      <c r="AC120" s="602"/>
      <c r="AD120" s="602"/>
      <c r="AE120" s="602"/>
      <c r="AF120" s="602"/>
      <c r="AG120" s="602"/>
      <c r="AH120" s="602"/>
      <c r="AI120" s="602"/>
      <c r="AJ120" s="592"/>
      <c r="AK120" s="592"/>
      <c r="AL120" s="592"/>
      <c r="AM120" s="592"/>
      <c r="AN120" s="592"/>
    </row>
    <row r="121" spans="3:40" hidden="1" x14ac:dyDescent="0.25">
      <c r="C121" s="592"/>
      <c r="D121" s="592"/>
      <c r="E121" s="592"/>
      <c r="F121" s="592"/>
      <c r="G121" s="612" t="s">
        <v>225</v>
      </c>
      <c r="H121" s="613"/>
      <c r="I121" s="613"/>
      <c r="J121" s="613"/>
      <c r="K121" s="613"/>
      <c r="L121" s="613"/>
      <c r="M121" s="634"/>
      <c r="N121" s="592"/>
      <c r="O121" s="592"/>
      <c r="P121" s="592"/>
      <c r="Q121" s="592"/>
      <c r="R121" s="592"/>
      <c r="S121" s="592"/>
      <c r="T121" s="592"/>
      <c r="U121" s="592"/>
      <c r="V121" s="592"/>
      <c r="W121" s="592"/>
      <c r="X121" s="592"/>
      <c r="Y121" s="592"/>
      <c r="Z121" s="592"/>
      <c r="AA121" s="592"/>
      <c r="AB121" s="602"/>
      <c r="AC121" s="602"/>
      <c r="AD121" s="602"/>
      <c r="AE121" s="602"/>
      <c r="AF121" s="602"/>
      <c r="AG121" s="602"/>
      <c r="AH121" s="602"/>
      <c r="AI121" s="602"/>
      <c r="AJ121" s="592"/>
      <c r="AK121" s="592"/>
      <c r="AL121" s="592"/>
      <c r="AM121" s="592"/>
      <c r="AN121" s="592"/>
    </row>
    <row r="122" spans="3:40" x14ac:dyDescent="0.25">
      <c r="C122" s="601" t="s">
        <v>260</v>
      </c>
      <c r="D122" s="601"/>
      <c r="E122" s="601"/>
      <c r="F122" s="601"/>
      <c r="G122" s="601"/>
      <c r="H122" s="601"/>
      <c r="I122" s="601"/>
      <c r="J122" s="601"/>
      <c r="K122" s="601"/>
      <c r="L122" s="601"/>
      <c r="M122" s="601"/>
      <c r="N122" s="601"/>
      <c r="O122" s="601"/>
      <c r="P122" s="601"/>
      <c r="Q122" s="601"/>
      <c r="R122" s="601"/>
      <c r="S122" s="601"/>
      <c r="T122" s="601"/>
      <c r="U122" s="601"/>
      <c r="V122" s="601"/>
      <c r="W122" s="601"/>
      <c r="X122" s="601"/>
      <c r="Y122" s="601"/>
      <c r="Z122" s="601"/>
      <c r="AA122" s="601"/>
      <c r="AB122" s="692">
        <f>SUM(AB106:AI121)</f>
        <v>50000000</v>
      </c>
      <c r="AC122" s="592"/>
      <c r="AD122" s="592"/>
      <c r="AE122" s="592"/>
      <c r="AF122" s="592"/>
      <c r="AG122" s="592"/>
      <c r="AH122" s="592"/>
      <c r="AI122" s="592"/>
      <c r="AJ122" s="601"/>
      <c r="AK122" s="601"/>
      <c r="AL122" s="601"/>
      <c r="AM122" s="601"/>
      <c r="AN122" s="601"/>
    </row>
    <row r="123" spans="3:40" x14ac:dyDescent="0.25">
      <c r="C123" s="155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3" t="s">
        <v>612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57"/>
    </row>
    <row r="124" spans="3:40" ht="5.0999999999999996" customHeight="1" x14ac:dyDescent="0.25">
      <c r="C124" s="158"/>
      <c r="D124" s="159"/>
      <c r="E124" s="159"/>
      <c r="F124" s="159"/>
      <c r="G124" s="159"/>
      <c r="H124" s="159"/>
      <c r="I124" s="159"/>
      <c r="J124" s="159"/>
      <c r="K124" s="159"/>
      <c r="L124" s="159"/>
      <c r="M124" s="159"/>
      <c r="N124" s="159"/>
      <c r="O124" s="159"/>
      <c r="P124" s="159"/>
      <c r="Q124" s="159"/>
      <c r="R124" s="159"/>
      <c r="S124" s="159"/>
      <c r="T124" s="159"/>
      <c r="U124" s="159"/>
      <c r="V124" s="159"/>
      <c r="W124" s="159"/>
      <c r="X124" s="159"/>
      <c r="Y124" s="159"/>
      <c r="Z124" s="159"/>
      <c r="AA124" s="159"/>
      <c r="AB124" s="159"/>
      <c r="AC124" s="159"/>
      <c r="AD124" s="159"/>
      <c r="AE124" s="159"/>
      <c r="AF124" s="159"/>
      <c r="AG124" s="159"/>
      <c r="AH124" s="159"/>
      <c r="AI124" s="159"/>
      <c r="AJ124" s="159"/>
      <c r="AK124" s="159"/>
      <c r="AL124" s="159"/>
      <c r="AM124" s="159"/>
      <c r="AN124" s="160"/>
    </row>
  </sheetData>
  <mergeCells count="377">
    <mergeCell ref="AJ118:AN119"/>
    <mergeCell ref="AJ120:AN121"/>
    <mergeCell ref="C122:AA122"/>
    <mergeCell ref="AB122:AI122"/>
    <mergeCell ref="AJ122:AN122"/>
    <mergeCell ref="AB118:AI119"/>
    <mergeCell ref="AB120:AI121"/>
    <mergeCell ref="AJ102:AN104"/>
    <mergeCell ref="AJ105:AN105"/>
    <mergeCell ref="AJ106:AN107"/>
    <mergeCell ref="AJ108:AN109"/>
    <mergeCell ref="AJ110:AN111"/>
    <mergeCell ref="AJ112:AN113"/>
    <mergeCell ref="AJ114:AN115"/>
    <mergeCell ref="AJ116:AN117"/>
    <mergeCell ref="V118:AA119"/>
    <mergeCell ref="V120:AA121"/>
    <mergeCell ref="AB102:AI104"/>
    <mergeCell ref="AB105:AI105"/>
    <mergeCell ref="AB106:AI107"/>
    <mergeCell ref="AB108:AI109"/>
    <mergeCell ref="AB110:AI111"/>
    <mergeCell ref="AB112:AI113"/>
    <mergeCell ref="AB114:AI115"/>
    <mergeCell ref="AB116:AI117"/>
    <mergeCell ref="N118:U119"/>
    <mergeCell ref="N120:U121"/>
    <mergeCell ref="V102:AA104"/>
    <mergeCell ref="V105:AA105"/>
    <mergeCell ref="V106:AA107"/>
    <mergeCell ref="V108:AA109"/>
    <mergeCell ref="V110:AA111"/>
    <mergeCell ref="V112:AA113"/>
    <mergeCell ref="V114:AA115"/>
    <mergeCell ref="V116:AA117"/>
    <mergeCell ref="N106:U107"/>
    <mergeCell ref="N108:U109"/>
    <mergeCell ref="N110:U111"/>
    <mergeCell ref="N112:U113"/>
    <mergeCell ref="N114:U115"/>
    <mergeCell ref="N116:U117"/>
    <mergeCell ref="G116:M116"/>
    <mergeCell ref="G117:M117"/>
    <mergeCell ref="G118:M118"/>
    <mergeCell ref="G119:M119"/>
    <mergeCell ref="G120:M120"/>
    <mergeCell ref="G121:M121"/>
    <mergeCell ref="G110:M110"/>
    <mergeCell ref="G111:M111"/>
    <mergeCell ref="G112:M112"/>
    <mergeCell ref="G113:M113"/>
    <mergeCell ref="G114:M114"/>
    <mergeCell ref="G115:M115"/>
    <mergeCell ref="C112:D113"/>
    <mergeCell ref="C114:D115"/>
    <mergeCell ref="C116:D117"/>
    <mergeCell ref="C118:D119"/>
    <mergeCell ref="C120:D121"/>
    <mergeCell ref="E102:F104"/>
    <mergeCell ref="E105:F105"/>
    <mergeCell ref="E106:F107"/>
    <mergeCell ref="E108:F109"/>
    <mergeCell ref="E110:F111"/>
    <mergeCell ref="E112:F113"/>
    <mergeCell ref="E114:F115"/>
    <mergeCell ref="E116:F117"/>
    <mergeCell ref="E118:F119"/>
    <mergeCell ref="E120:F121"/>
    <mergeCell ref="C106:D107"/>
    <mergeCell ref="C108:D109"/>
    <mergeCell ref="C110:D111"/>
    <mergeCell ref="V96:AN96"/>
    <mergeCell ref="C97:AN97"/>
    <mergeCell ref="C98:AN98"/>
    <mergeCell ref="C102:D104"/>
    <mergeCell ref="C105:D105"/>
    <mergeCell ref="N102:U104"/>
    <mergeCell ref="N105:U105"/>
    <mergeCell ref="AJ90:AN90"/>
    <mergeCell ref="AD90:AI90"/>
    <mergeCell ref="V90:AC90"/>
    <mergeCell ref="C94:I94"/>
    <mergeCell ref="J94:U94"/>
    <mergeCell ref="V94:AN94"/>
    <mergeCell ref="V95:AN95"/>
    <mergeCell ref="G102:M104"/>
    <mergeCell ref="G105:M105"/>
    <mergeCell ref="AJ64:AN65"/>
    <mergeCell ref="AJ66:AN67"/>
    <mergeCell ref="AJ80:AN81"/>
    <mergeCell ref="AJ82:AN83"/>
    <mergeCell ref="AJ84:AN85"/>
    <mergeCell ref="AJ86:AN87"/>
    <mergeCell ref="AJ88:AN89"/>
    <mergeCell ref="AD76:AI77"/>
    <mergeCell ref="AD78:AI79"/>
    <mergeCell ref="AD80:AI81"/>
    <mergeCell ref="AD82:AI83"/>
    <mergeCell ref="AD84:AI85"/>
    <mergeCell ref="AD86:AI87"/>
    <mergeCell ref="AJ78:AN79"/>
    <mergeCell ref="AJ76:AN77"/>
    <mergeCell ref="AJ74:AN75"/>
    <mergeCell ref="AJ72:AN73"/>
    <mergeCell ref="AJ70:AN71"/>
    <mergeCell ref="AJ68:AN69"/>
    <mergeCell ref="V86:AC87"/>
    <mergeCell ref="V88:AC89"/>
    <mergeCell ref="AD64:AI65"/>
    <mergeCell ref="AD66:AI67"/>
    <mergeCell ref="AD68:AI69"/>
    <mergeCell ref="AD70:AI71"/>
    <mergeCell ref="AD72:AI73"/>
    <mergeCell ref="AD74:AI75"/>
    <mergeCell ref="AD88:AI89"/>
    <mergeCell ref="M64:U65"/>
    <mergeCell ref="M66:U67"/>
    <mergeCell ref="M68:U69"/>
    <mergeCell ref="M70:U71"/>
    <mergeCell ref="M72:U73"/>
    <mergeCell ref="M74:U75"/>
    <mergeCell ref="M88:U89"/>
    <mergeCell ref="V64:AC65"/>
    <mergeCell ref="V66:AC67"/>
    <mergeCell ref="V68:AC69"/>
    <mergeCell ref="V70:AC71"/>
    <mergeCell ref="V72:AC73"/>
    <mergeCell ref="V74:AC75"/>
    <mergeCell ref="V76:AC77"/>
    <mergeCell ref="V78:AC79"/>
    <mergeCell ref="V80:AC81"/>
    <mergeCell ref="M76:U77"/>
    <mergeCell ref="M78:U79"/>
    <mergeCell ref="M80:U81"/>
    <mergeCell ref="M82:U83"/>
    <mergeCell ref="M84:U85"/>
    <mergeCell ref="M86:U87"/>
    <mergeCell ref="V82:AC83"/>
    <mergeCell ref="V84:AC85"/>
    <mergeCell ref="I78:L79"/>
    <mergeCell ref="I80:L81"/>
    <mergeCell ref="G72:H73"/>
    <mergeCell ref="G74:H75"/>
    <mergeCell ref="G76:H77"/>
    <mergeCell ref="G78:H79"/>
    <mergeCell ref="G80:H81"/>
    <mergeCell ref="G82:H83"/>
    <mergeCell ref="I82:L83"/>
    <mergeCell ref="V62:AC63"/>
    <mergeCell ref="C64:D65"/>
    <mergeCell ref="C66:D67"/>
    <mergeCell ref="C80:D81"/>
    <mergeCell ref="C82:D83"/>
    <mergeCell ref="C84:D85"/>
    <mergeCell ref="G64:H65"/>
    <mergeCell ref="G66:H67"/>
    <mergeCell ref="G68:H69"/>
    <mergeCell ref="G70:H71"/>
    <mergeCell ref="C68:D69"/>
    <mergeCell ref="E68:F69"/>
    <mergeCell ref="E64:F65"/>
    <mergeCell ref="E66:F67"/>
    <mergeCell ref="E80:F81"/>
    <mergeCell ref="E82:F83"/>
    <mergeCell ref="E84:F85"/>
    <mergeCell ref="I64:L65"/>
    <mergeCell ref="I66:L67"/>
    <mergeCell ref="I68:L69"/>
    <mergeCell ref="I70:L71"/>
    <mergeCell ref="I72:L73"/>
    <mergeCell ref="I74:L75"/>
    <mergeCell ref="I76:L77"/>
    <mergeCell ref="AJ62:AN63"/>
    <mergeCell ref="AD46:AI48"/>
    <mergeCell ref="V46:AC48"/>
    <mergeCell ref="AJ46:AN46"/>
    <mergeCell ref="AJ47:AN48"/>
    <mergeCell ref="I62:L63"/>
    <mergeCell ref="M46:U48"/>
    <mergeCell ref="M49:U49"/>
    <mergeCell ref="M50:U51"/>
    <mergeCell ref="M52:U53"/>
    <mergeCell ref="M54:U55"/>
    <mergeCell ref="M56:U57"/>
    <mergeCell ref="M58:U59"/>
    <mergeCell ref="M60:U61"/>
    <mergeCell ref="M62:U63"/>
    <mergeCell ref="I49:L49"/>
    <mergeCell ref="I50:L51"/>
    <mergeCell ref="I52:L53"/>
    <mergeCell ref="I54:L55"/>
    <mergeCell ref="I56:L57"/>
    <mergeCell ref="I58:L59"/>
    <mergeCell ref="AD58:AI59"/>
    <mergeCell ref="AD60:AI61"/>
    <mergeCell ref="AD62:AI63"/>
    <mergeCell ref="C62:D63"/>
    <mergeCell ref="E46:F48"/>
    <mergeCell ref="E49:F49"/>
    <mergeCell ref="E50:F51"/>
    <mergeCell ref="E52:F53"/>
    <mergeCell ref="E54:F55"/>
    <mergeCell ref="E56:F57"/>
    <mergeCell ref="E58:F59"/>
    <mergeCell ref="G49:H49"/>
    <mergeCell ref="G50:H51"/>
    <mergeCell ref="G52:H53"/>
    <mergeCell ref="G54:H55"/>
    <mergeCell ref="G56:H57"/>
    <mergeCell ref="G58:H59"/>
    <mergeCell ref="G60:H61"/>
    <mergeCell ref="G62:H63"/>
    <mergeCell ref="E62:F63"/>
    <mergeCell ref="AE28:AI29"/>
    <mergeCell ref="AE30:AI31"/>
    <mergeCell ref="AE32:AI33"/>
    <mergeCell ref="AE34:AI35"/>
    <mergeCell ref="AE36:AI37"/>
    <mergeCell ref="AE38:AI39"/>
    <mergeCell ref="T40:W41"/>
    <mergeCell ref="X28:AD29"/>
    <mergeCell ref="C49:D49"/>
    <mergeCell ref="AD49:AI49"/>
    <mergeCell ref="V49:AC49"/>
    <mergeCell ref="X30:AD31"/>
    <mergeCell ref="X32:AD33"/>
    <mergeCell ref="X34:AD35"/>
    <mergeCell ref="X36:AD37"/>
    <mergeCell ref="X38:AD39"/>
    <mergeCell ref="X40:AD41"/>
    <mergeCell ref="T28:W29"/>
    <mergeCell ref="T30:W31"/>
    <mergeCell ref="T32:W33"/>
    <mergeCell ref="T34:W35"/>
    <mergeCell ref="T36:W37"/>
    <mergeCell ref="T38:W39"/>
    <mergeCell ref="P28:S29"/>
    <mergeCell ref="P30:S31"/>
    <mergeCell ref="P32:S33"/>
    <mergeCell ref="P34:S35"/>
    <mergeCell ref="P36:S37"/>
    <mergeCell ref="P38:S39"/>
    <mergeCell ref="P40:S41"/>
    <mergeCell ref="M28:O29"/>
    <mergeCell ref="M30:O31"/>
    <mergeCell ref="M32:O33"/>
    <mergeCell ref="M34:O35"/>
    <mergeCell ref="M36:O37"/>
    <mergeCell ref="M38:O39"/>
    <mergeCell ref="E28:F29"/>
    <mergeCell ref="E30:F31"/>
    <mergeCell ref="E32:F33"/>
    <mergeCell ref="E34:F35"/>
    <mergeCell ref="E36:F37"/>
    <mergeCell ref="I36:L36"/>
    <mergeCell ref="I37:L37"/>
    <mergeCell ref="I38:L38"/>
    <mergeCell ref="I39:L39"/>
    <mergeCell ref="G28:H29"/>
    <mergeCell ref="G30:H31"/>
    <mergeCell ref="G32:H33"/>
    <mergeCell ref="G34:H35"/>
    <mergeCell ref="G36:H37"/>
    <mergeCell ref="G38:H39"/>
    <mergeCell ref="I28:L28"/>
    <mergeCell ref="I29:L29"/>
    <mergeCell ref="I30:L30"/>
    <mergeCell ref="I31:L31"/>
    <mergeCell ref="I32:L32"/>
    <mergeCell ref="I33:L33"/>
    <mergeCell ref="I34:L34"/>
    <mergeCell ref="I35:L35"/>
    <mergeCell ref="X24:AD26"/>
    <mergeCell ref="AE24:AI26"/>
    <mergeCell ref="E27:F27"/>
    <mergeCell ref="G27:H27"/>
    <mergeCell ref="I27:L27"/>
    <mergeCell ref="M27:O27"/>
    <mergeCell ref="P27:S27"/>
    <mergeCell ref="T27:W27"/>
    <mergeCell ref="X27:AD27"/>
    <mergeCell ref="AE27:AI27"/>
    <mergeCell ref="C78:D79"/>
    <mergeCell ref="E78:F79"/>
    <mergeCell ref="C76:D77"/>
    <mergeCell ref="E76:F77"/>
    <mergeCell ref="C74:D75"/>
    <mergeCell ref="E74:F75"/>
    <mergeCell ref="C72:D73"/>
    <mergeCell ref="E72:F73"/>
    <mergeCell ref="C70:D71"/>
    <mergeCell ref="E70:F71"/>
    <mergeCell ref="G109:M109"/>
    <mergeCell ref="C95:I95"/>
    <mergeCell ref="J95:U95"/>
    <mergeCell ref="C96:I96"/>
    <mergeCell ref="C86:D87"/>
    <mergeCell ref="G84:H85"/>
    <mergeCell ref="G86:H87"/>
    <mergeCell ref="C88:D89"/>
    <mergeCell ref="E86:F87"/>
    <mergeCell ref="E88:F89"/>
    <mergeCell ref="C90:U90"/>
    <mergeCell ref="G88:H89"/>
    <mergeCell ref="I84:L85"/>
    <mergeCell ref="I86:L87"/>
    <mergeCell ref="I88:L89"/>
    <mergeCell ref="J96:U96"/>
    <mergeCell ref="G106:M106"/>
    <mergeCell ref="G107:M107"/>
    <mergeCell ref="G108:M108"/>
    <mergeCell ref="AJ58:AN59"/>
    <mergeCell ref="E60:F61"/>
    <mergeCell ref="I60:L61"/>
    <mergeCell ref="V60:AC61"/>
    <mergeCell ref="AD56:AI57"/>
    <mergeCell ref="AJ56:AN57"/>
    <mergeCell ref="C58:D59"/>
    <mergeCell ref="C56:D57"/>
    <mergeCell ref="AJ52:AN53"/>
    <mergeCell ref="C54:D55"/>
    <mergeCell ref="AD54:AI55"/>
    <mergeCell ref="AJ54:AN55"/>
    <mergeCell ref="C60:D61"/>
    <mergeCell ref="AJ60:AN61"/>
    <mergeCell ref="V52:AC53"/>
    <mergeCell ref="V54:AC55"/>
    <mergeCell ref="V56:AC57"/>
    <mergeCell ref="V58:AC59"/>
    <mergeCell ref="AJ50:AN51"/>
    <mergeCell ref="C52:D53"/>
    <mergeCell ref="AD52:AI53"/>
    <mergeCell ref="C50:D51"/>
    <mergeCell ref="C46:D48"/>
    <mergeCell ref="G46:H48"/>
    <mergeCell ref="I46:L48"/>
    <mergeCell ref="AJ38:AN39"/>
    <mergeCell ref="E38:F39"/>
    <mergeCell ref="E40:F41"/>
    <mergeCell ref="G40:H41"/>
    <mergeCell ref="C40:D41"/>
    <mergeCell ref="M40:O41"/>
    <mergeCell ref="I40:L40"/>
    <mergeCell ref="I41:L41"/>
    <mergeCell ref="C42:W42"/>
    <mergeCell ref="X42:AD42"/>
    <mergeCell ref="AE42:AI42"/>
    <mergeCell ref="AJ42:AN42"/>
    <mergeCell ref="AE40:AI41"/>
    <mergeCell ref="AJ40:AN41"/>
    <mergeCell ref="AJ49:AN49"/>
    <mergeCell ref="V50:AC51"/>
    <mergeCell ref="AD50:AI51"/>
    <mergeCell ref="AJ27:AN27"/>
    <mergeCell ref="C28:D29"/>
    <mergeCell ref="AJ24:AN24"/>
    <mergeCell ref="AJ25:AN26"/>
    <mergeCell ref="C27:D27"/>
    <mergeCell ref="AG5:AM9"/>
    <mergeCell ref="AG10:AM13"/>
    <mergeCell ref="AJ36:AN37"/>
    <mergeCell ref="C38:D39"/>
    <mergeCell ref="C36:D37"/>
    <mergeCell ref="AJ32:AN33"/>
    <mergeCell ref="C34:D35"/>
    <mergeCell ref="AJ34:AN35"/>
    <mergeCell ref="AJ30:AN31"/>
    <mergeCell ref="C32:D33"/>
    <mergeCell ref="AJ28:AN29"/>
    <mergeCell ref="C30:D31"/>
    <mergeCell ref="C24:D26"/>
    <mergeCell ref="E24:F26"/>
    <mergeCell ref="G24:H26"/>
    <mergeCell ref="I24:L26"/>
    <mergeCell ref="M24:O26"/>
    <mergeCell ref="P24:S26"/>
    <mergeCell ref="T24:W26"/>
  </mergeCells>
  <pageMargins left="0.25" right="0.25" top="0.75" bottom="0.75" header="0.3" footer="0.3"/>
  <pageSetup paperSize="9" scale="28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B5ED6-301B-4DF0-ACDD-6FF950B6207F}">
  <dimension ref="B4:BB101"/>
  <sheetViews>
    <sheetView showGridLines="0" topLeftCell="C48" zoomScale="85" zoomScaleNormal="85" workbookViewId="0">
      <selection activeCell="E77" sqref="E77:J77"/>
    </sheetView>
  </sheetViews>
  <sheetFormatPr defaultRowHeight="15" x14ac:dyDescent="0.25"/>
  <cols>
    <col min="2" max="2" width="8.7109375" hidden="1" customWidth="1"/>
    <col min="3" max="3" width="4.28515625" customWidth="1"/>
    <col min="7" max="7" width="10.7109375" customWidth="1"/>
    <col min="9" max="9" width="7" customWidth="1"/>
    <col min="10" max="10" width="5.28515625" customWidth="1"/>
    <col min="11" max="11" width="7" customWidth="1"/>
    <col min="12" max="12" width="6.5703125" customWidth="1"/>
    <col min="13" max="13" width="8" customWidth="1"/>
    <col min="14" max="14" width="4.28515625" customWidth="1"/>
    <col min="15" max="15" width="4.5703125" customWidth="1"/>
    <col min="16" max="32" width="4.28515625" customWidth="1"/>
    <col min="35" max="35" width="0.7109375" customWidth="1"/>
    <col min="36" max="39" width="4.28515625" customWidth="1"/>
  </cols>
  <sheetData>
    <row r="4" spans="3:40" x14ac:dyDescent="0.25">
      <c r="C4" s="165"/>
      <c r="D4" s="166"/>
      <c r="E4" s="166"/>
      <c r="F4" s="166"/>
      <c r="G4" s="166"/>
      <c r="H4" s="166"/>
      <c r="I4" s="166"/>
      <c r="J4" s="166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8"/>
    </row>
    <row r="5" spans="3:40" ht="15.75" x14ac:dyDescent="0.25">
      <c r="C5" s="169"/>
      <c r="D5" s="170" t="s">
        <v>202</v>
      </c>
      <c r="E5" s="14"/>
      <c r="F5" s="14"/>
      <c r="G5" s="14"/>
      <c r="H5" s="14"/>
      <c r="I5" s="14"/>
      <c r="J5" s="14"/>
      <c r="K5" s="163"/>
      <c r="L5" s="171" t="s">
        <v>28</v>
      </c>
      <c r="M5" s="172" t="s">
        <v>206</v>
      </c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  <c r="AB5" s="163"/>
      <c r="AC5" s="163"/>
      <c r="AD5" s="163"/>
      <c r="AE5" s="163"/>
      <c r="AF5" s="163"/>
      <c r="AG5" s="569" t="s">
        <v>210</v>
      </c>
      <c r="AH5" s="569"/>
      <c r="AI5" s="569"/>
      <c r="AJ5" s="569"/>
      <c r="AK5" s="569"/>
      <c r="AL5" s="569"/>
      <c r="AM5" s="569"/>
      <c r="AN5" s="173"/>
    </row>
    <row r="6" spans="3:40" ht="2.65" customHeight="1" x14ac:dyDescent="0.25">
      <c r="C6" s="169"/>
      <c r="D6" s="14"/>
      <c r="E6" s="14"/>
      <c r="F6" s="14"/>
      <c r="G6" s="14"/>
      <c r="H6" s="14"/>
      <c r="I6" s="14"/>
      <c r="J6" s="14"/>
      <c r="K6" s="163"/>
      <c r="L6" s="171"/>
      <c r="M6" s="172"/>
      <c r="N6" s="163"/>
      <c r="O6" s="163"/>
      <c r="P6" s="163"/>
      <c r="Q6" s="163"/>
      <c r="R6" s="163"/>
      <c r="S6" s="163"/>
      <c r="T6" s="163"/>
      <c r="U6" s="163"/>
      <c r="V6" s="163"/>
      <c r="W6" s="163"/>
      <c r="X6" s="163"/>
      <c r="Y6" s="163"/>
      <c r="Z6" s="163"/>
      <c r="AA6" s="163"/>
      <c r="AB6" s="163"/>
      <c r="AC6" s="163"/>
      <c r="AD6" s="163"/>
      <c r="AE6" s="163"/>
      <c r="AF6" s="163"/>
      <c r="AG6" s="569"/>
      <c r="AH6" s="569"/>
      <c r="AI6" s="569"/>
      <c r="AJ6" s="569"/>
      <c r="AK6" s="569"/>
      <c r="AL6" s="569"/>
      <c r="AM6" s="569"/>
      <c r="AN6" s="173"/>
    </row>
    <row r="7" spans="3:40" x14ac:dyDescent="0.25">
      <c r="C7" s="169"/>
      <c r="D7" s="174" t="s">
        <v>203</v>
      </c>
      <c r="E7" s="14"/>
      <c r="F7" s="14"/>
      <c r="G7" s="14"/>
      <c r="H7" s="14"/>
      <c r="I7" s="14"/>
      <c r="J7" s="14"/>
      <c r="K7" s="163"/>
      <c r="L7" s="171" t="s">
        <v>51</v>
      </c>
      <c r="M7" s="172" t="s">
        <v>207</v>
      </c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569"/>
      <c r="AH7" s="569"/>
      <c r="AI7" s="569"/>
      <c r="AJ7" s="569"/>
      <c r="AK7" s="569"/>
      <c r="AL7" s="569"/>
      <c r="AM7" s="569"/>
      <c r="AN7" s="173"/>
    </row>
    <row r="8" spans="3:40" ht="2.65" customHeight="1" x14ac:dyDescent="0.25">
      <c r="C8" s="169"/>
      <c r="D8" s="2"/>
      <c r="E8" s="14"/>
      <c r="F8" s="14"/>
      <c r="G8" s="14"/>
      <c r="H8" s="14"/>
      <c r="I8" s="14"/>
      <c r="J8" s="14"/>
      <c r="K8" s="163"/>
      <c r="L8" s="171"/>
      <c r="M8" s="172"/>
      <c r="N8" s="163"/>
      <c r="O8" s="163"/>
      <c r="P8" s="163"/>
      <c r="Q8" s="163"/>
      <c r="R8" s="163"/>
      <c r="S8" s="163"/>
      <c r="T8" s="163"/>
      <c r="U8" s="163"/>
      <c r="V8" s="163"/>
      <c r="W8" s="163"/>
      <c r="X8" s="163"/>
      <c r="Y8" s="163"/>
      <c r="Z8" s="163"/>
      <c r="AA8" s="163"/>
      <c r="AB8" s="163"/>
      <c r="AC8" s="163"/>
      <c r="AD8" s="163"/>
      <c r="AE8" s="163"/>
      <c r="AF8" s="163"/>
      <c r="AG8" s="569"/>
      <c r="AH8" s="569"/>
      <c r="AI8" s="569"/>
      <c r="AJ8" s="569"/>
      <c r="AK8" s="569"/>
      <c r="AL8" s="569"/>
      <c r="AM8" s="569"/>
      <c r="AN8" s="173"/>
    </row>
    <row r="9" spans="3:40" x14ac:dyDescent="0.25">
      <c r="C9" s="169"/>
      <c r="D9" s="174" t="s">
        <v>604</v>
      </c>
      <c r="E9" s="175"/>
      <c r="F9" s="175"/>
      <c r="G9" s="175"/>
      <c r="H9" s="175"/>
      <c r="I9" s="175"/>
      <c r="J9" s="14"/>
      <c r="K9" s="163"/>
      <c r="L9" s="171" t="s">
        <v>81</v>
      </c>
      <c r="M9" s="172" t="s">
        <v>208</v>
      </c>
      <c r="N9" s="163"/>
      <c r="O9" s="163"/>
      <c r="P9" s="163"/>
      <c r="Q9" s="163"/>
      <c r="R9" s="163"/>
      <c r="S9" s="163"/>
      <c r="T9" s="163"/>
      <c r="U9" s="163"/>
      <c r="V9" s="163"/>
      <c r="W9" s="163"/>
      <c r="X9" s="163"/>
      <c r="Y9" s="163"/>
      <c r="Z9" s="163"/>
      <c r="AA9" s="163"/>
      <c r="AB9" s="163"/>
      <c r="AC9" s="163"/>
      <c r="AD9" s="163"/>
      <c r="AE9" s="163"/>
      <c r="AF9" s="163"/>
      <c r="AG9" s="569"/>
      <c r="AH9" s="569"/>
      <c r="AI9" s="569"/>
      <c r="AJ9" s="569"/>
      <c r="AK9" s="569"/>
      <c r="AL9" s="569"/>
      <c r="AM9" s="569"/>
      <c r="AN9" s="173"/>
    </row>
    <row r="10" spans="3:40" ht="2.65" customHeight="1" x14ac:dyDescent="0.25">
      <c r="C10" s="169"/>
      <c r="D10" s="2"/>
      <c r="E10" s="175"/>
      <c r="F10" s="175"/>
      <c r="G10" s="175"/>
      <c r="H10" s="175"/>
      <c r="I10" s="175"/>
      <c r="J10" s="14"/>
      <c r="K10" s="163"/>
      <c r="L10" s="171"/>
      <c r="M10" s="172"/>
      <c r="N10" s="163"/>
      <c r="O10" s="163"/>
      <c r="P10" s="163"/>
      <c r="Q10" s="163"/>
      <c r="R10" s="163"/>
      <c r="S10" s="163"/>
      <c r="T10" s="163"/>
      <c r="U10" s="163"/>
      <c r="V10" s="163"/>
      <c r="W10" s="163"/>
      <c r="X10" s="163"/>
      <c r="Y10" s="163"/>
      <c r="Z10" s="163"/>
      <c r="AA10" s="163"/>
      <c r="AB10" s="163"/>
      <c r="AC10" s="163"/>
      <c r="AD10" s="163"/>
      <c r="AE10" s="163"/>
      <c r="AF10" s="163"/>
      <c r="AG10" s="570" t="s">
        <v>280</v>
      </c>
      <c r="AH10" s="570"/>
      <c r="AI10" s="570"/>
      <c r="AJ10" s="570"/>
      <c r="AK10" s="570"/>
      <c r="AL10" s="570"/>
      <c r="AM10" s="570"/>
      <c r="AN10" s="173"/>
    </row>
    <row r="11" spans="3:40" x14ac:dyDescent="0.25">
      <c r="C11" s="169"/>
      <c r="D11" s="174" t="s">
        <v>204</v>
      </c>
      <c r="E11" s="175"/>
      <c r="F11" s="175"/>
      <c r="G11" s="175"/>
      <c r="H11" s="175"/>
      <c r="I11" s="175"/>
      <c r="J11" s="14"/>
      <c r="K11" s="163"/>
      <c r="L11" s="171" t="s">
        <v>95</v>
      </c>
      <c r="M11" s="172" t="s">
        <v>209</v>
      </c>
      <c r="N11" s="163"/>
      <c r="O11" s="163"/>
      <c r="P11" s="163"/>
      <c r="Q11" s="163"/>
      <c r="R11" s="163"/>
      <c r="S11" s="163"/>
      <c r="T11" s="163"/>
      <c r="U11" s="163"/>
      <c r="V11" s="163"/>
      <c r="W11" s="163"/>
      <c r="X11" s="163"/>
      <c r="Y11" s="163"/>
      <c r="Z11" s="163"/>
      <c r="AA11" s="163"/>
      <c r="AB11" s="163"/>
      <c r="AC11" s="163"/>
      <c r="AD11" s="163"/>
      <c r="AE11" s="163"/>
      <c r="AF11" s="163"/>
      <c r="AG11" s="570"/>
      <c r="AH11" s="570"/>
      <c r="AI11" s="570"/>
      <c r="AJ11" s="570"/>
      <c r="AK11" s="570"/>
      <c r="AL11" s="570"/>
      <c r="AM11" s="570"/>
      <c r="AN11" s="173"/>
    </row>
    <row r="12" spans="3:40" ht="2.65" customHeight="1" x14ac:dyDescent="0.25">
      <c r="C12" s="169"/>
      <c r="D12" s="2"/>
      <c r="E12" s="175"/>
      <c r="F12" s="175"/>
      <c r="G12" s="175"/>
      <c r="H12" s="175"/>
      <c r="I12" s="175"/>
      <c r="J12" s="14"/>
      <c r="K12" s="163"/>
      <c r="L12" s="171"/>
      <c r="M12" s="172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  <c r="AA12" s="163"/>
      <c r="AB12" s="163"/>
      <c r="AC12" s="163"/>
      <c r="AD12" s="163"/>
      <c r="AE12" s="163"/>
      <c r="AF12" s="163"/>
      <c r="AG12" s="570"/>
      <c r="AH12" s="570"/>
      <c r="AI12" s="570"/>
      <c r="AJ12" s="570"/>
      <c r="AK12" s="570"/>
      <c r="AL12" s="570"/>
      <c r="AM12" s="570"/>
      <c r="AN12" s="173"/>
    </row>
    <row r="13" spans="3:40" x14ac:dyDescent="0.25">
      <c r="C13" s="169"/>
      <c r="D13" s="174" t="s">
        <v>605</v>
      </c>
      <c r="E13" s="175"/>
      <c r="F13" s="175"/>
      <c r="G13" s="175"/>
      <c r="H13" s="175"/>
      <c r="I13" s="175"/>
      <c r="J13" s="14"/>
      <c r="K13" s="163"/>
      <c r="L13" s="171" t="s">
        <v>119</v>
      </c>
      <c r="M13" s="172" t="s">
        <v>615</v>
      </c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  <c r="AA13" s="163"/>
      <c r="AB13" s="163"/>
      <c r="AC13" s="163"/>
      <c r="AD13" s="163"/>
      <c r="AE13" s="163"/>
      <c r="AF13" s="163"/>
      <c r="AG13" s="570"/>
      <c r="AH13" s="570"/>
      <c r="AI13" s="570"/>
      <c r="AJ13" s="570"/>
      <c r="AK13" s="570"/>
      <c r="AL13" s="570"/>
      <c r="AM13" s="570"/>
      <c r="AN13" s="173"/>
    </row>
    <row r="14" spans="3:40" ht="2.65" customHeight="1" x14ac:dyDescent="0.25">
      <c r="C14" s="169"/>
      <c r="D14" s="2"/>
      <c r="E14" s="175"/>
      <c r="F14" s="175"/>
      <c r="G14" s="175"/>
      <c r="H14" s="175"/>
      <c r="I14" s="175"/>
      <c r="J14" s="14"/>
      <c r="K14" s="163"/>
      <c r="L14" s="176"/>
      <c r="M14" s="176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163"/>
      <c r="Z14" s="163"/>
      <c r="AA14" s="163"/>
      <c r="AB14" s="163"/>
      <c r="AC14" s="163"/>
      <c r="AD14" s="163"/>
      <c r="AE14" s="163"/>
      <c r="AF14" s="163"/>
      <c r="AG14" s="163"/>
      <c r="AH14" s="163"/>
      <c r="AI14" s="163"/>
      <c r="AJ14" s="163"/>
      <c r="AK14" s="163"/>
      <c r="AL14" s="163"/>
      <c r="AM14" s="163"/>
      <c r="AN14" s="173"/>
    </row>
    <row r="15" spans="3:40" x14ac:dyDescent="0.25">
      <c r="C15" s="169"/>
      <c r="D15" s="174" t="s">
        <v>606</v>
      </c>
      <c r="E15" s="14"/>
      <c r="F15" s="14"/>
      <c r="G15" s="14"/>
      <c r="H15" s="14"/>
      <c r="I15" s="14"/>
      <c r="J15" s="14"/>
      <c r="K15" s="163"/>
      <c r="L15" s="176"/>
      <c r="M15" s="176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  <c r="AA15" s="163"/>
      <c r="AB15" s="163"/>
      <c r="AC15" s="163"/>
      <c r="AD15" s="163"/>
      <c r="AE15" s="163"/>
      <c r="AF15" s="163"/>
      <c r="AG15" s="163"/>
      <c r="AH15" s="163"/>
      <c r="AI15" s="163"/>
      <c r="AJ15" s="163"/>
      <c r="AK15" s="163"/>
      <c r="AL15" s="163"/>
      <c r="AM15" s="163"/>
      <c r="AN15" s="173"/>
    </row>
    <row r="16" spans="3:40" ht="2.65" customHeight="1" x14ac:dyDescent="0.25">
      <c r="C16" s="169"/>
      <c r="D16" s="2"/>
      <c r="E16" s="14"/>
      <c r="F16" s="14"/>
      <c r="G16" s="14"/>
      <c r="H16" s="14"/>
      <c r="I16" s="14"/>
      <c r="J16" s="14"/>
      <c r="K16" s="163"/>
      <c r="L16" s="176"/>
      <c r="M16" s="176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  <c r="AA16" s="163"/>
      <c r="AB16" s="163"/>
      <c r="AC16" s="163"/>
      <c r="AD16" s="163"/>
      <c r="AE16" s="163"/>
      <c r="AF16" s="163"/>
      <c r="AG16" s="163"/>
      <c r="AH16" s="163"/>
      <c r="AI16" s="163"/>
      <c r="AJ16" s="163"/>
      <c r="AK16" s="163"/>
      <c r="AL16" s="163"/>
      <c r="AM16" s="163"/>
      <c r="AN16" s="173"/>
    </row>
    <row r="17" spans="3:54" ht="16.5" customHeight="1" x14ac:dyDescent="0.25">
      <c r="C17" s="169"/>
      <c r="D17" s="174" t="s">
        <v>205</v>
      </c>
      <c r="E17" s="14"/>
      <c r="F17" s="14"/>
      <c r="G17" s="14"/>
      <c r="H17" s="14"/>
      <c r="I17" s="14"/>
      <c r="J17" s="14"/>
      <c r="K17" s="163"/>
      <c r="L17" s="171" t="s">
        <v>36</v>
      </c>
      <c r="M17" s="176"/>
      <c r="N17" s="367">
        <f>'Lampiran 1.2'!N17</f>
        <v>3</v>
      </c>
      <c r="O17" s="367">
        <f>'Lampiran 1.2'!O17</f>
        <v>4</v>
      </c>
      <c r="P17" s="367">
        <f>'Lampiran 1.2'!P17</f>
        <v>0</v>
      </c>
      <c r="Q17" s="367">
        <f>'Lampiran 1.2'!Q17</f>
        <v>2</v>
      </c>
      <c r="R17" s="367">
        <f>'Lampiran 1.2'!R17</f>
        <v>0</v>
      </c>
      <c r="S17" s="367">
        <f>'Lampiran 1.2'!S17</f>
        <v>1</v>
      </c>
      <c r="T17" s="367">
        <f>'Lampiran 1.2'!T17</f>
        <v>1</v>
      </c>
      <c r="U17" s="367">
        <f>'Lampiran 1.2'!U17</f>
        <v>2</v>
      </c>
      <c r="V17" s="367">
        <f>'Lampiran 1.2'!V17</f>
        <v>3</v>
      </c>
      <c r="W17" s="367">
        <f>'Lampiran 1.2'!W17</f>
        <v>4</v>
      </c>
      <c r="X17" s="367">
        <f>'Lampiran 1.2'!X17</f>
        <v>5</v>
      </c>
      <c r="Y17" s="367">
        <f>'Lampiran 1.2'!Y17</f>
        <v>6</v>
      </c>
      <c r="Z17" s="367">
        <f>'Lampiran 1.2'!Z17</f>
        <v>0</v>
      </c>
      <c r="AA17" s="367">
        <f>'Lampiran 1.2'!AA17</f>
        <v>0</v>
      </c>
      <c r="AB17" s="367">
        <f>'Lampiran 1.2'!AB17</f>
        <v>0</v>
      </c>
      <c r="AC17" s="367">
        <f>'Lampiran 1.2'!AC17</f>
        <v>1</v>
      </c>
      <c r="AD17" s="367"/>
      <c r="AE17" s="366"/>
      <c r="AF17" s="366"/>
      <c r="AG17" s="411" t="s">
        <v>11</v>
      </c>
      <c r="AH17" s="412"/>
      <c r="AI17" s="366"/>
      <c r="AJ17" s="413">
        <f>'Lampiran 1.2'!AJ17</f>
        <v>2</v>
      </c>
      <c r="AK17" s="413">
        <f>'Lampiran 1.2'!AK17</f>
        <v>0</v>
      </c>
      <c r="AL17" s="413">
        <f>'Lampiran 1.2'!AL17</f>
        <v>2</v>
      </c>
      <c r="AM17" s="413">
        <f>'Lampiran 1.2'!AM17</f>
        <v>5</v>
      </c>
      <c r="AN17" s="173"/>
    </row>
    <row r="18" spans="3:54" x14ac:dyDescent="0.25">
      <c r="C18" s="169"/>
      <c r="D18" s="14"/>
      <c r="E18" s="14"/>
      <c r="F18" s="14"/>
      <c r="G18" s="14"/>
      <c r="H18" s="14"/>
      <c r="I18" s="14"/>
      <c r="J18" s="14"/>
      <c r="K18" s="163"/>
      <c r="L18" s="163"/>
      <c r="M18" s="163"/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  <c r="AA18" s="163"/>
      <c r="AB18" s="163"/>
      <c r="AC18" s="163"/>
      <c r="AD18" s="163"/>
      <c r="AE18" s="163"/>
      <c r="AF18" s="163"/>
      <c r="AG18" s="163"/>
      <c r="AH18" s="163"/>
      <c r="AI18" s="163"/>
      <c r="AJ18" s="163"/>
      <c r="AK18" s="163"/>
      <c r="AL18" s="163"/>
      <c r="AM18" s="163"/>
      <c r="AN18" s="173"/>
    </row>
    <row r="19" spans="3:54" ht="3.6" customHeight="1" x14ac:dyDescent="0.25">
      <c r="C19" s="39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  <c r="AL19" s="115"/>
      <c r="AM19" s="115"/>
      <c r="AN19" s="177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6"/>
    </row>
    <row r="20" spans="3:54" ht="18.600000000000001" customHeight="1" x14ac:dyDescent="0.25">
      <c r="C20" s="324" t="s">
        <v>81</v>
      </c>
      <c r="D20" s="279" t="s">
        <v>208</v>
      </c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178"/>
      <c r="AO20" s="153"/>
      <c r="AP20" s="153"/>
      <c r="AQ20" s="153"/>
      <c r="AR20" s="153"/>
      <c r="AS20" s="153"/>
      <c r="AT20" s="153"/>
      <c r="AU20" s="153"/>
      <c r="AV20" s="153"/>
      <c r="AW20" s="153"/>
      <c r="AX20" s="153"/>
      <c r="AY20" s="153"/>
      <c r="AZ20" s="153"/>
      <c r="BA20" s="154"/>
      <c r="BB20" s="154"/>
    </row>
    <row r="21" spans="3:54" ht="3" customHeight="1" x14ac:dyDescent="0.25">
      <c r="C21" s="53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179"/>
      <c r="AO21" s="153"/>
      <c r="AP21" s="153"/>
      <c r="AQ21" s="153"/>
      <c r="AR21" s="153"/>
      <c r="AS21" s="153"/>
      <c r="AT21" s="153"/>
      <c r="AU21" s="153"/>
      <c r="AV21" s="153"/>
      <c r="AW21" s="153"/>
      <c r="AX21" s="153"/>
      <c r="AY21" s="153"/>
      <c r="AZ21" s="153"/>
      <c r="BA21" s="153"/>
      <c r="BB21" s="154"/>
    </row>
    <row r="22" spans="3:54" x14ac:dyDescent="0.25">
      <c r="C22" s="691" t="s">
        <v>7</v>
      </c>
      <c r="D22" s="691"/>
      <c r="E22" s="691"/>
      <c r="F22" s="691"/>
      <c r="G22" s="691" t="s">
        <v>238</v>
      </c>
      <c r="H22" s="691"/>
      <c r="I22" s="691"/>
      <c r="J22" s="691"/>
      <c r="K22" s="691"/>
      <c r="L22" s="691" t="s">
        <v>261</v>
      </c>
      <c r="M22" s="691"/>
      <c r="N22" s="691"/>
      <c r="O22" s="691"/>
      <c r="P22" s="691"/>
      <c r="Q22" s="691"/>
      <c r="R22" s="691"/>
      <c r="S22" s="691"/>
      <c r="T22" s="691"/>
      <c r="U22" s="691"/>
      <c r="V22" s="691" t="s">
        <v>262</v>
      </c>
      <c r="W22" s="691"/>
      <c r="X22" s="691"/>
      <c r="Y22" s="691"/>
      <c r="Z22" s="691"/>
      <c r="AA22" s="691"/>
      <c r="AB22" s="691"/>
      <c r="AC22" s="691"/>
      <c r="AD22" s="691"/>
      <c r="AE22" s="691"/>
      <c r="AF22" s="691"/>
      <c r="AG22" s="691"/>
      <c r="AH22" s="691" t="s">
        <v>22</v>
      </c>
      <c r="AI22" s="691"/>
      <c r="AJ22" s="691"/>
      <c r="AK22" s="691"/>
      <c r="AL22" s="691"/>
      <c r="AM22" s="691"/>
      <c r="AN22" s="691"/>
    </row>
    <row r="23" spans="3:54" x14ac:dyDescent="0.25">
      <c r="C23" s="691"/>
      <c r="D23" s="691"/>
      <c r="E23" s="691"/>
      <c r="F23" s="691"/>
      <c r="G23" s="691"/>
      <c r="H23" s="691"/>
      <c r="I23" s="691"/>
      <c r="J23" s="691"/>
      <c r="K23" s="691"/>
      <c r="L23" s="691"/>
      <c r="M23" s="691"/>
      <c r="N23" s="691"/>
      <c r="O23" s="691"/>
      <c r="P23" s="691"/>
      <c r="Q23" s="691"/>
      <c r="R23" s="691"/>
      <c r="S23" s="691"/>
      <c r="T23" s="691"/>
      <c r="U23" s="691"/>
      <c r="V23" s="691"/>
      <c r="W23" s="691"/>
      <c r="X23" s="691"/>
      <c r="Y23" s="691"/>
      <c r="Z23" s="691"/>
      <c r="AA23" s="691"/>
      <c r="AB23" s="691"/>
      <c r="AC23" s="691"/>
      <c r="AD23" s="691"/>
      <c r="AE23" s="691"/>
      <c r="AF23" s="691"/>
      <c r="AG23" s="691"/>
      <c r="AH23" s="691"/>
      <c r="AI23" s="691"/>
      <c r="AJ23" s="691"/>
      <c r="AK23" s="691"/>
      <c r="AL23" s="691"/>
      <c r="AM23" s="691"/>
      <c r="AN23" s="691"/>
    </row>
    <row r="24" spans="3:54" x14ac:dyDescent="0.25">
      <c r="C24" s="691"/>
      <c r="D24" s="691"/>
      <c r="E24" s="691"/>
      <c r="F24" s="691"/>
      <c r="G24" s="691"/>
      <c r="H24" s="691"/>
      <c r="I24" s="691"/>
      <c r="J24" s="691"/>
      <c r="K24" s="691"/>
      <c r="L24" s="691"/>
      <c r="M24" s="691"/>
      <c r="N24" s="691"/>
      <c r="O24" s="691"/>
      <c r="P24" s="691"/>
      <c r="Q24" s="691"/>
      <c r="R24" s="691"/>
      <c r="S24" s="691"/>
      <c r="T24" s="691"/>
      <c r="U24" s="691"/>
      <c r="V24" s="691"/>
      <c r="W24" s="691"/>
      <c r="X24" s="691"/>
      <c r="Y24" s="691"/>
      <c r="Z24" s="691"/>
      <c r="AA24" s="691"/>
      <c r="AB24" s="691"/>
      <c r="AC24" s="691"/>
      <c r="AD24" s="691"/>
      <c r="AE24" s="691"/>
      <c r="AF24" s="691"/>
      <c r="AG24" s="691"/>
      <c r="AH24" s="691"/>
      <c r="AI24" s="691"/>
      <c r="AJ24" s="691"/>
      <c r="AK24" s="691"/>
      <c r="AL24" s="691"/>
      <c r="AM24" s="691"/>
      <c r="AN24" s="691"/>
    </row>
    <row r="25" spans="3:54" x14ac:dyDescent="0.25">
      <c r="C25" s="606" t="s">
        <v>213</v>
      </c>
      <c r="D25" s="592"/>
      <c r="E25" s="592"/>
      <c r="F25" s="592"/>
      <c r="G25" s="606" t="s">
        <v>214</v>
      </c>
      <c r="H25" s="592"/>
      <c r="I25" s="592"/>
      <c r="J25" s="592"/>
      <c r="K25" s="592"/>
      <c r="L25" s="606" t="s">
        <v>215</v>
      </c>
      <c r="M25" s="592"/>
      <c r="N25" s="592"/>
      <c r="O25" s="592"/>
      <c r="P25" s="592"/>
      <c r="Q25" s="592"/>
      <c r="R25" s="592"/>
      <c r="S25" s="592"/>
      <c r="T25" s="592"/>
      <c r="U25" s="592"/>
      <c r="V25" s="606" t="s">
        <v>216</v>
      </c>
      <c r="W25" s="592"/>
      <c r="X25" s="592"/>
      <c r="Y25" s="592"/>
      <c r="Z25" s="592"/>
      <c r="AA25" s="592"/>
      <c r="AB25" s="592"/>
      <c r="AC25" s="592"/>
      <c r="AD25" s="592"/>
      <c r="AE25" s="592"/>
      <c r="AF25" s="592"/>
      <c r="AG25" s="592"/>
      <c r="AH25" s="606" t="s">
        <v>217</v>
      </c>
      <c r="AI25" s="592"/>
      <c r="AJ25" s="592"/>
      <c r="AK25" s="592"/>
      <c r="AL25" s="592"/>
      <c r="AM25" s="592"/>
      <c r="AN25" s="592"/>
    </row>
    <row r="26" spans="3:54" x14ac:dyDescent="0.25">
      <c r="C26" s="604" t="s">
        <v>1243</v>
      </c>
      <c r="D26" s="604"/>
      <c r="E26" s="604"/>
      <c r="F26" s="604"/>
      <c r="G26" s="603" t="s">
        <v>1174</v>
      </c>
      <c r="H26" s="604"/>
      <c r="I26" s="604"/>
      <c r="J26" s="604"/>
      <c r="K26" s="604"/>
      <c r="L26" s="709" t="s">
        <v>1175</v>
      </c>
      <c r="M26" s="604"/>
      <c r="N26" s="604"/>
      <c r="O26" s="604"/>
      <c r="P26" s="604"/>
      <c r="Q26" s="604"/>
      <c r="R26" s="604"/>
      <c r="S26" s="604"/>
      <c r="T26" s="604"/>
      <c r="U26" s="604"/>
      <c r="V26" s="604" t="s">
        <v>1176</v>
      </c>
      <c r="W26" s="604"/>
      <c r="X26" s="604"/>
      <c r="Y26" s="604"/>
      <c r="Z26" s="604"/>
      <c r="AA26" s="604"/>
      <c r="AB26" s="604"/>
      <c r="AC26" s="604"/>
      <c r="AD26" s="604"/>
      <c r="AE26" s="604"/>
      <c r="AF26" s="604"/>
      <c r="AG26" s="604"/>
      <c r="AH26" s="604" t="s">
        <v>1177</v>
      </c>
      <c r="AI26" s="604"/>
      <c r="AJ26" s="604"/>
      <c r="AK26" s="604"/>
      <c r="AL26" s="604"/>
      <c r="AM26" s="604"/>
      <c r="AN26" s="604"/>
    </row>
    <row r="27" spans="3:54" x14ac:dyDescent="0.25">
      <c r="C27" s="604"/>
      <c r="D27" s="604"/>
      <c r="E27" s="604"/>
      <c r="F27" s="604"/>
      <c r="G27" s="604"/>
      <c r="H27" s="604"/>
      <c r="I27" s="604"/>
      <c r="J27" s="604"/>
      <c r="K27" s="604"/>
      <c r="L27" s="604"/>
      <c r="M27" s="604"/>
      <c r="N27" s="604"/>
      <c r="O27" s="604"/>
      <c r="P27" s="604"/>
      <c r="Q27" s="604"/>
      <c r="R27" s="604"/>
      <c r="S27" s="604"/>
      <c r="T27" s="604"/>
      <c r="U27" s="604"/>
      <c r="V27" s="604"/>
      <c r="W27" s="604"/>
      <c r="X27" s="604"/>
      <c r="Y27" s="604"/>
      <c r="Z27" s="604"/>
      <c r="AA27" s="604"/>
      <c r="AB27" s="604"/>
      <c r="AC27" s="604"/>
      <c r="AD27" s="604"/>
      <c r="AE27" s="604"/>
      <c r="AF27" s="604"/>
      <c r="AG27" s="604"/>
      <c r="AH27" s="604"/>
      <c r="AI27" s="604"/>
      <c r="AJ27" s="604"/>
      <c r="AK27" s="604"/>
      <c r="AL27" s="604"/>
      <c r="AM27" s="604"/>
      <c r="AN27" s="604"/>
    </row>
    <row r="28" spans="3:54" x14ac:dyDescent="0.25">
      <c r="C28" s="604" t="s">
        <v>1244</v>
      </c>
      <c r="D28" s="604"/>
      <c r="E28" s="604"/>
      <c r="F28" s="604"/>
      <c r="G28" s="603" t="s">
        <v>1191</v>
      </c>
      <c r="H28" s="604"/>
      <c r="I28" s="604"/>
      <c r="J28" s="604"/>
      <c r="K28" s="604"/>
      <c r="L28" s="709" t="s">
        <v>1194</v>
      </c>
      <c r="M28" s="604"/>
      <c r="N28" s="604"/>
      <c r="O28" s="604"/>
      <c r="P28" s="604"/>
      <c r="Q28" s="604"/>
      <c r="R28" s="604"/>
      <c r="S28" s="604"/>
      <c r="T28" s="604"/>
      <c r="U28" s="604"/>
      <c r="V28" s="604" t="s">
        <v>1178</v>
      </c>
      <c r="W28" s="604"/>
      <c r="X28" s="604"/>
      <c r="Y28" s="604"/>
      <c r="Z28" s="604"/>
      <c r="AA28" s="604"/>
      <c r="AB28" s="604"/>
      <c r="AC28" s="604"/>
      <c r="AD28" s="604"/>
      <c r="AE28" s="604"/>
      <c r="AF28" s="604"/>
      <c r="AG28" s="604"/>
      <c r="AH28" s="604" t="s">
        <v>1179</v>
      </c>
      <c r="AI28" s="604"/>
      <c r="AJ28" s="604"/>
      <c r="AK28" s="604"/>
      <c r="AL28" s="604"/>
      <c r="AM28" s="604"/>
      <c r="AN28" s="604"/>
    </row>
    <row r="29" spans="3:54" x14ac:dyDescent="0.25">
      <c r="C29" s="604"/>
      <c r="D29" s="604"/>
      <c r="E29" s="604"/>
      <c r="F29" s="604"/>
      <c r="G29" s="604"/>
      <c r="H29" s="604"/>
      <c r="I29" s="604"/>
      <c r="J29" s="604"/>
      <c r="K29" s="604"/>
      <c r="L29" s="604"/>
      <c r="M29" s="604"/>
      <c r="N29" s="604"/>
      <c r="O29" s="604"/>
      <c r="P29" s="604"/>
      <c r="Q29" s="604"/>
      <c r="R29" s="604"/>
      <c r="S29" s="604"/>
      <c r="T29" s="604"/>
      <c r="U29" s="604"/>
      <c r="V29" s="604"/>
      <c r="W29" s="604"/>
      <c r="X29" s="604"/>
      <c r="Y29" s="604"/>
      <c r="Z29" s="604"/>
      <c r="AA29" s="604"/>
      <c r="AB29" s="604"/>
      <c r="AC29" s="604"/>
      <c r="AD29" s="604"/>
      <c r="AE29" s="604"/>
      <c r="AF29" s="604"/>
      <c r="AG29" s="604"/>
      <c r="AH29" s="604"/>
      <c r="AI29" s="604"/>
      <c r="AJ29" s="604"/>
      <c r="AK29" s="604"/>
      <c r="AL29" s="604"/>
      <c r="AM29" s="604"/>
      <c r="AN29" s="604"/>
    </row>
    <row r="30" spans="3:54" x14ac:dyDescent="0.25">
      <c r="C30" s="604" t="s">
        <v>1245</v>
      </c>
      <c r="D30" s="604"/>
      <c r="E30" s="604"/>
      <c r="F30" s="604"/>
      <c r="G30" s="603" t="s">
        <v>1192</v>
      </c>
      <c r="H30" s="604"/>
      <c r="I30" s="604"/>
      <c r="J30" s="604"/>
      <c r="K30" s="604"/>
      <c r="L30" s="603" t="s">
        <v>1193</v>
      </c>
      <c r="M30" s="604"/>
      <c r="N30" s="604"/>
      <c r="O30" s="604"/>
      <c r="P30" s="604"/>
      <c r="Q30" s="604"/>
      <c r="R30" s="604"/>
      <c r="S30" s="604"/>
      <c r="T30" s="604"/>
      <c r="U30" s="604"/>
      <c r="V30" s="604" t="s">
        <v>1178</v>
      </c>
      <c r="W30" s="604"/>
      <c r="X30" s="604"/>
      <c r="Y30" s="604"/>
      <c r="Z30" s="604"/>
      <c r="AA30" s="604"/>
      <c r="AB30" s="604"/>
      <c r="AC30" s="604"/>
      <c r="AD30" s="604"/>
      <c r="AE30" s="604"/>
      <c r="AF30" s="604"/>
      <c r="AG30" s="604"/>
      <c r="AH30" s="604" t="s">
        <v>1179</v>
      </c>
      <c r="AI30" s="604"/>
      <c r="AJ30" s="604"/>
      <c r="AK30" s="604"/>
      <c r="AL30" s="604"/>
      <c r="AM30" s="604"/>
      <c r="AN30" s="604"/>
    </row>
    <row r="31" spans="3:54" x14ac:dyDescent="0.25">
      <c r="C31" s="604"/>
      <c r="D31" s="604"/>
      <c r="E31" s="604"/>
      <c r="F31" s="604"/>
      <c r="G31" s="604"/>
      <c r="H31" s="604"/>
      <c r="I31" s="604"/>
      <c r="J31" s="604"/>
      <c r="K31" s="604"/>
      <c r="L31" s="604"/>
      <c r="M31" s="604"/>
      <c r="N31" s="604"/>
      <c r="O31" s="604"/>
      <c r="P31" s="604"/>
      <c r="Q31" s="604"/>
      <c r="R31" s="604"/>
      <c r="S31" s="604"/>
      <c r="T31" s="604"/>
      <c r="U31" s="604"/>
      <c r="V31" s="604"/>
      <c r="W31" s="604"/>
      <c r="X31" s="604"/>
      <c r="Y31" s="604"/>
      <c r="Z31" s="604"/>
      <c r="AA31" s="604"/>
      <c r="AB31" s="604"/>
      <c r="AC31" s="604"/>
      <c r="AD31" s="604"/>
      <c r="AE31" s="604"/>
      <c r="AF31" s="604"/>
      <c r="AG31" s="604"/>
      <c r="AH31" s="604"/>
      <c r="AI31" s="604"/>
      <c r="AJ31" s="604"/>
      <c r="AK31" s="604"/>
      <c r="AL31" s="604"/>
      <c r="AM31" s="604"/>
      <c r="AN31" s="604"/>
    </row>
    <row r="32" spans="3:54" hidden="1" x14ac:dyDescent="0.25">
      <c r="C32" s="592"/>
      <c r="D32" s="592"/>
      <c r="E32" s="592"/>
      <c r="F32" s="592"/>
      <c r="G32" s="592"/>
      <c r="H32" s="592"/>
      <c r="I32" s="592"/>
      <c r="J32" s="592"/>
      <c r="K32" s="592"/>
      <c r="L32" s="592"/>
      <c r="M32" s="592"/>
      <c r="N32" s="592"/>
      <c r="O32" s="592"/>
      <c r="P32" s="592"/>
      <c r="Q32" s="592"/>
      <c r="R32" s="592"/>
      <c r="S32" s="592"/>
      <c r="T32" s="592"/>
      <c r="U32" s="592"/>
      <c r="V32" s="592"/>
      <c r="W32" s="592"/>
      <c r="X32" s="592"/>
      <c r="Y32" s="592"/>
      <c r="Z32" s="592"/>
      <c r="AA32" s="592"/>
      <c r="AB32" s="592"/>
      <c r="AC32" s="592"/>
      <c r="AD32" s="592"/>
      <c r="AE32" s="592"/>
      <c r="AF32" s="592"/>
      <c r="AG32" s="592"/>
      <c r="AH32" s="592"/>
      <c r="AI32" s="592"/>
      <c r="AJ32" s="592"/>
      <c r="AK32" s="592"/>
      <c r="AL32" s="592"/>
      <c r="AM32" s="592"/>
      <c r="AN32" s="592"/>
    </row>
    <row r="33" spans="3:40" hidden="1" x14ac:dyDescent="0.25">
      <c r="C33" s="592"/>
      <c r="D33" s="592"/>
      <c r="E33" s="592"/>
      <c r="F33" s="592"/>
      <c r="G33" s="592"/>
      <c r="H33" s="592"/>
      <c r="I33" s="592"/>
      <c r="J33" s="592"/>
      <c r="K33" s="592"/>
      <c r="L33" s="592"/>
      <c r="M33" s="592"/>
      <c r="N33" s="592"/>
      <c r="O33" s="592"/>
      <c r="P33" s="592"/>
      <c r="Q33" s="592"/>
      <c r="R33" s="592"/>
      <c r="S33" s="592"/>
      <c r="T33" s="592"/>
      <c r="U33" s="592"/>
      <c r="V33" s="592"/>
      <c r="W33" s="592"/>
      <c r="X33" s="592"/>
      <c r="Y33" s="592"/>
      <c r="Z33" s="592"/>
      <c r="AA33" s="592"/>
      <c r="AB33" s="592"/>
      <c r="AC33" s="592"/>
      <c r="AD33" s="592"/>
      <c r="AE33" s="592"/>
      <c r="AF33" s="592"/>
      <c r="AG33" s="592"/>
      <c r="AH33" s="592"/>
      <c r="AI33" s="592"/>
      <c r="AJ33" s="592"/>
      <c r="AK33" s="592"/>
      <c r="AL33" s="592"/>
      <c r="AM33" s="592"/>
      <c r="AN33" s="592"/>
    </row>
    <row r="34" spans="3:40" hidden="1" x14ac:dyDescent="0.25">
      <c r="C34" s="592"/>
      <c r="D34" s="592"/>
      <c r="E34" s="592"/>
      <c r="F34" s="592"/>
      <c r="G34" s="592"/>
      <c r="H34" s="592"/>
      <c r="I34" s="592"/>
      <c r="J34" s="592"/>
      <c r="K34" s="592"/>
      <c r="L34" s="592"/>
      <c r="M34" s="592"/>
      <c r="N34" s="592"/>
      <c r="O34" s="592"/>
      <c r="P34" s="592"/>
      <c r="Q34" s="592"/>
      <c r="R34" s="592"/>
      <c r="S34" s="592"/>
      <c r="T34" s="592"/>
      <c r="U34" s="592"/>
      <c r="V34" s="592"/>
      <c r="W34" s="592"/>
      <c r="X34" s="592"/>
      <c r="Y34" s="592"/>
      <c r="Z34" s="592"/>
      <c r="AA34" s="592"/>
      <c r="AB34" s="592"/>
      <c r="AC34" s="592"/>
      <c r="AD34" s="592"/>
      <c r="AE34" s="592"/>
      <c r="AF34" s="592"/>
      <c r="AG34" s="592"/>
      <c r="AH34" s="592"/>
      <c r="AI34" s="592"/>
      <c r="AJ34" s="592"/>
      <c r="AK34" s="592"/>
      <c r="AL34" s="592"/>
      <c r="AM34" s="592"/>
      <c r="AN34" s="592"/>
    </row>
    <row r="35" spans="3:40" hidden="1" x14ac:dyDescent="0.25">
      <c r="C35" s="592"/>
      <c r="D35" s="592"/>
      <c r="E35" s="592"/>
      <c r="F35" s="592"/>
      <c r="G35" s="592"/>
      <c r="H35" s="592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Y35" s="592"/>
      <c r="Z35" s="592"/>
      <c r="AA35" s="592"/>
      <c r="AB35" s="592"/>
      <c r="AC35" s="592"/>
      <c r="AD35" s="592"/>
      <c r="AE35" s="592"/>
      <c r="AF35" s="592"/>
      <c r="AG35" s="592"/>
      <c r="AH35" s="592"/>
      <c r="AI35" s="592"/>
      <c r="AJ35" s="592"/>
      <c r="AK35" s="592"/>
      <c r="AL35" s="592"/>
      <c r="AM35" s="592"/>
      <c r="AN35" s="592"/>
    </row>
    <row r="36" spans="3:40" hidden="1" x14ac:dyDescent="0.25">
      <c r="C36" s="592"/>
      <c r="D36" s="592"/>
      <c r="E36" s="592"/>
      <c r="F36" s="592"/>
      <c r="G36" s="592"/>
      <c r="H36" s="592"/>
      <c r="I36" s="592"/>
      <c r="J36" s="592"/>
      <c r="K36" s="592"/>
      <c r="L36" s="592"/>
      <c r="M36" s="592"/>
      <c r="N36" s="592"/>
      <c r="O36" s="592"/>
      <c r="P36" s="592"/>
      <c r="Q36" s="592"/>
      <c r="R36" s="592"/>
      <c r="S36" s="592"/>
      <c r="T36" s="592"/>
      <c r="U36" s="592"/>
      <c r="V36" s="592"/>
      <c r="W36" s="592"/>
      <c r="X36" s="592"/>
      <c r="Y36" s="592"/>
      <c r="Z36" s="592"/>
      <c r="AA36" s="592"/>
      <c r="AB36" s="592"/>
      <c r="AC36" s="592"/>
      <c r="AD36" s="592"/>
      <c r="AE36" s="592"/>
      <c r="AF36" s="592"/>
      <c r="AG36" s="592"/>
      <c r="AH36" s="592"/>
      <c r="AI36" s="592"/>
      <c r="AJ36" s="592"/>
      <c r="AK36" s="592"/>
      <c r="AL36" s="592"/>
      <c r="AM36" s="592"/>
      <c r="AN36" s="592"/>
    </row>
    <row r="37" spans="3:40" hidden="1" x14ac:dyDescent="0.25">
      <c r="C37" s="592"/>
      <c r="D37" s="592"/>
      <c r="E37" s="592"/>
      <c r="F37" s="592"/>
      <c r="G37" s="592"/>
      <c r="H37" s="592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Y37" s="592"/>
      <c r="Z37" s="592"/>
      <c r="AA37" s="592"/>
      <c r="AB37" s="592"/>
      <c r="AC37" s="592"/>
      <c r="AD37" s="592"/>
      <c r="AE37" s="592"/>
      <c r="AF37" s="592"/>
      <c r="AG37" s="592"/>
      <c r="AH37" s="592"/>
      <c r="AI37" s="592"/>
      <c r="AJ37" s="592"/>
      <c r="AK37" s="592"/>
      <c r="AL37" s="592"/>
      <c r="AM37" s="592"/>
      <c r="AN37" s="592"/>
    </row>
    <row r="38" spans="3:40" hidden="1" x14ac:dyDescent="0.25">
      <c r="C38" s="592"/>
      <c r="D38" s="592"/>
      <c r="E38" s="592"/>
      <c r="F38" s="592"/>
      <c r="G38" s="592"/>
      <c r="H38" s="592"/>
      <c r="I38" s="592"/>
      <c r="J38" s="592"/>
      <c r="K38" s="592"/>
      <c r="L38" s="592"/>
      <c r="M38" s="592"/>
      <c r="N38" s="592"/>
      <c r="O38" s="592"/>
      <c r="P38" s="592"/>
      <c r="Q38" s="592"/>
      <c r="R38" s="592"/>
      <c r="S38" s="592"/>
      <c r="T38" s="592"/>
      <c r="U38" s="592"/>
      <c r="V38" s="592"/>
      <c r="W38" s="592"/>
      <c r="X38" s="592"/>
      <c r="Y38" s="592"/>
      <c r="Z38" s="592"/>
      <c r="AA38" s="592"/>
      <c r="AB38" s="592"/>
      <c r="AC38" s="592"/>
      <c r="AD38" s="592"/>
      <c r="AE38" s="592"/>
      <c r="AF38" s="592"/>
      <c r="AG38" s="592"/>
      <c r="AH38" s="592"/>
      <c r="AI38" s="592"/>
      <c r="AJ38" s="592"/>
      <c r="AK38" s="592"/>
      <c r="AL38" s="592"/>
      <c r="AM38" s="592"/>
      <c r="AN38" s="592"/>
    </row>
    <row r="39" spans="3:40" hidden="1" x14ac:dyDescent="0.25">
      <c r="C39" s="592"/>
      <c r="D39" s="592"/>
      <c r="E39" s="592"/>
      <c r="F39" s="592"/>
      <c r="G39" s="592"/>
      <c r="H39" s="592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Y39" s="592"/>
      <c r="Z39" s="592"/>
      <c r="AA39" s="592"/>
      <c r="AB39" s="592"/>
      <c r="AC39" s="592"/>
      <c r="AD39" s="592"/>
      <c r="AE39" s="592"/>
      <c r="AF39" s="592"/>
      <c r="AG39" s="592"/>
      <c r="AH39" s="592"/>
      <c r="AI39" s="592"/>
      <c r="AJ39" s="592"/>
      <c r="AK39" s="592"/>
      <c r="AL39" s="592"/>
      <c r="AM39" s="592"/>
      <c r="AN39" s="592"/>
    </row>
    <row r="40" spans="3:40" hidden="1" x14ac:dyDescent="0.25">
      <c r="C40" s="592"/>
      <c r="D40" s="592"/>
      <c r="E40" s="592"/>
      <c r="F40" s="592"/>
      <c r="G40" s="592"/>
      <c r="H40" s="592"/>
      <c r="I40" s="592"/>
      <c r="J40" s="592"/>
      <c r="K40" s="592"/>
      <c r="L40" s="592"/>
      <c r="M40" s="592"/>
      <c r="N40" s="592"/>
      <c r="O40" s="592"/>
      <c r="P40" s="592"/>
      <c r="Q40" s="592"/>
      <c r="R40" s="592"/>
      <c r="S40" s="592"/>
      <c r="T40" s="592"/>
      <c r="U40" s="592"/>
      <c r="V40" s="592"/>
      <c r="W40" s="592"/>
      <c r="X40" s="592"/>
      <c r="Y40" s="592"/>
      <c r="Z40" s="592"/>
      <c r="AA40" s="592"/>
      <c r="AB40" s="592"/>
      <c r="AC40" s="592"/>
      <c r="AD40" s="592"/>
      <c r="AE40" s="592"/>
      <c r="AF40" s="592"/>
      <c r="AG40" s="592"/>
      <c r="AH40" s="592"/>
      <c r="AI40" s="592"/>
      <c r="AJ40" s="592"/>
      <c r="AK40" s="592"/>
      <c r="AL40" s="592"/>
      <c r="AM40" s="592"/>
      <c r="AN40" s="592"/>
    </row>
    <row r="41" spans="3:40" hidden="1" x14ac:dyDescent="0.25">
      <c r="C41" s="599"/>
      <c r="D41" s="599"/>
      <c r="E41" s="599"/>
      <c r="F41" s="599"/>
      <c r="G41" s="599"/>
      <c r="H41" s="599"/>
      <c r="I41" s="599"/>
      <c r="J41" s="599"/>
      <c r="K41" s="599"/>
      <c r="L41" s="599"/>
      <c r="M41" s="599"/>
      <c r="N41" s="599"/>
      <c r="O41" s="599"/>
      <c r="P41" s="599"/>
      <c r="Q41" s="599"/>
      <c r="R41" s="599"/>
      <c r="S41" s="599"/>
      <c r="T41" s="599"/>
      <c r="U41" s="599"/>
      <c r="V41" s="599"/>
      <c r="W41" s="599"/>
      <c r="X41" s="599"/>
      <c r="Y41" s="599"/>
      <c r="Z41" s="599"/>
      <c r="AA41" s="599"/>
      <c r="AB41" s="599"/>
      <c r="AC41" s="599"/>
      <c r="AD41" s="599"/>
      <c r="AE41" s="599"/>
      <c r="AF41" s="599"/>
      <c r="AG41" s="599"/>
      <c r="AH41" s="599"/>
      <c r="AI41" s="599"/>
      <c r="AJ41" s="599"/>
      <c r="AK41" s="599"/>
      <c r="AL41" s="599"/>
      <c r="AM41" s="599"/>
      <c r="AN41" s="599"/>
    </row>
    <row r="42" spans="3:40" ht="10.5" customHeight="1" x14ac:dyDescent="0.25">
      <c r="C42" s="185"/>
      <c r="D42" s="183"/>
      <c r="E42" s="183"/>
      <c r="F42" s="183"/>
      <c r="G42" s="183"/>
      <c r="H42" s="183"/>
      <c r="I42" s="183"/>
      <c r="J42" s="183"/>
      <c r="K42" s="183"/>
      <c r="L42" s="183"/>
      <c r="M42" s="183"/>
      <c r="N42" s="183"/>
      <c r="O42" s="183"/>
      <c r="P42" s="184"/>
      <c r="Q42" s="184"/>
      <c r="R42" s="184"/>
      <c r="S42" s="184"/>
      <c r="T42" s="184"/>
      <c r="U42" s="184"/>
      <c r="V42" s="184"/>
      <c r="W42" s="184"/>
      <c r="X42" s="184"/>
      <c r="Y42" s="184"/>
      <c r="Z42" s="184"/>
      <c r="AA42" s="184"/>
      <c r="AB42" s="184"/>
      <c r="AC42" s="184"/>
      <c r="AD42" s="184"/>
      <c r="AE42" s="184"/>
      <c r="AF42" s="184"/>
      <c r="AG42" s="184"/>
      <c r="AH42" s="184"/>
      <c r="AI42" s="184"/>
      <c r="AJ42" s="184"/>
      <c r="AK42" s="184"/>
      <c r="AL42" s="184"/>
      <c r="AM42" s="184"/>
      <c r="AN42" s="186"/>
    </row>
    <row r="43" spans="3:40" ht="18.600000000000001" customHeight="1" x14ac:dyDescent="0.25">
      <c r="C43" s="324" t="s">
        <v>95</v>
      </c>
      <c r="D43" s="279" t="s">
        <v>209</v>
      </c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178"/>
    </row>
    <row r="44" spans="3:40" ht="3" customHeight="1" x14ac:dyDescent="0.25">
      <c r="C44" s="155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57"/>
    </row>
    <row r="45" spans="3:40" x14ac:dyDescent="0.25">
      <c r="C45" s="571" t="s">
        <v>263</v>
      </c>
      <c r="D45" s="708"/>
      <c r="E45" s="728" t="s">
        <v>613</v>
      </c>
      <c r="F45" s="728"/>
      <c r="G45" s="728"/>
      <c r="H45" s="728"/>
      <c r="I45" s="728" t="s">
        <v>273</v>
      </c>
      <c r="J45" s="728"/>
      <c r="K45" s="728"/>
      <c r="L45" s="728"/>
      <c r="M45" s="728"/>
      <c r="N45" s="728" t="s">
        <v>264</v>
      </c>
      <c r="O45" s="728"/>
      <c r="P45" s="728"/>
      <c r="Q45" s="728"/>
      <c r="R45" s="728"/>
      <c r="S45" s="728"/>
      <c r="T45" s="728"/>
      <c r="U45" s="728"/>
      <c r="V45" s="728"/>
      <c r="W45" s="575" t="s">
        <v>265</v>
      </c>
      <c r="X45" s="575"/>
      <c r="Y45" s="575"/>
      <c r="Z45" s="575"/>
      <c r="AA45" s="575"/>
      <c r="AB45" s="575"/>
      <c r="AC45" s="575"/>
      <c r="AD45" s="575"/>
      <c r="AE45" s="575"/>
      <c r="AF45" s="576"/>
      <c r="AG45" s="571" t="s">
        <v>266</v>
      </c>
      <c r="AH45" s="571"/>
      <c r="AI45" s="571"/>
      <c r="AJ45" s="571"/>
      <c r="AK45" s="571"/>
      <c r="AL45" s="571"/>
      <c r="AM45" s="571"/>
      <c r="AN45" s="571"/>
    </row>
    <row r="46" spans="3:40" x14ac:dyDescent="0.25">
      <c r="C46" s="571"/>
      <c r="D46" s="708"/>
      <c r="E46" s="728"/>
      <c r="F46" s="728"/>
      <c r="G46" s="728"/>
      <c r="H46" s="728"/>
      <c r="I46" s="728"/>
      <c r="J46" s="728"/>
      <c r="K46" s="728"/>
      <c r="L46" s="728"/>
      <c r="M46" s="728"/>
      <c r="N46" s="728"/>
      <c r="O46" s="728"/>
      <c r="P46" s="728"/>
      <c r="Q46" s="728"/>
      <c r="R46" s="728"/>
      <c r="S46" s="728"/>
      <c r="T46" s="728"/>
      <c r="U46" s="728"/>
      <c r="V46" s="728"/>
      <c r="W46" s="578"/>
      <c r="X46" s="578"/>
      <c r="Y46" s="578"/>
      <c r="Z46" s="578"/>
      <c r="AA46" s="578"/>
      <c r="AB46" s="578"/>
      <c r="AC46" s="578"/>
      <c r="AD46" s="578"/>
      <c r="AE46" s="578"/>
      <c r="AF46" s="579"/>
      <c r="AG46" s="571"/>
      <c r="AH46" s="571"/>
      <c r="AI46" s="571"/>
      <c r="AJ46" s="571"/>
      <c r="AK46" s="571"/>
      <c r="AL46" s="571"/>
      <c r="AM46" s="571"/>
      <c r="AN46" s="571"/>
    </row>
    <row r="47" spans="3:40" x14ac:dyDescent="0.25">
      <c r="C47" s="571"/>
      <c r="D47" s="708"/>
      <c r="E47" s="728"/>
      <c r="F47" s="728"/>
      <c r="G47" s="728"/>
      <c r="H47" s="728"/>
      <c r="I47" s="728"/>
      <c r="J47" s="728"/>
      <c r="K47" s="728"/>
      <c r="L47" s="728"/>
      <c r="M47" s="728"/>
      <c r="N47" s="728"/>
      <c r="O47" s="728"/>
      <c r="P47" s="728"/>
      <c r="Q47" s="728"/>
      <c r="R47" s="728"/>
      <c r="S47" s="728"/>
      <c r="T47" s="728"/>
      <c r="U47" s="728"/>
      <c r="V47" s="728"/>
      <c r="W47" s="581"/>
      <c r="X47" s="581"/>
      <c r="Y47" s="581"/>
      <c r="Z47" s="581"/>
      <c r="AA47" s="581"/>
      <c r="AB47" s="581"/>
      <c r="AC47" s="581"/>
      <c r="AD47" s="581"/>
      <c r="AE47" s="581"/>
      <c r="AF47" s="582"/>
      <c r="AG47" s="571"/>
      <c r="AH47" s="571"/>
      <c r="AI47" s="571"/>
      <c r="AJ47" s="571"/>
      <c r="AK47" s="571"/>
      <c r="AL47" s="571"/>
      <c r="AM47" s="571"/>
      <c r="AN47" s="571"/>
    </row>
    <row r="48" spans="3:40" x14ac:dyDescent="0.25">
      <c r="C48" s="592" t="s">
        <v>213</v>
      </c>
      <c r="D48" s="592"/>
      <c r="E48" s="596" t="s">
        <v>214</v>
      </c>
      <c r="F48" s="597"/>
      <c r="G48" s="597"/>
      <c r="H48" s="598"/>
      <c r="I48" s="720" t="s">
        <v>215</v>
      </c>
      <c r="J48" s="721"/>
      <c r="K48" s="721"/>
      <c r="L48" s="721"/>
      <c r="M48" s="722"/>
      <c r="N48" s="596" t="s">
        <v>216</v>
      </c>
      <c r="O48" s="597"/>
      <c r="P48" s="597"/>
      <c r="Q48" s="597"/>
      <c r="R48" s="597"/>
      <c r="S48" s="597"/>
      <c r="T48" s="597"/>
      <c r="U48" s="597"/>
      <c r="V48" s="598"/>
      <c r="W48" s="645" t="s">
        <v>217</v>
      </c>
      <c r="X48" s="646"/>
      <c r="Y48" s="646"/>
      <c r="Z48" s="646"/>
      <c r="AA48" s="646"/>
      <c r="AB48" s="646"/>
      <c r="AC48" s="646"/>
      <c r="AD48" s="646"/>
      <c r="AE48" s="646"/>
      <c r="AF48" s="629"/>
      <c r="AG48" s="716" t="s">
        <v>218</v>
      </c>
      <c r="AH48" s="646"/>
      <c r="AI48" s="646"/>
      <c r="AJ48" s="646"/>
      <c r="AK48" s="646"/>
      <c r="AL48" s="646"/>
      <c r="AM48" s="646"/>
      <c r="AN48" s="629"/>
    </row>
    <row r="49" spans="3:40" s="355" customFormat="1" x14ac:dyDescent="0.25">
      <c r="C49" s="590">
        <v>1</v>
      </c>
      <c r="D49" s="590"/>
      <c r="E49" s="620" t="s">
        <v>1246</v>
      </c>
      <c r="F49" s="615"/>
      <c r="G49" s="615"/>
      <c r="H49" s="616"/>
      <c r="I49" s="614" t="s">
        <v>1215</v>
      </c>
      <c r="J49" s="615"/>
      <c r="K49" s="615"/>
      <c r="L49" s="615"/>
      <c r="M49" s="616"/>
      <c r="N49" s="710">
        <f>'BP A1'!X35</f>
        <v>289900000</v>
      </c>
      <c r="O49" s="711"/>
      <c r="P49" s="711"/>
      <c r="Q49" s="711"/>
      <c r="R49" s="711"/>
      <c r="S49" s="711"/>
      <c r="T49" s="711"/>
      <c r="U49" s="711"/>
      <c r="V49" s="712"/>
      <c r="W49" s="710">
        <f>'BP A1'!X40</f>
        <v>6600000</v>
      </c>
      <c r="X49" s="711"/>
      <c r="Y49" s="711"/>
      <c r="Z49" s="711"/>
      <c r="AA49" s="711"/>
      <c r="AB49" s="711"/>
      <c r="AC49" s="711"/>
      <c r="AD49" s="711"/>
      <c r="AE49" s="711"/>
      <c r="AF49" s="712"/>
      <c r="AG49" s="605">
        <f>N49-W49</f>
        <v>283300000</v>
      </c>
      <c r="AH49" s="605"/>
      <c r="AI49" s="605"/>
      <c r="AJ49" s="605"/>
      <c r="AK49" s="605"/>
      <c r="AL49" s="605"/>
      <c r="AM49" s="605"/>
      <c r="AN49" s="605"/>
    </row>
    <row r="50" spans="3:40" s="355" customFormat="1" x14ac:dyDescent="0.25">
      <c r="C50" s="590"/>
      <c r="D50" s="590"/>
      <c r="E50" s="617"/>
      <c r="F50" s="618"/>
      <c r="G50" s="618"/>
      <c r="H50" s="619"/>
      <c r="I50" s="617"/>
      <c r="J50" s="618"/>
      <c r="K50" s="618"/>
      <c r="L50" s="618"/>
      <c r="M50" s="619"/>
      <c r="N50" s="713"/>
      <c r="O50" s="714"/>
      <c r="P50" s="714"/>
      <c r="Q50" s="714"/>
      <c r="R50" s="714"/>
      <c r="S50" s="714"/>
      <c r="T50" s="714"/>
      <c r="U50" s="714"/>
      <c r="V50" s="715"/>
      <c r="W50" s="713"/>
      <c r="X50" s="714"/>
      <c r="Y50" s="714"/>
      <c r="Z50" s="714"/>
      <c r="AA50" s="714"/>
      <c r="AB50" s="714"/>
      <c r="AC50" s="714"/>
      <c r="AD50" s="714"/>
      <c r="AE50" s="714"/>
      <c r="AF50" s="715"/>
      <c r="AG50" s="605"/>
      <c r="AH50" s="605"/>
      <c r="AI50" s="605"/>
      <c r="AJ50" s="605"/>
      <c r="AK50" s="605"/>
      <c r="AL50" s="605"/>
      <c r="AM50" s="605"/>
      <c r="AN50" s="605"/>
    </row>
    <row r="51" spans="3:40" hidden="1" x14ac:dyDescent="0.25">
      <c r="C51" s="592"/>
      <c r="D51" s="592"/>
      <c r="E51" s="593"/>
      <c r="F51" s="594"/>
      <c r="G51" s="594"/>
      <c r="H51" s="595"/>
      <c r="I51" s="593"/>
      <c r="J51" s="594"/>
      <c r="K51" s="594"/>
      <c r="L51" s="594"/>
      <c r="M51" s="595"/>
      <c r="N51" s="593"/>
      <c r="O51" s="594"/>
      <c r="P51" s="594"/>
      <c r="Q51" s="594"/>
      <c r="R51" s="594"/>
      <c r="S51" s="594"/>
      <c r="T51" s="594"/>
      <c r="U51" s="594"/>
      <c r="V51" s="595"/>
      <c r="W51" s="593"/>
      <c r="X51" s="594"/>
      <c r="Y51" s="594"/>
      <c r="Z51" s="594"/>
      <c r="AA51" s="594"/>
      <c r="AB51" s="594"/>
      <c r="AC51" s="594"/>
      <c r="AD51" s="594"/>
      <c r="AE51" s="594"/>
      <c r="AF51" s="595"/>
      <c r="AG51" s="592"/>
      <c r="AH51" s="592"/>
      <c r="AI51" s="592"/>
      <c r="AJ51" s="592"/>
      <c r="AK51" s="592"/>
      <c r="AL51" s="592"/>
      <c r="AM51" s="592"/>
      <c r="AN51" s="592"/>
    </row>
    <row r="52" spans="3:40" hidden="1" x14ac:dyDescent="0.25">
      <c r="C52" s="592"/>
      <c r="D52" s="592"/>
      <c r="E52" s="596"/>
      <c r="F52" s="597"/>
      <c r="G52" s="597"/>
      <c r="H52" s="598"/>
      <c r="I52" s="596"/>
      <c r="J52" s="597"/>
      <c r="K52" s="597"/>
      <c r="L52" s="597"/>
      <c r="M52" s="598"/>
      <c r="N52" s="596"/>
      <c r="O52" s="597"/>
      <c r="P52" s="597"/>
      <c r="Q52" s="597"/>
      <c r="R52" s="597"/>
      <c r="S52" s="597"/>
      <c r="T52" s="597"/>
      <c r="U52" s="597"/>
      <c r="V52" s="598"/>
      <c r="W52" s="596"/>
      <c r="X52" s="597"/>
      <c r="Y52" s="597"/>
      <c r="Z52" s="597"/>
      <c r="AA52" s="597"/>
      <c r="AB52" s="597"/>
      <c r="AC52" s="597"/>
      <c r="AD52" s="597"/>
      <c r="AE52" s="597"/>
      <c r="AF52" s="598"/>
      <c r="AG52" s="592"/>
      <c r="AH52" s="592"/>
      <c r="AI52" s="592"/>
      <c r="AJ52" s="592"/>
      <c r="AK52" s="592"/>
      <c r="AL52" s="592"/>
      <c r="AM52" s="592"/>
      <c r="AN52" s="592"/>
    </row>
    <row r="53" spans="3:40" hidden="1" x14ac:dyDescent="0.25">
      <c r="C53" s="592"/>
      <c r="D53" s="592"/>
      <c r="E53" s="593"/>
      <c r="F53" s="594"/>
      <c r="G53" s="594"/>
      <c r="H53" s="595"/>
      <c r="I53" s="593"/>
      <c r="J53" s="594"/>
      <c r="K53" s="594"/>
      <c r="L53" s="594"/>
      <c r="M53" s="595"/>
      <c r="N53" s="593"/>
      <c r="O53" s="594"/>
      <c r="P53" s="594"/>
      <c r="Q53" s="594"/>
      <c r="R53" s="594"/>
      <c r="S53" s="594"/>
      <c r="T53" s="594"/>
      <c r="U53" s="594"/>
      <c r="V53" s="595"/>
      <c r="W53" s="593"/>
      <c r="X53" s="594"/>
      <c r="Y53" s="594"/>
      <c r="Z53" s="594"/>
      <c r="AA53" s="594"/>
      <c r="AB53" s="594"/>
      <c r="AC53" s="594"/>
      <c r="AD53" s="594"/>
      <c r="AE53" s="594"/>
      <c r="AF53" s="595"/>
      <c r="AG53" s="592"/>
      <c r="AH53" s="592"/>
      <c r="AI53" s="592"/>
      <c r="AJ53" s="592"/>
      <c r="AK53" s="592"/>
      <c r="AL53" s="592"/>
      <c r="AM53" s="592"/>
      <c r="AN53" s="592"/>
    </row>
    <row r="54" spans="3:40" hidden="1" x14ac:dyDescent="0.25">
      <c r="C54" s="592"/>
      <c r="D54" s="592"/>
      <c r="E54" s="596"/>
      <c r="F54" s="597"/>
      <c r="G54" s="597"/>
      <c r="H54" s="598"/>
      <c r="I54" s="596"/>
      <c r="J54" s="597"/>
      <c r="K54" s="597"/>
      <c r="L54" s="597"/>
      <c r="M54" s="598"/>
      <c r="N54" s="596"/>
      <c r="O54" s="597"/>
      <c r="P54" s="597"/>
      <c r="Q54" s="597"/>
      <c r="R54" s="597"/>
      <c r="S54" s="597"/>
      <c r="T54" s="597"/>
      <c r="U54" s="597"/>
      <c r="V54" s="598"/>
      <c r="W54" s="596"/>
      <c r="X54" s="597"/>
      <c r="Y54" s="597"/>
      <c r="Z54" s="597"/>
      <c r="AA54" s="597"/>
      <c r="AB54" s="597"/>
      <c r="AC54" s="597"/>
      <c r="AD54" s="597"/>
      <c r="AE54" s="597"/>
      <c r="AF54" s="598"/>
      <c r="AG54" s="592"/>
      <c r="AH54" s="592"/>
      <c r="AI54" s="592"/>
      <c r="AJ54" s="592"/>
      <c r="AK54" s="592"/>
      <c r="AL54" s="592"/>
      <c r="AM54" s="592"/>
      <c r="AN54" s="592"/>
    </row>
    <row r="55" spans="3:40" hidden="1" x14ac:dyDescent="0.25">
      <c r="C55" s="592"/>
      <c r="D55" s="592"/>
      <c r="E55" s="593"/>
      <c r="F55" s="594"/>
      <c r="G55" s="594"/>
      <c r="H55" s="595"/>
      <c r="I55" s="593"/>
      <c r="J55" s="594"/>
      <c r="K55" s="594"/>
      <c r="L55" s="594"/>
      <c r="M55" s="595"/>
      <c r="N55" s="593"/>
      <c r="O55" s="594"/>
      <c r="P55" s="594"/>
      <c r="Q55" s="594"/>
      <c r="R55" s="594"/>
      <c r="S55" s="594"/>
      <c r="T55" s="594"/>
      <c r="U55" s="594"/>
      <c r="V55" s="595"/>
      <c r="W55" s="593"/>
      <c r="X55" s="594"/>
      <c r="Y55" s="594"/>
      <c r="Z55" s="594"/>
      <c r="AA55" s="594"/>
      <c r="AB55" s="594"/>
      <c r="AC55" s="594"/>
      <c r="AD55" s="594"/>
      <c r="AE55" s="594"/>
      <c r="AF55" s="595"/>
      <c r="AG55" s="592"/>
      <c r="AH55" s="592"/>
      <c r="AI55" s="592"/>
      <c r="AJ55" s="592"/>
      <c r="AK55" s="592"/>
      <c r="AL55" s="592"/>
      <c r="AM55" s="592"/>
      <c r="AN55" s="592"/>
    </row>
    <row r="56" spans="3:40" hidden="1" x14ac:dyDescent="0.25">
      <c r="C56" s="592"/>
      <c r="D56" s="592"/>
      <c r="E56" s="596"/>
      <c r="F56" s="597"/>
      <c r="G56" s="597"/>
      <c r="H56" s="598"/>
      <c r="I56" s="596"/>
      <c r="J56" s="597"/>
      <c r="K56" s="597"/>
      <c r="L56" s="597"/>
      <c r="M56" s="598"/>
      <c r="N56" s="596"/>
      <c r="O56" s="597"/>
      <c r="P56" s="597"/>
      <c r="Q56" s="597"/>
      <c r="R56" s="597"/>
      <c r="S56" s="597"/>
      <c r="T56" s="597"/>
      <c r="U56" s="597"/>
      <c r="V56" s="598"/>
      <c r="W56" s="596"/>
      <c r="X56" s="597"/>
      <c r="Y56" s="597"/>
      <c r="Z56" s="597"/>
      <c r="AA56" s="597"/>
      <c r="AB56" s="597"/>
      <c r="AC56" s="597"/>
      <c r="AD56" s="597"/>
      <c r="AE56" s="597"/>
      <c r="AF56" s="598"/>
      <c r="AG56" s="592"/>
      <c r="AH56" s="592"/>
      <c r="AI56" s="592"/>
      <c r="AJ56" s="592"/>
      <c r="AK56" s="592"/>
      <c r="AL56" s="592"/>
      <c r="AM56" s="592"/>
      <c r="AN56" s="592"/>
    </row>
    <row r="57" spans="3:40" hidden="1" x14ac:dyDescent="0.25">
      <c r="C57" s="592"/>
      <c r="D57" s="592"/>
      <c r="E57" s="593"/>
      <c r="F57" s="594"/>
      <c r="G57" s="594"/>
      <c r="H57" s="595"/>
      <c r="I57" s="593"/>
      <c r="J57" s="594"/>
      <c r="K57" s="594"/>
      <c r="L57" s="594"/>
      <c r="M57" s="595"/>
      <c r="N57" s="593"/>
      <c r="O57" s="594"/>
      <c r="P57" s="594"/>
      <c r="Q57" s="594"/>
      <c r="R57" s="594"/>
      <c r="S57" s="594"/>
      <c r="T57" s="594"/>
      <c r="U57" s="594"/>
      <c r="V57" s="595"/>
      <c r="W57" s="593"/>
      <c r="X57" s="594"/>
      <c r="Y57" s="594"/>
      <c r="Z57" s="594"/>
      <c r="AA57" s="594"/>
      <c r="AB57" s="594"/>
      <c r="AC57" s="594"/>
      <c r="AD57" s="594"/>
      <c r="AE57" s="594"/>
      <c r="AF57" s="595"/>
      <c r="AG57" s="592"/>
      <c r="AH57" s="592"/>
      <c r="AI57" s="592"/>
      <c r="AJ57" s="592"/>
      <c r="AK57" s="592"/>
      <c r="AL57" s="592"/>
      <c r="AM57" s="592"/>
      <c r="AN57" s="592"/>
    </row>
    <row r="58" spans="3:40" hidden="1" x14ac:dyDescent="0.25">
      <c r="C58" s="592"/>
      <c r="D58" s="592"/>
      <c r="E58" s="596"/>
      <c r="F58" s="597"/>
      <c r="G58" s="597"/>
      <c r="H58" s="598"/>
      <c r="I58" s="596"/>
      <c r="J58" s="597"/>
      <c r="K58" s="597"/>
      <c r="L58" s="597"/>
      <c r="M58" s="598"/>
      <c r="N58" s="596"/>
      <c r="O58" s="597"/>
      <c r="P58" s="597"/>
      <c r="Q58" s="597"/>
      <c r="R58" s="597"/>
      <c r="S58" s="597"/>
      <c r="T58" s="597"/>
      <c r="U58" s="597"/>
      <c r="V58" s="598"/>
      <c r="W58" s="596"/>
      <c r="X58" s="597"/>
      <c r="Y58" s="597"/>
      <c r="Z58" s="597"/>
      <c r="AA58" s="597"/>
      <c r="AB58" s="597"/>
      <c r="AC58" s="597"/>
      <c r="AD58" s="597"/>
      <c r="AE58" s="597"/>
      <c r="AF58" s="598"/>
      <c r="AG58" s="592"/>
      <c r="AH58" s="592"/>
      <c r="AI58" s="592"/>
      <c r="AJ58" s="592"/>
      <c r="AK58" s="592"/>
      <c r="AL58" s="592"/>
      <c r="AM58" s="592"/>
      <c r="AN58" s="592"/>
    </row>
    <row r="59" spans="3:40" x14ac:dyDescent="0.25">
      <c r="C59" s="601" t="s">
        <v>267</v>
      </c>
      <c r="D59" s="601"/>
      <c r="E59" s="601"/>
      <c r="F59" s="601"/>
      <c r="G59" s="601"/>
      <c r="H59" s="601"/>
      <c r="I59" s="601"/>
      <c r="J59" s="601"/>
      <c r="K59" s="601"/>
      <c r="L59" s="601"/>
      <c r="M59" s="601"/>
      <c r="N59" s="601"/>
      <c r="O59" s="601"/>
      <c r="P59" s="601"/>
      <c r="Q59" s="601"/>
      <c r="R59" s="601"/>
      <c r="S59" s="601"/>
      <c r="T59" s="601"/>
      <c r="U59" s="601"/>
      <c r="V59" s="601"/>
      <c r="W59" s="601"/>
      <c r="X59" s="601"/>
      <c r="Y59" s="601"/>
      <c r="Z59" s="601"/>
      <c r="AA59" s="601"/>
      <c r="AB59" s="601"/>
      <c r="AC59" s="601"/>
      <c r="AD59" s="601"/>
      <c r="AE59" s="601"/>
      <c r="AF59" s="601"/>
      <c r="AG59" s="726">
        <f>SUM(AG49:AN58)</f>
        <v>283300000</v>
      </c>
      <c r="AH59" s="727"/>
      <c r="AI59" s="727"/>
      <c r="AJ59" s="727"/>
      <c r="AK59" s="727"/>
      <c r="AL59" s="727"/>
      <c r="AM59" s="727"/>
      <c r="AN59" s="727"/>
    </row>
    <row r="60" spans="3:40" x14ac:dyDescent="0.25">
      <c r="C60" s="155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3" t="s">
        <v>268</v>
      </c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57"/>
    </row>
    <row r="61" spans="3:40" ht="6" customHeight="1" x14ac:dyDescent="0.25">
      <c r="C61" s="155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57"/>
    </row>
    <row r="62" spans="3:40" ht="15.75" x14ac:dyDescent="0.25">
      <c r="C62" s="324" t="s">
        <v>119</v>
      </c>
      <c r="D62" s="279" t="s">
        <v>279</v>
      </c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178"/>
    </row>
    <row r="63" spans="3:40" ht="3" customHeight="1" x14ac:dyDescent="0.25">
      <c r="C63" s="155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57"/>
    </row>
    <row r="64" spans="3:40" x14ac:dyDescent="0.25">
      <c r="C64" s="571" t="s">
        <v>263</v>
      </c>
      <c r="D64" s="571"/>
      <c r="E64" s="571" t="s">
        <v>269</v>
      </c>
      <c r="F64" s="571"/>
      <c r="G64" s="571"/>
      <c r="H64" s="571"/>
      <c r="I64" s="571"/>
      <c r="J64" s="571"/>
      <c r="K64" s="571" t="s">
        <v>270</v>
      </c>
      <c r="L64" s="571"/>
      <c r="M64" s="571"/>
      <c r="N64" s="571"/>
      <c r="O64" s="571"/>
      <c r="P64" s="571"/>
      <c r="Q64" s="571"/>
      <c r="R64" s="571"/>
      <c r="S64" s="571" t="s">
        <v>274</v>
      </c>
      <c r="T64" s="571"/>
      <c r="U64" s="571"/>
      <c r="V64" s="571"/>
      <c r="W64" s="571" t="s">
        <v>264</v>
      </c>
      <c r="X64" s="571"/>
      <c r="Y64" s="571"/>
      <c r="Z64" s="571"/>
      <c r="AA64" s="571"/>
      <c r="AB64" s="571"/>
      <c r="AC64" s="571"/>
      <c r="AD64" s="571"/>
      <c r="AE64" s="571"/>
      <c r="AF64" s="571"/>
      <c r="AG64" s="571" t="s">
        <v>614</v>
      </c>
      <c r="AH64" s="571"/>
      <c r="AI64" s="571"/>
      <c r="AJ64" s="571"/>
      <c r="AK64" s="571"/>
      <c r="AL64" s="571"/>
      <c r="AM64" s="571"/>
      <c r="AN64" s="571"/>
    </row>
    <row r="65" spans="3:40" x14ac:dyDescent="0.25">
      <c r="C65" s="571"/>
      <c r="D65" s="571"/>
      <c r="E65" s="571"/>
      <c r="F65" s="571"/>
      <c r="G65" s="571"/>
      <c r="H65" s="571"/>
      <c r="I65" s="571"/>
      <c r="J65" s="571"/>
      <c r="K65" s="571"/>
      <c r="L65" s="571"/>
      <c r="M65" s="571"/>
      <c r="N65" s="571"/>
      <c r="O65" s="571"/>
      <c r="P65" s="571"/>
      <c r="Q65" s="571"/>
      <c r="R65" s="571"/>
      <c r="S65" s="571"/>
      <c r="T65" s="571"/>
      <c r="U65" s="571"/>
      <c r="V65" s="571"/>
      <c r="W65" s="571"/>
      <c r="X65" s="571"/>
      <c r="Y65" s="571"/>
      <c r="Z65" s="571"/>
      <c r="AA65" s="571"/>
      <c r="AB65" s="571"/>
      <c r="AC65" s="571"/>
      <c r="AD65" s="571"/>
      <c r="AE65" s="571"/>
      <c r="AF65" s="571"/>
      <c r="AG65" s="571"/>
      <c r="AH65" s="571"/>
      <c r="AI65" s="571"/>
      <c r="AJ65" s="571"/>
      <c r="AK65" s="571"/>
      <c r="AL65" s="571"/>
      <c r="AM65" s="571"/>
      <c r="AN65" s="571"/>
    </row>
    <row r="66" spans="3:40" x14ac:dyDescent="0.25">
      <c r="C66" s="571"/>
      <c r="D66" s="571"/>
      <c r="E66" s="571"/>
      <c r="F66" s="571"/>
      <c r="G66" s="571"/>
      <c r="H66" s="571"/>
      <c r="I66" s="571"/>
      <c r="J66" s="571"/>
      <c r="K66" s="571"/>
      <c r="L66" s="571"/>
      <c r="M66" s="571"/>
      <c r="N66" s="571"/>
      <c r="O66" s="571"/>
      <c r="P66" s="571"/>
      <c r="Q66" s="571"/>
      <c r="R66" s="571"/>
      <c r="S66" s="571"/>
      <c r="T66" s="571"/>
      <c r="U66" s="571"/>
      <c r="V66" s="571"/>
      <c r="W66" s="571"/>
      <c r="X66" s="571"/>
      <c r="Y66" s="571"/>
      <c r="Z66" s="571"/>
      <c r="AA66" s="571"/>
      <c r="AB66" s="571"/>
      <c r="AC66" s="571"/>
      <c r="AD66" s="571"/>
      <c r="AE66" s="571"/>
      <c r="AF66" s="571"/>
      <c r="AG66" s="571"/>
      <c r="AH66" s="571"/>
      <c r="AI66" s="571"/>
      <c r="AJ66" s="571"/>
      <c r="AK66" s="571"/>
      <c r="AL66" s="571"/>
      <c r="AM66" s="571"/>
      <c r="AN66" s="571"/>
    </row>
    <row r="67" spans="3:40" x14ac:dyDescent="0.25">
      <c r="C67" s="592" t="s">
        <v>213</v>
      </c>
      <c r="D67" s="592"/>
      <c r="E67" s="606" t="s">
        <v>214</v>
      </c>
      <c r="F67" s="606"/>
      <c r="G67" s="606"/>
      <c r="H67" s="606"/>
      <c r="I67" s="606"/>
      <c r="J67" s="606"/>
      <c r="K67" s="606" t="s">
        <v>215</v>
      </c>
      <c r="L67" s="592"/>
      <c r="M67" s="592"/>
      <c r="N67" s="592"/>
      <c r="O67" s="592"/>
      <c r="P67" s="592"/>
      <c r="Q67" s="592"/>
      <c r="R67" s="592"/>
      <c r="S67" s="673" t="s">
        <v>216</v>
      </c>
      <c r="T67" s="674"/>
      <c r="U67" s="674"/>
      <c r="V67" s="674"/>
      <c r="W67" s="673" t="s">
        <v>217</v>
      </c>
      <c r="X67" s="674"/>
      <c r="Y67" s="674"/>
      <c r="Z67" s="674"/>
      <c r="AA67" s="674"/>
      <c r="AB67" s="674"/>
      <c r="AC67" s="674"/>
      <c r="AD67" s="674"/>
      <c r="AE67" s="674"/>
      <c r="AF67" s="674"/>
      <c r="AG67" s="673" t="s">
        <v>218</v>
      </c>
      <c r="AH67" s="674"/>
      <c r="AI67" s="674"/>
      <c r="AJ67" s="674"/>
      <c r="AK67" s="674"/>
      <c r="AL67" s="674"/>
      <c r="AM67" s="674"/>
      <c r="AN67" s="674"/>
    </row>
    <row r="68" spans="3:40" x14ac:dyDescent="0.25">
      <c r="C68" s="590">
        <v>1</v>
      </c>
      <c r="D68" s="590"/>
      <c r="E68" s="729" t="s">
        <v>1214</v>
      </c>
      <c r="F68" s="730"/>
      <c r="G68" s="730"/>
      <c r="H68" s="730"/>
      <c r="I68" s="730"/>
      <c r="J68" s="731"/>
      <c r="K68" s="735" t="s">
        <v>1216</v>
      </c>
      <c r="L68" s="736"/>
      <c r="M68" s="736"/>
      <c r="N68" s="736"/>
      <c r="O68" s="736"/>
      <c r="P68" s="736"/>
      <c r="Q68" s="736"/>
      <c r="R68" s="737"/>
      <c r="S68" s="590" t="s">
        <v>1218</v>
      </c>
      <c r="T68" s="590"/>
      <c r="U68" s="590"/>
      <c r="V68" s="590"/>
      <c r="W68" s="605">
        <f>'BP A1'!X35</f>
        <v>289900000</v>
      </c>
      <c r="X68" s="605"/>
      <c r="Y68" s="605"/>
      <c r="Z68" s="605"/>
      <c r="AA68" s="605"/>
      <c r="AB68" s="605"/>
      <c r="AC68" s="605"/>
      <c r="AD68" s="605"/>
      <c r="AE68" s="605"/>
      <c r="AF68" s="605"/>
      <c r="AG68" s="605">
        <f>'BP A1'!X50</f>
        <v>26370000</v>
      </c>
      <c r="AH68" s="605"/>
      <c r="AI68" s="605"/>
      <c r="AJ68" s="605"/>
      <c r="AK68" s="605"/>
      <c r="AL68" s="605"/>
      <c r="AM68" s="605"/>
      <c r="AN68" s="605"/>
    </row>
    <row r="69" spans="3:40" x14ac:dyDescent="0.25">
      <c r="C69" s="590"/>
      <c r="D69" s="590"/>
      <c r="E69" s="732" t="s">
        <v>1247</v>
      </c>
      <c r="F69" s="733"/>
      <c r="G69" s="733"/>
      <c r="H69" s="733"/>
      <c r="I69" s="733"/>
      <c r="J69" s="734"/>
      <c r="K69" s="738" t="s">
        <v>1217</v>
      </c>
      <c r="L69" s="739"/>
      <c r="M69" s="739"/>
      <c r="N69" s="739"/>
      <c r="O69" s="739"/>
      <c r="P69" s="739"/>
      <c r="Q69" s="739"/>
      <c r="R69" s="740"/>
      <c r="S69" s="590"/>
      <c r="T69" s="590"/>
      <c r="U69" s="590"/>
      <c r="V69" s="590"/>
      <c r="W69" s="605"/>
      <c r="X69" s="605"/>
      <c r="Y69" s="605"/>
      <c r="Z69" s="605"/>
      <c r="AA69" s="605"/>
      <c r="AB69" s="605"/>
      <c r="AC69" s="605"/>
      <c r="AD69" s="605"/>
      <c r="AE69" s="605"/>
      <c r="AF69" s="605"/>
      <c r="AG69" s="605"/>
      <c r="AH69" s="605"/>
      <c r="AI69" s="605"/>
      <c r="AJ69" s="605"/>
      <c r="AK69" s="605"/>
      <c r="AL69" s="605"/>
      <c r="AM69" s="605"/>
      <c r="AN69" s="605"/>
    </row>
    <row r="70" spans="3:40" hidden="1" x14ac:dyDescent="0.25">
      <c r="C70" s="592"/>
      <c r="D70" s="592"/>
      <c r="E70" s="610" t="s">
        <v>224</v>
      </c>
      <c r="F70" s="611"/>
      <c r="G70" s="611"/>
      <c r="H70" s="611"/>
      <c r="I70" s="611"/>
      <c r="J70" s="633"/>
      <c r="K70" s="717" t="s">
        <v>271</v>
      </c>
      <c r="L70" s="718"/>
      <c r="M70" s="718"/>
      <c r="N70" s="718"/>
      <c r="O70" s="718"/>
      <c r="P70" s="718"/>
      <c r="Q70" s="718"/>
      <c r="R70" s="719"/>
      <c r="S70" s="674"/>
      <c r="T70" s="674"/>
      <c r="U70" s="674"/>
      <c r="V70" s="674"/>
      <c r="W70" s="674"/>
      <c r="X70" s="674"/>
      <c r="Y70" s="674"/>
      <c r="Z70" s="674"/>
      <c r="AA70" s="674"/>
      <c r="AB70" s="674"/>
      <c r="AC70" s="674"/>
      <c r="AD70" s="674"/>
      <c r="AE70" s="674"/>
      <c r="AF70" s="674"/>
      <c r="AG70" s="674"/>
      <c r="AH70" s="674"/>
      <c r="AI70" s="674"/>
      <c r="AJ70" s="674"/>
      <c r="AK70" s="674"/>
      <c r="AL70" s="674"/>
      <c r="AM70" s="674"/>
      <c r="AN70" s="674"/>
    </row>
    <row r="71" spans="3:40" hidden="1" x14ac:dyDescent="0.25">
      <c r="C71" s="592"/>
      <c r="D71" s="592"/>
      <c r="E71" s="612" t="s">
        <v>225</v>
      </c>
      <c r="F71" s="613"/>
      <c r="G71" s="613"/>
      <c r="H71" s="613"/>
      <c r="I71" s="613"/>
      <c r="J71" s="634"/>
      <c r="K71" s="723" t="s">
        <v>272</v>
      </c>
      <c r="L71" s="724"/>
      <c r="M71" s="724"/>
      <c r="N71" s="724"/>
      <c r="O71" s="724"/>
      <c r="P71" s="724"/>
      <c r="Q71" s="724"/>
      <c r="R71" s="725"/>
      <c r="S71" s="674"/>
      <c r="T71" s="674"/>
      <c r="U71" s="674"/>
      <c r="V71" s="674"/>
      <c r="W71" s="674"/>
      <c r="X71" s="674"/>
      <c r="Y71" s="674"/>
      <c r="Z71" s="674"/>
      <c r="AA71" s="674"/>
      <c r="AB71" s="674"/>
      <c r="AC71" s="674"/>
      <c r="AD71" s="674"/>
      <c r="AE71" s="674"/>
      <c r="AF71" s="674"/>
      <c r="AG71" s="674"/>
      <c r="AH71" s="674"/>
      <c r="AI71" s="674"/>
      <c r="AJ71" s="674"/>
      <c r="AK71" s="674"/>
      <c r="AL71" s="674"/>
      <c r="AM71" s="674"/>
      <c r="AN71" s="674"/>
    </row>
    <row r="72" spans="3:40" hidden="1" x14ac:dyDescent="0.25">
      <c r="C72" s="592"/>
      <c r="D72" s="592"/>
      <c r="E72" s="610" t="s">
        <v>224</v>
      </c>
      <c r="F72" s="611"/>
      <c r="G72" s="611"/>
      <c r="H72" s="611"/>
      <c r="I72" s="611"/>
      <c r="J72" s="633"/>
      <c r="K72" s="717" t="s">
        <v>271</v>
      </c>
      <c r="L72" s="718"/>
      <c r="M72" s="718"/>
      <c r="N72" s="718"/>
      <c r="O72" s="718"/>
      <c r="P72" s="718"/>
      <c r="Q72" s="718"/>
      <c r="R72" s="719"/>
      <c r="S72" s="674"/>
      <c r="T72" s="674"/>
      <c r="U72" s="674"/>
      <c r="V72" s="674"/>
      <c r="W72" s="674"/>
      <c r="X72" s="674"/>
      <c r="Y72" s="674"/>
      <c r="Z72" s="674"/>
      <c r="AA72" s="674"/>
      <c r="AB72" s="674"/>
      <c r="AC72" s="674"/>
      <c r="AD72" s="674"/>
      <c r="AE72" s="674"/>
      <c r="AF72" s="674"/>
      <c r="AG72" s="674"/>
      <c r="AH72" s="674"/>
      <c r="AI72" s="674"/>
      <c r="AJ72" s="674"/>
      <c r="AK72" s="674"/>
      <c r="AL72" s="674"/>
      <c r="AM72" s="674"/>
      <c r="AN72" s="674"/>
    </row>
    <row r="73" spans="3:40" hidden="1" x14ac:dyDescent="0.25">
      <c r="C73" s="592"/>
      <c r="D73" s="592"/>
      <c r="E73" s="612" t="s">
        <v>225</v>
      </c>
      <c r="F73" s="613"/>
      <c r="G73" s="613"/>
      <c r="H73" s="613"/>
      <c r="I73" s="613"/>
      <c r="J73" s="634"/>
      <c r="K73" s="723" t="s">
        <v>272</v>
      </c>
      <c r="L73" s="724"/>
      <c r="M73" s="724"/>
      <c r="N73" s="724"/>
      <c r="O73" s="724"/>
      <c r="P73" s="724"/>
      <c r="Q73" s="724"/>
      <c r="R73" s="725"/>
      <c r="S73" s="674"/>
      <c r="T73" s="674"/>
      <c r="U73" s="674"/>
      <c r="V73" s="674"/>
      <c r="W73" s="674"/>
      <c r="X73" s="674"/>
      <c r="Y73" s="674"/>
      <c r="Z73" s="674"/>
      <c r="AA73" s="674"/>
      <c r="AB73" s="674"/>
      <c r="AC73" s="674"/>
      <c r="AD73" s="674"/>
      <c r="AE73" s="674"/>
      <c r="AF73" s="674"/>
      <c r="AG73" s="674"/>
      <c r="AH73" s="674"/>
      <c r="AI73" s="674"/>
      <c r="AJ73" s="674"/>
      <c r="AK73" s="674"/>
      <c r="AL73" s="674"/>
      <c r="AM73" s="674"/>
      <c r="AN73" s="674"/>
    </row>
    <row r="74" spans="3:40" hidden="1" x14ac:dyDescent="0.25">
      <c r="C74" s="592"/>
      <c r="D74" s="592"/>
      <c r="E74" s="610" t="s">
        <v>224</v>
      </c>
      <c r="F74" s="611"/>
      <c r="G74" s="611"/>
      <c r="H74" s="611"/>
      <c r="I74" s="611"/>
      <c r="J74" s="633"/>
      <c r="K74" s="717" t="s">
        <v>271</v>
      </c>
      <c r="L74" s="718"/>
      <c r="M74" s="718"/>
      <c r="N74" s="718"/>
      <c r="O74" s="718"/>
      <c r="P74" s="718"/>
      <c r="Q74" s="718"/>
      <c r="R74" s="719"/>
      <c r="S74" s="674"/>
      <c r="T74" s="674"/>
      <c r="U74" s="674"/>
      <c r="V74" s="674"/>
      <c r="W74" s="674"/>
      <c r="X74" s="674"/>
      <c r="Y74" s="674"/>
      <c r="Z74" s="674"/>
      <c r="AA74" s="674"/>
      <c r="AB74" s="674"/>
      <c r="AC74" s="674"/>
      <c r="AD74" s="674"/>
      <c r="AE74" s="674"/>
      <c r="AF74" s="674"/>
      <c r="AG74" s="674"/>
      <c r="AH74" s="674"/>
      <c r="AI74" s="674"/>
      <c r="AJ74" s="674"/>
      <c r="AK74" s="674"/>
      <c r="AL74" s="674"/>
      <c r="AM74" s="674"/>
      <c r="AN74" s="674"/>
    </row>
    <row r="75" spans="3:40" hidden="1" x14ac:dyDescent="0.25">
      <c r="C75" s="592"/>
      <c r="D75" s="592"/>
      <c r="E75" s="612" t="s">
        <v>225</v>
      </c>
      <c r="F75" s="613"/>
      <c r="G75" s="613"/>
      <c r="H75" s="613"/>
      <c r="I75" s="613"/>
      <c r="J75" s="634"/>
      <c r="K75" s="723" t="s">
        <v>272</v>
      </c>
      <c r="L75" s="724"/>
      <c r="M75" s="724"/>
      <c r="N75" s="724"/>
      <c r="O75" s="724"/>
      <c r="P75" s="724"/>
      <c r="Q75" s="724"/>
      <c r="R75" s="725"/>
      <c r="S75" s="674"/>
      <c r="T75" s="674"/>
      <c r="U75" s="674"/>
      <c r="V75" s="674"/>
      <c r="W75" s="674"/>
      <c r="X75" s="674"/>
      <c r="Y75" s="674"/>
      <c r="Z75" s="674"/>
      <c r="AA75" s="674"/>
      <c r="AB75" s="674"/>
      <c r="AC75" s="674"/>
      <c r="AD75" s="674"/>
      <c r="AE75" s="674"/>
      <c r="AF75" s="674"/>
      <c r="AG75" s="674"/>
      <c r="AH75" s="674"/>
      <c r="AI75" s="674"/>
      <c r="AJ75" s="674"/>
      <c r="AK75" s="674"/>
      <c r="AL75" s="674"/>
      <c r="AM75" s="674"/>
      <c r="AN75" s="674"/>
    </row>
    <row r="76" spans="3:40" hidden="1" x14ac:dyDescent="0.25">
      <c r="C76" s="592"/>
      <c r="D76" s="592"/>
      <c r="E76" s="610" t="s">
        <v>224</v>
      </c>
      <c r="F76" s="611"/>
      <c r="G76" s="611"/>
      <c r="H76" s="611"/>
      <c r="I76" s="611"/>
      <c r="J76" s="633"/>
      <c r="K76" s="717" t="s">
        <v>271</v>
      </c>
      <c r="L76" s="718"/>
      <c r="M76" s="718"/>
      <c r="N76" s="718"/>
      <c r="O76" s="718"/>
      <c r="P76" s="718"/>
      <c r="Q76" s="718"/>
      <c r="R76" s="719"/>
      <c r="S76" s="674"/>
      <c r="T76" s="674"/>
      <c r="U76" s="674"/>
      <c r="V76" s="674"/>
      <c r="W76" s="674"/>
      <c r="X76" s="674"/>
      <c r="Y76" s="674"/>
      <c r="Z76" s="674"/>
      <c r="AA76" s="674"/>
      <c r="AB76" s="674"/>
      <c r="AC76" s="674"/>
      <c r="AD76" s="674"/>
      <c r="AE76" s="674"/>
      <c r="AF76" s="674"/>
      <c r="AG76" s="674"/>
      <c r="AH76" s="674"/>
      <c r="AI76" s="674"/>
      <c r="AJ76" s="674"/>
      <c r="AK76" s="674"/>
      <c r="AL76" s="674"/>
      <c r="AM76" s="674"/>
      <c r="AN76" s="674"/>
    </row>
    <row r="77" spans="3:40" hidden="1" x14ac:dyDescent="0.25">
      <c r="C77" s="592"/>
      <c r="D77" s="592"/>
      <c r="E77" s="612" t="s">
        <v>225</v>
      </c>
      <c r="F77" s="613"/>
      <c r="G77" s="613"/>
      <c r="H77" s="613"/>
      <c r="I77" s="613"/>
      <c r="J77" s="634"/>
      <c r="K77" s="723" t="s">
        <v>272</v>
      </c>
      <c r="L77" s="724"/>
      <c r="M77" s="724"/>
      <c r="N77" s="724"/>
      <c r="O77" s="724"/>
      <c r="P77" s="724"/>
      <c r="Q77" s="724"/>
      <c r="R77" s="725"/>
      <c r="S77" s="674"/>
      <c r="T77" s="674"/>
      <c r="U77" s="674"/>
      <c r="V77" s="674"/>
      <c r="W77" s="674"/>
      <c r="X77" s="674"/>
      <c r="Y77" s="674"/>
      <c r="Z77" s="674"/>
      <c r="AA77" s="674"/>
      <c r="AB77" s="674"/>
      <c r="AC77" s="674"/>
      <c r="AD77" s="674"/>
      <c r="AE77" s="674"/>
      <c r="AF77" s="674"/>
      <c r="AG77" s="674"/>
      <c r="AH77" s="674"/>
      <c r="AI77" s="674"/>
      <c r="AJ77" s="674"/>
      <c r="AK77" s="674"/>
      <c r="AL77" s="674"/>
      <c r="AM77" s="674"/>
      <c r="AN77" s="674"/>
    </row>
    <row r="78" spans="3:40" hidden="1" x14ac:dyDescent="0.25">
      <c r="C78" s="592"/>
      <c r="D78" s="592"/>
      <c r="E78" s="610" t="s">
        <v>224</v>
      </c>
      <c r="F78" s="611"/>
      <c r="G78" s="611"/>
      <c r="H78" s="611"/>
      <c r="I78" s="611"/>
      <c r="J78" s="633"/>
      <c r="K78" s="717" t="s">
        <v>271</v>
      </c>
      <c r="L78" s="718"/>
      <c r="M78" s="718"/>
      <c r="N78" s="718"/>
      <c r="O78" s="718"/>
      <c r="P78" s="718"/>
      <c r="Q78" s="718"/>
      <c r="R78" s="719"/>
      <c r="S78" s="674"/>
      <c r="T78" s="674"/>
      <c r="U78" s="674"/>
      <c r="V78" s="674"/>
      <c r="W78" s="674"/>
      <c r="X78" s="674"/>
      <c r="Y78" s="674"/>
      <c r="Z78" s="674"/>
      <c r="AA78" s="674"/>
      <c r="AB78" s="674"/>
      <c r="AC78" s="674"/>
      <c r="AD78" s="674"/>
      <c r="AE78" s="674"/>
      <c r="AF78" s="674"/>
      <c r="AG78" s="674"/>
      <c r="AH78" s="674"/>
      <c r="AI78" s="674"/>
      <c r="AJ78" s="674"/>
      <c r="AK78" s="674"/>
      <c r="AL78" s="674"/>
      <c r="AM78" s="674"/>
      <c r="AN78" s="674"/>
    </row>
    <row r="79" spans="3:40" hidden="1" x14ac:dyDescent="0.25">
      <c r="C79" s="592"/>
      <c r="D79" s="592"/>
      <c r="E79" s="612" t="s">
        <v>225</v>
      </c>
      <c r="F79" s="613"/>
      <c r="G79" s="613"/>
      <c r="H79" s="613"/>
      <c r="I79" s="613"/>
      <c r="J79" s="634"/>
      <c r="K79" s="723" t="s">
        <v>272</v>
      </c>
      <c r="L79" s="724"/>
      <c r="M79" s="724"/>
      <c r="N79" s="724"/>
      <c r="O79" s="724"/>
      <c r="P79" s="724"/>
      <c r="Q79" s="724"/>
      <c r="R79" s="725"/>
      <c r="S79" s="674"/>
      <c r="T79" s="674"/>
      <c r="U79" s="674"/>
      <c r="V79" s="674"/>
      <c r="W79" s="674"/>
      <c r="X79" s="674"/>
      <c r="Y79" s="674"/>
      <c r="Z79" s="674"/>
      <c r="AA79" s="674"/>
      <c r="AB79" s="674"/>
      <c r="AC79" s="674"/>
      <c r="AD79" s="674"/>
      <c r="AE79" s="674"/>
      <c r="AF79" s="674"/>
      <c r="AG79" s="674"/>
      <c r="AH79" s="674"/>
      <c r="AI79" s="674"/>
      <c r="AJ79" s="674"/>
      <c r="AK79" s="674"/>
      <c r="AL79" s="674"/>
      <c r="AM79" s="674"/>
      <c r="AN79" s="674"/>
    </row>
    <row r="80" spans="3:40" hidden="1" x14ac:dyDescent="0.25">
      <c r="C80" s="592"/>
      <c r="D80" s="592"/>
      <c r="E80" s="610" t="s">
        <v>224</v>
      </c>
      <c r="F80" s="611"/>
      <c r="G80" s="611"/>
      <c r="H80" s="611"/>
      <c r="I80" s="611"/>
      <c r="J80" s="633"/>
      <c r="K80" s="717" t="s">
        <v>271</v>
      </c>
      <c r="L80" s="718"/>
      <c r="M80" s="718"/>
      <c r="N80" s="718"/>
      <c r="O80" s="718"/>
      <c r="P80" s="718"/>
      <c r="Q80" s="718"/>
      <c r="R80" s="719"/>
      <c r="S80" s="674"/>
      <c r="T80" s="674"/>
      <c r="U80" s="674"/>
      <c r="V80" s="674"/>
      <c r="W80" s="674"/>
      <c r="X80" s="674"/>
      <c r="Y80" s="674"/>
      <c r="Z80" s="674"/>
      <c r="AA80" s="674"/>
      <c r="AB80" s="674"/>
      <c r="AC80" s="674"/>
      <c r="AD80" s="674"/>
      <c r="AE80" s="674"/>
      <c r="AF80" s="674"/>
      <c r="AG80" s="674"/>
      <c r="AH80" s="674"/>
      <c r="AI80" s="674"/>
      <c r="AJ80" s="674"/>
      <c r="AK80" s="674"/>
      <c r="AL80" s="674"/>
      <c r="AM80" s="674"/>
      <c r="AN80" s="674"/>
    </row>
    <row r="81" spans="3:40" hidden="1" x14ac:dyDescent="0.25">
      <c r="C81" s="592"/>
      <c r="D81" s="592"/>
      <c r="E81" s="612" t="s">
        <v>225</v>
      </c>
      <c r="F81" s="613"/>
      <c r="G81" s="613"/>
      <c r="H81" s="613"/>
      <c r="I81" s="613"/>
      <c r="J81" s="634"/>
      <c r="K81" s="723" t="s">
        <v>272</v>
      </c>
      <c r="L81" s="724"/>
      <c r="M81" s="724"/>
      <c r="N81" s="724"/>
      <c r="O81" s="724"/>
      <c r="P81" s="724"/>
      <c r="Q81" s="724"/>
      <c r="R81" s="725"/>
      <c r="S81" s="674"/>
      <c r="T81" s="674"/>
      <c r="U81" s="674"/>
      <c r="V81" s="674"/>
      <c r="W81" s="674"/>
      <c r="X81" s="674"/>
      <c r="Y81" s="674"/>
      <c r="Z81" s="674"/>
      <c r="AA81" s="674"/>
      <c r="AB81" s="674"/>
      <c r="AC81" s="674"/>
      <c r="AD81" s="674"/>
      <c r="AE81" s="674"/>
      <c r="AF81" s="674"/>
      <c r="AG81" s="674"/>
      <c r="AH81" s="674"/>
      <c r="AI81" s="674"/>
      <c r="AJ81" s="674"/>
      <c r="AK81" s="674"/>
      <c r="AL81" s="674"/>
      <c r="AM81" s="674"/>
      <c r="AN81" s="674"/>
    </row>
    <row r="82" spans="3:40" hidden="1" x14ac:dyDescent="0.25">
      <c r="C82" s="592"/>
      <c r="D82" s="592"/>
      <c r="E82" s="610" t="s">
        <v>224</v>
      </c>
      <c r="F82" s="611"/>
      <c r="G82" s="611"/>
      <c r="H82" s="611"/>
      <c r="I82" s="611"/>
      <c r="J82" s="633"/>
      <c r="K82" s="717" t="s">
        <v>271</v>
      </c>
      <c r="L82" s="718"/>
      <c r="M82" s="718"/>
      <c r="N82" s="718"/>
      <c r="O82" s="718"/>
      <c r="P82" s="718"/>
      <c r="Q82" s="718"/>
      <c r="R82" s="719"/>
      <c r="S82" s="674"/>
      <c r="T82" s="674"/>
      <c r="U82" s="674"/>
      <c r="V82" s="674"/>
      <c r="W82" s="674"/>
      <c r="X82" s="674"/>
      <c r="Y82" s="674"/>
      <c r="Z82" s="674"/>
      <c r="AA82" s="674"/>
      <c r="AB82" s="674"/>
      <c r="AC82" s="674"/>
      <c r="AD82" s="674"/>
      <c r="AE82" s="674"/>
      <c r="AF82" s="674"/>
      <c r="AG82" s="674"/>
      <c r="AH82" s="674"/>
      <c r="AI82" s="674"/>
      <c r="AJ82" s="674"/>
      <c r="AK82" s="674"/>
      <c r="AL82" s="674"/>
      <c r="AM82" s="674"/>
      <c r="AN82" s="674"/>
    </row>
    <row r="83" spans="3:40" hidden="1" x14ac:dyDescent="0.25">
      <c r="C83" s="592"/>
      <c r="D83" s="592"/>
      <c r="E83" s="612" t="s">
        <v>225</v>
      </c>
      <c r="F83" s="613"/>
      <c r="G83" s="613"/>
      <c r="H83" s="613"/>
      <c r="I83" s="613"/>
      <c r="J83" s="634"/>
      <c r="K83" s="723" t="s">
        <v>272</v>
      </c>
      <c r="L83" s="724"/>
      <c r="M83" s="724"/>
      <c r="N83" s="724"/>
      <c r="O83" s="724"/>
      <c r="P83" s="724"/>
      <c r="Q83" s="724"/>
      <c r="R83" s="725"/>
      <c r="S83" s="674"/>
      <c r="T83" s="674"/>
      <c r="U83" s="674"/>
      <c r="V83" s="674"/>
      <c r="W83" s="674"/>
      <c r="X83" s="674"/>
      <c r="Y83" s="674"/>
      <c r="Z83" s="674"/>
      <c r="AA83" s="674"/>
      <c r="AB83" s="674"/>
      <c r="AC83" s="674"/>
      <c r="AD83" s="674"/>
      <c r="AE83" s="674"/>
      <c r="AF83" s="674"/>
      <c r="AG83" s="674"/>
      <c r="AH83" s="674"/>
      <c r="AI83" s="674"/>
      <c r="AJ83" s="674"/>
      <c r="AK83" s="674"/>
      <c r="AL83" s="674"/>
      <c r="AM83" s="674"/>
      <c r="AN83" s="674"/>
    </row>
    <row r="84" spans="3:40" hidden="1" x14ac:dyDescent="0.25">
      <c r="C84" s="592"/>
      <c r="D84" s="592"/>
      <c r="E84" s="610" t="s">
        <v>224</v>
      </c>
      <c r="F84" s="611"/>
      <c r="G84" s="611"/>
      <c r="H84" s="611"/>
      <c r="I84" s="611"/>
      <c r="J84" s="633"/>
      <c r="K84" s="717" t="s">
        <v>271</v>
      </c>
      <c r="L84" s="718"/>
      <c r="M84" s="718"/>
      <c r="N84" s="718"/>
      <c r="O84" s="718"/>
      <c r="P84" s="718"/>
      <c r="Q84" s="718"/>
      <c r="R84" s="719"/>
      <c r="S84" s="674"/>
      <c r="T84" s="674"/>
      <c r="U84" s="674"/>
      <c r="V84" s="674"/>
      <c r="W84" s="674"/>
      <c r="X84" s="674"/>
      <c r="Y84" s="674"/>
      <c r="Z84" s="674"/>
      <c r="AA84" s="674"/>
      <c r="AB84" s="674"/>
      <c r="AC84" s="674"/>
      <c r="AD84" s="674"/>
      <c r="AE84" s="674"/>
      <c r="AF84" s="674"/>
      <c r="AG84" s="674"/>
      <c r="AH84" s="674"/>
      <c r="AI84" s="674"/>
      <c r="AJ84" s="674"/>
      <c r="AK84" s="674"/>
      <c r="AL84" s="674"/>
      <c r="AM84" s="674"/>
      <c r="AN84" s="674"/>
    </row>
    <row r="85" spans="3:40" hidden="1" x14ac:dyDescent="0.25">
      <c r="C85" s="592"/>
      <c r="D85" s="592"/>
      <c r="E85" s="612" t="s">
        <v>225</v>
      </c>
      <c r="F85" s="613"/>
      <c r="G85" s="613"/>
      <c r="H85" s="613"/>
      <c r="I85" s="613"/>
      <c r="J85" s="634"/>
      <c r="K85" s="723" t="s">
        <v>272</v>
      </c>
      <c r="L85" s="724"/>
      <c r="M85" s="724"/>
      <c r="N85" s="724"/>
      <c r="O85" s="724"/>
      <c r="P85" s="724"/>
      <c r="Q85" s="724"/>
      <c r="R85" s="725"/>
      <c r="S85" s="674"/>
      <c r="T85" s="674"/>
      <c r="U85" s="674"/>
      <c r="V85" s="674"/>
      <c r="W85" s="674"/>
      <c r="X85" s="674"/>
      <c r="Y85" s="674"/>
      <c r="Z85" s="674"/>
      <c r="AA85" s="674"/>
      <c r="AB85" s="674"/>
      <c r="AC85" s="674"/>
      <c r="AD85" s="674"/>
      <c r="AE85" s="674"/>
      <c r="AF85" s="674"/>
      <c r="AG85" s="674"/>
      <c r="AH85" s="674"/>
      <c r="AI85" s="674"/>
      <c r="AJ85" s="674"/>
      <c r="AK85" s="674"/>
      <c r="AL85" s="674"/>
      <c r="AM85" s="674"/>
      <c r="AN85" s="674"/>
    </row>
    <row r="86" spans="3:40" hidden="1" x14ac:dyDescent="0.25">
      <c r="C86" s="592"/>
      <c r="D86" s="592"/>
      <c r="E86" s="610" t="s">
        <v>224</v>
      </c>
      <c r="F86" s="611"/>
      <c r="G86" s="611"/>
      <c r="H86" s="611"/>
      <c r="I86" s="611"/>
      <c r="J86" s="633"/>
      <c r="K86" s="717" t="s">
        <v>271</v>
      </c>
      <c r="L86" s="718"/>
      <c r="M86" s="718"/>
      <c r="N86" s="718"/>
      <c r="O86" s="718"/>
      <c r="P86" s="718"/>
      <c r="Q86" s="718"/>
      <c r="R86" s="719"/>
      <c r="S86" s="674"/>
      <c r="T86" s="674"/>
      <c r="U86" s="674"/>
      <c r="V86" s="674"/>
      <c r="W86" s="674"/>
      <c r="X86" s="674"/>
      <c r="Y86" s="674"/>
      <c r="Z86" s="674"/>
      <c r="AA86" s="674"/>
      <c r="AB86" s="674"/>
      <c r="AC86" s="674"/>
      <c r="AD86" s="674"/>
      <c r="AE86" s="674"/>
      <c r="AF86" s="674"/>
      <c r="AG86" s="674"/>
      <c r="AH86" s="674"/>
      <c r="AI86" s="674"/>
      <c r="AJ86" s="674"/>
      <c r="AK86" s="674"/>
      <c r="AL86" s="674"/>
      <c r="AM86" s="674"/>
      <c r="AN86" s="674"/>
    </row>
    <row r="87" spans="3:40" hidden="1" x14ac:dyDescent="0.25">
      <c r="C87" s="592"/>
      <c r="D87" s="592"/>
      <c r="E87" s="612" t="s">
        <v>225</v>
      </c>
      <c r="F87" s="613"/>
      <c r="G87" s="613"/>
      <c r="H87" s="613"/>
      <c r="I87" s="613"/>
      <c r="J87" s="634"/>
      <c r="K87" s="723" t="s">
        <v>272</v>
      </c>
      <c r="L87" s="724"/>
      <c r="M87" s="724"/>
      <c r="N87" s="724"/>
      <c r="O87" s="724"/>
      <c r="P87" s="724"/>
      <c r="Q87" s="724"/>
      <c r="R87" s="725"/>
      <c r="S87" s="674"/>
      <c r="T87" s="674"/>
      <c r="U87" s="674"/>
      <c r="V87" s="674"/>
      <c r="W87" s="674"/>
      <c r="X87" s="674"/>
      <c r="Y87" s="674"/>
      <c r="Z87" s="674"/>
      <c r="AA87" s="674"/>
      <c r="AB87" s="674"/>
      <c r="AC87" s="674"/>
      <c r="AD87" s="674"/>
      <c r="AE87" s="674"/>
      <c r="AF87" s="674"/>
      <c r="AG87" s="674"/>
      <c r="AH87" s="674"/>
      <c r="AI87" s="674"/>
      <c r="AJ87" s="674"/>
      <c r="AK87" s="674"/>
      <c r="AL87" s="674"/>
      <c r="AM87" s="674"/>
      <c r="AN87" s="674"/>
    </row>
    <row r="88" spans="3:40" hidden="1" x14ac:dyDescent="0.25">
      <c r="C88" s="592"/>
      <c r="D88" s="592"/>
      <c r="E88" s="610" t="s">
        <v>224</v>
      </c>
      <c r="F88" s="611"/>
      <c r="G88" s="611"/>
      <c r="H88" s="611"/>
      <c r="I88" s="611"/>
      <c r="J88" s="633"/>
      <c r="K88" s="717" t="s">
        <v>271</v>
      </c>
      <c r="L88" s="718"/>
      <c r="M88" s="718"/>
      <c r="N88" s="718"/>
      <c r="O88" s="718"/>
      <c r="P88" s="718"/>
      <c r="Q88" s="718"/>
      <c r="R88" s="719"/>
      <c r="S88" s="674"/>
      <c r="T88" s="674"/>
      <c r="U88" s="674"/>
      <c r="V88" s="674"/>
      <c r="W88" s="674"/>
      <c r="X88" s="674"/>
      <c r="Y88" s="674"/>
      <c r="Z88" s="674"/>
      <c r="AA88" s="674"/>
      <c r="AB88" s="674"/>
      <c r="AC88" s="674"/>
      <c r="AD88" s="674"/>
      <c r="AE88" s="674"/>
      <c r="AF88" s="674"/>
      <c r="AG88" s="674"/>
      <c r="AH88" s="674"/>
      <c r="AI88" s="674"/>
      <c r="AJ88" s="674"/>
      <c r="AK88" s="674"/>
      <c r="AL88" s="674"/>
      <c r="AM88" s="674"/>
      <c r="AN88" s="674"/>
    </row>
    <row r="89" spans="3:40" hidden="1" x14ac:dyDescent="0.25">
      <c r="C89" s="592"/>
      <c r="D89" s="592"/>
      <c r="E89" s="612" t="s">
        <v>225</v>
      </c>
      <c r="F89" s="613"/>
      <c r="G89" s="613"/>
      <c r="H89" s="613"/>
      <c r="I89" s="613"/>
      <c r="J89" s="634"/>
      <c r="K89" s="723" t="s">
        <v>272</v>
      </c>
      <c r="L89" s="724"/>
      <c r="M89" s="724"/>
      <c r="N89" s="724"/>
      <c r="O89" s="724"/>
      <c r="P89" s="724"/>
      <c r="Q89" s="724"/>
      <c r="R89" s="725"/>
      <c r="S89" s="674"/>
      <c r="T89" s="674"/>
      <c r="U89" s="674"/>
      <c r="V89" s="674"/>
      <c r="W89" s="674"/>
      <c r="X89" s="674"/>
      <c r="Y89" s="674"/>
      <c r="Z89" s="674"/>
      <c r="AA89" s="674"/>
      <c r="AB89" s="674"/>
      <c r="AC89" s="674"/>
      <c r="AD89" s="674"/>
      <c r="AE89" s="674"/>
      <c r="AF89" s="674"/>
      <c r="AG89" s="674"/>
      <c r="AH89" s="674"/>
      <c r="AI89" s="674"/>
      <c r="AJ89" s="674"/>
      <c r="AK89" s="674"/>
      <c r="AL89" s="674"/>
      <c r="AM89" s="674"/>
      <c r="AN89" s="674"/>
    </row>
    <row r="90" spans="3:40" hidden="1" x14ac:dyDescent="0.25">
      <c r="C90" s="592"/>
      <c r="D90" s="592"/>
      <c r="E90" s="610" t="s">
        <v>224</v>
      </c>
      <c r="F90" s="611"/>
      <c r="G90" s="611"/>
      <c r="H90" s="611"/>
      <c r="I90" s="611"/>
      <c r="J90" s="633"/>
      <c r="K90" s="717" t="s">
        <v>271</v>
      </c>
      <c r="L90" s="718"/>
      <c r="M90" s="718"/>
      <c r="N90" s="718"/>
      <c r="O90" s="718"/>
      <c r="P90" s="718"/>
      <c r="Q90" s="718"/>
      <c r="R90" s="719"/>
      <c r="S90" s="674"/>
      <c r="T90" s="674"/>
      <c r="U90" s="674"/>
      <c r="V90" s="674"/>
      <c r="W90" s="674"/>
      <c r="X90" s="674"/>
      <c r="Y90" s="674"/>
      <c r="Z90" s="674"/>
      <c r="AA90" s="674"/>
      <c r="AB90" s="674"/>
      <c r="AC90" s="674"/>
      <c r="AD90" s="674"/>
      <c r="AE90" s="674"/>
      <c r="AF90" s="674"/>
      <c r="AG90" s="674"/>
      <c r="AH90" s="674"/>
      <c r="AI90" s="674"/>
      <c r="AJ90" s="674"/>
      <c r="AK90" s="674"/>
      <c r="AL90" s="674"/>
      <c r="AM90" s="674"/>
      <c r="AN90" s="674"/>
    </row>
    <row r="91" spans="3:40" hidden="1" x14ac:dyDescent="0.25">
      <c r="C91" s="592"/>
      <c r="D91" s="592"/>
      <c r="E91" s="612" t="s">
        <v>225</v>
      </c>
      <c r="F91" s="613"/>
      <c r="G91" s="613"/>
      <c r="H91" s="613"/>
      <c r="I91" s="613"/>
      <c r="J91" s="634"/>
      <c r="K91" s="723" t="s">
        <v>272</v>
      </c>
      <c r="L91" s="724"/>
      <c r="M91" s="724"/>
      <c r="N91" s="724"/>
      <c r="O91" s="724"/>
      <c r="P91" s="724"/>
      <c r="Q91" s="724"/>
      <c r="R91" s="725"/>
      <c r="S91" s="674"/>
      <c r="T91" s="674"/>
      <c r="U91" s="674"/>
      <c r="V91" s="674"/>
      <c r="W91" s="674"/>
      <c r="X91" s="674"/>
      <c r="Y91" s="674"/>
      <c r="Z91" s="674"/>
      <c r="AA91" s="674"/>
      <c r="AB91" s="674"/>
      <c r="AC91" s="674"/>
      <c r="AD91" s="674"/>
      <c r="AE91" s="674"/>
      <c r="AF91" s="674"/>
      <c r="AG91" s="674"/>
      <c r="AH91" s="674"/>
      <c r="AI91" s="674"/>
      <c r="AJ91" s="674"/>
      <c r="AK91" s="674"/>
      <c r="AL91" s="674"/>
      <c r="AM91" s="674"/>
      <c r="AN91" s="674"/>
    </row>
    <row r="92" spans="3:40" hidden="1" x14ac:dyDescent="0.25">
      <c r="C92" s="592"/>
      <c r="D92" s="592"/>
      <c r="E92" s="610" t="s">
        <v>224</v>
      </c>
      <c r="F92" s="611"/>
      <c r="G92" s="611"/>
      <c r="H92" s="611"/>
      <c r="I92" s="611"/>
      <c r="J92" s="633"/>
      <c r="K92" s="717" t="s">
        <v>271</v>
      </c>
      <c r="L92" s="718"/>
      <c r="M92" s="718"/>
      <c r="N92" s="718"/>
      <c r="O92" s="718"/>
      <c r="P92" s="718"/>
      <c r="Q92" s="718"/>
      <c r="R92" s="719"/>
      <c r="S92" s="674"/>
      <c r="T92" s="674"/>
      <c r="U92" s="674"/>
      <c r="V92" s="674"/>
      <c r="W92" s="674"/>
      <c r="X92" s="674"/>
      <c r="Y92" s="674"/>
      <c r="Z92" s="674"/>
      <c r="AA92" s="674"/>
      <c r="AB92" s="674"/>
      <c r="AC92" s="674"/>
      <c r="AD92" s="674"/>
      <c r="AE92" s="674"/>
      <c r="AF92" s="674"/>
      <c r="AG92" s="674"/>
      <c r="AH92" s="674"/>
      <c r="AI92" s="674"/>
      <c r="AJ92" s="674"/>
      <c r="AK92" s="674"/>
      <c r="AL92" s="674"/>
      <c r="AM92" s="674"/>
      <c r="AN92" s="674"/>
    </row>
    <row r="93" spans="3:40" hidden="1" x14ac:dyDescent="0.25">
      <c r="C93" s="592"/>
      <c r="D93" s="592"/>
      <c r="E93" s="612" t="s">
        <v>225</v>
      </c>
      <c r="F93" s="613"/>
      <c r="G93" s="613"/>
      <c r="H93" s="613"/>
      <c r="I93" s="613"/>
      <c r="J93" s="634"/>
      <c r="K93" s="723" t="s">
        <v>272</v>
      </c>
      <c r="L93" s="724"/>
      <c r="M93" s="724"/>
      <c r="N93" s="724"/>
      <c r="O93" s="724"/>
      <c r="P93" s="724"/>
      <c r="Q93" s="724"/>
      <c r="R93" s="725"/>
      <c r="S93" s="674"/>
      <c r="T93" s="674"/>
      <c r="U93" s="674"/>
      <c r="V93" s="674"/>
      <c r="W93" s="674"/>
      <c r="X93" s="674"/>
      <c r="Y93" s="674"/>
      <c r="Z93" s="674"/>
      <c r="AA93" s="674"/>
      <c r="AB93" s="674"/>
      <c r="AC93" s="674"/>
      <c r="AD93" s="674"/>
      <c r="AE93" s="674"/>
      <c r="AF93" s="674"/>
      <c r="AG93" s="674"/>
      <c r="AH93" s="674"/>
      <c r="AI93" s="674"/>
      <c r="AJ93" s="674"/>
      <c r="AK93" s="674"/>
      <c r="AL93" s="674"/>
      <c r="AM93" s="674"/>
      <c r="AN93" s="674"/>
    </row>
    <row r="94" spans="3:40" hidden="1" x14ac:dyDescent="0.25">
      <c r="C94" s="592"/>
      <c r="D94" s="592"/>
      <c r="E94" s="610" t="s">
        <v>224</v>
      </c>
      <c r="F94" s="611"/>
      <c r="G94" s="611"/>
      <c r="H94" s="611"/>
      <c r="I94" s="611"/>
      <c r="J94" s="633"/>
      <c r="K94" s="717" t="s">
        <v>271</v>
      </c>
      <c r="L94" s="718"/>
      <c r="M94" s="718"/>
      <c r="N94" s="718"/>
      <c r="O94" s="718"/>
      <c r="P94" s="718"/>
      <c r="Q94" s="718"/>
      <c r="R94" s="719"/>
      <c r="S94" s="674"/>
      <c r="T94" s="674"/>
      <c r="U94" s="674"/>
      <c r="V94" s="674"/>
      <c r="W94" s="674"/>
      <c r="X94" s="674"/>
      <c r="Y94" s="674"/>
      <c r="Z94" s="674"/>
      <c r="AA94" s="674"/>
      <c r="AB94" s="674"/>
      <c r="AC94" s="674"/>
      <c r="AD94" s="674"/>
      <c r="AE94" s="674"/>
      <c r="AF94" s="674"/>
      <c r="AG94" s="674"/>
      <c r="AH94" s="674"/>
      <c r="AI94" s="674"/>
      <c r="AJ94" s="674"/>
      <c r="AK94" s="674"/>
      <c r="AL94" s="674"/>
      <c r="AM94" s="674"/>
      <c r="AN94" s="674"/>
    </row>
    <row r="95" spans="3:40" hidden="1" x14ac:dyDescent="0.25">
      <c r="C95" s="592"/>
      <c r="D95" s="592"/>
      <c r="E95" s="612" t="s">
        <v>225</v>
      </c>
      <c r="F95" s="613"/>
      <c r="G95" s="613"/>
      <c r="H95" s="613"/>
      <c r="I95" s="613"/>
      <c r="J95" s="634"/>
      <c r="K95" s="723" t="s">
        <v>272</v>
      </c>
      <c r="L95" s="724"/>
      <c r="M95" s="724"/>
      <c r="N95" s="724"/>
      <c r="O95" s="724"/>
      <c r="P95" s="724"/>
      <c r="Q95" s="724"/>
      <c r="R95" s="725"/>
      <c r="S95" s="674"/>
      <c r="T95" s="674"/>
      <c r="U95" s="674"/>
      <c r="V95" s="674"/>
      <c r="W95" s="674"/>
      <c r="X95" s="674"/>
      <c r="Y95" s="674"/>
      <c r="Z95" s="674"/>
      <c r="AA95" s="674"/>
      <c r="AB95" s="674"/>
      <c r="AC95" s="674"/>
      <c r="AD95" s="674"/>
      <c r="AE95" s="674"/>
      <c r="AF95" s="674"/>
      <c r="AG95" s="674"/>
      <c r="AH95" s="674"/>
      <c r="AI95" s="674"/>
      <c r="AJ95" s="674"/>
      <c r="AK95" s="674"/>
      <c r="AL95" s="674"/>
      <c r="AM95" s="674"/>
      <c r="AN95" s="674"/>
    </row>
    <row r="96" spans="3:40" hidden="1" x14ac:dyDescent="0.25">
      <c r="C96" s="592"/>
      <c r="D96" s="592"/>
      <c r="E96" s="610" t="s">
        <v>224</v>
      </c>
      <c r="F96" s="611"/>
      <c r="G96" s="611"/>
      <c r="H96" s="611"/>
      <c r="I96" s="611"/>
      <c r="J96" s="633"/>
      <c r="K96" s="717" t="s">
        <v>271</v>
      </c>
      <c r="L96" s="718"/>
      <c r="M96" s="718"/>
      <c r="N96" s="718"/>
      <c r="O96" s="718"/>
      <c r="P96" s="718"/>
      <c r="Q96" s="718"/>
      <c r="R96" s="719"/>
      <c r="S96" s="674"/>
      <c r="T96" s="674"/>
      <c r="U96" s="674"/>
      <c r="V96" s="674"/>
      <c r="W96" s="674"/>
      <c r="X96" s="674"/>
      <c r="Y96" s="674"/>
      <c r="Z96" s="674"/>
      <c r="AA96" s="674"/>
      <c r="AB96" s="674"/>
      <c r="AC96" s="674"/>
      <c r="AD96" s="674"/>
      <c r="AE96" s="674"/>
      <c r="AF96" s="674"/>
      <c r="AG96" s="674"/>
      <c r="AH96" s="674"/>
      <c r="AI96" s="674"/>
      <c r="AJ96" s="674"/>
      <c r="AK96" s="674"/>
      <c r="AL96" s="674"/>
      <c r="AM96" s="674"/>
      <c r="AN96" s="674"/>
    </row>
    <row r="97" spans="3:40" hidden="1" x14ac:dyDescent="0.25">
      <c r="C97" s="592"/>
      <c r="D97" s="592"/>
      <c r="E97" s="612" t="s">
        <v>225</v>
      </c>
      <c r="F97" s="613"/>
      <c r="G97" s="613"/>
      <c r="H97" s="613"/>
      <c r="I97" s="613"/>
      <c r="J97" s="634"/>
      <c r="K97" s="723" t="s">
        <v>272</v>
      </c>
      <c r="L97" s="724"/>
      <c r="M97" s="724"/>
      <c r="N97" s="724"/>
      <c r="O97" s="724"/>
      <c r="P97" s="724"/>
      <c r="Q97" s="724"/>
      <c r="R97" s="725"/>
      <c r="S97" s="674"/>
      <c r="T97" s="674"/>
      <c r="U97" s="674"/>
      <c r="V97" s="674"/>
      <c r="W97" s="674"/>
      <c r="X97" s="674"/>
      <c r="Y97" s="674"/>
      <c r="Z97" s="674"/>
      <c r="AA97" s="674"/>
      <c r="AB97" s="674"/>
      <c r="AC97" s="674"/>
      <c r="AD97" s="674"/>
      <c r="AE97" s="674"/>
      <c r="AF97" s="674"/>
      <c r="AG97" s="674"/>
      <c r="AH97" s="674"/>
      <c r="AI97" s="674"/>
      <c r="AJ97" s="674"/>
      <c r="AK97" s="674"/>
      <c r="AL97" s="674"/>
      <c r="AM97" s="674"/>
      <c r="AN97" s="674"/>
    </row>
    <row r="98" spans="3:40" x14ac:dyDescent="0.25">
      <c r="C98" s="707" t="s">
        <v>275</v>
      </c>
      <c r="D98" s="707"/>
      <c r="E98" s="707"/>
      <c r="F98" s="707"/>
      <c r="G98" s="707"/>
      <c r="H98" s="707"/>
      <c r="I98" s="707"/>
      <c r="J98" s="707"/>
      <c r="K98" s="707"/>
      <c r="L98" s="707"/>
      <c r="M98" s="707"/>
      <c r="N98" s="707"/>
      <c r="O98" s="707"/>
      <c r="P98" s="707"/>
      <c r="Q98" s="707"/>
      <c r="R98" s="707"/>
      <c r="S98" s="707"/>
      <c r="T98" s="707"/>
      <c r="U98" s="707"/>
      <c r="V98" s="707"/>
      <c r="W98" s="707"/>
      <c r="X98" s="707"/>
      <c r="Y98" s="707"/>
      <c r="Z98" s="707"/>
      <c r="AA98" s="707"/>
      <c r="AB98" s="707"/>
      <c r="AC98" s="707"/>
      <c r="AD98" s="707"/>
      <c r="AE98" s="707"/>
      <c r="AF98" s="707"/>
      <c r="AG98" s="692">
        <f>SUM(AG68:AN97)</f>
        <v>26370000</v>
      </c>
      <c r="AH98" s="592"/>
      <c r="AI98" s="592"/>
      <c r="AJ98" s="592"/>
      <c r="AK98" s="592"/>
      <c r="AL98" s="592"/>
      <c r="AM98" s="592"/>
      <c r="AN98" s="592"/>
    </row>
    <row r="99" spans="3:40" x14ac:dyDescent="0.25">
      <c r="C99" s="707" t="s">
        <v>276</v>
      </c>
      <c r="D99" s="707"/>
      <c r="E99" s="707"/>
      <c r="F99" s="707"/>
      <c r="G99" s="707"/>
      <c r="H99" s="707"/>
      <c r="I99" s="707"/>
      <c r="J99" s="707"/>
      <c r="K99" s="707"/>
      <c r="L99" s="707"/>
      <c r="M99" s="707"/>
      <c r="N99" s="707"/>
      <c r="O99" s="707"/>
      <c r="P99" s="707"/>
      <c r="Q99" s="707"/>
      <c r="R99" s="707"/>
      <c r="S99" s="707"/>
      <c r="T99" s="707"/>
      <c r="U99" s="707"/>
      <c r="V99" s="707"/>
      <c r="W99" s="707"/>
      <c r="X99" s="707"/>
      <c r="Y99" s="707"/>
      <c r="Z99" s="707"/>
      <c r="AA99" s="707"/>
      <c r="AB99" s="707"/>
      <c r="AC99" s="707"/>
      <c r="AD99" s="707"/>
      <c r="AE99" s="707"/>
      <c r="AF99" s="707"/>
      <c r="AG99" s="602">
        <v>0</v>
      </c>
      <c r="AH99" s="602"/>
      <c r="AI99" s="602"/>
      <c r="AJ99" s="602"/>
      <c r="AK99" s="602"/>
      <c r="AL99" s="602"/>
      <c r="AM99" s="602"/>
      <c r="AN99" s="602"/>
    </row>
    <row r="100" spans="3:40" x14ac:dyDescent="0.25">
      <c r="C100" s="707" t="s">
        <v>277</v>
      </c>
      <c r="D100" s="707"/>
      <c r="E100" s="707"/>
      <c r="F100" s="707"/>
      <c r="G100" s="707"/>
      <c r="H100" s="707"/>
      <c r="I100" s="707"/>
      <c r="J100" s="707"/>
      <c r="K100" s="707"/>
      <c r="L100" s="707"/>
      <c r="M100" s="707"/>
      <c r="N100" s="707"/>
      <c r="O100" s="707"/>
      <c r="P100" s="707"/>
      <c r="Q100" s="707"/>
      <c r="R100" s="707"/>
      <c r="S100" s="707"/>
      <c r="T100" s="707"/>
      <c r="U100" s="707"/>
      <c r="V100" s="707"/>
      <c r="W100" s="707"/>
      <c r="X100" s="707"/>
      <c r="Y100" s="707"/>
      <c r="Z100" s="707"/>
      <c r="AA100" s="707"/>
      <c r="AB100" s="707"/>
      <c r="AC100" s="707"/>
      <c r="AD100" s="707"/>
      <c r="AE100" s="707"/>
      <c r="AF100" s="707"/>
      <c r="AG100" s="692">
        <f>AG98+AG99</f>
        <v>26370000</v>
      </c>
      <c r="AH100" s="592"/>
      <c r="AI100" s="592"/>
      <c r="AJ100" s="592"/>
      <c r="AK100" s="592"/>
      <c r="AL100" s="592"/>
      <c r="AM100" s="592"/>
      <c r="AN100" s="592"/>
    </row>
    <row r="101" spans="3:40" x14ac:dyDescent="0.25">
      <c r="AA101" s="150" t="s">
        <v>278</v>
      </c>
    </row>
  </sheetData>
  <mergeCells count="234">
    <mergeCell ref="AG94:AN95"/>
    <mergeCell ref="AG96:AN97"/>
    <mergeCell ref="C98:AF98"/>
    <mergeCell ref="C99:AF99"/>
    <mergeCell ref="C100:AF100"/>
    <mergeCell ref="AG98:AN98"/>
    <mergeCell ref="AG99:AN99"/>
    <mergeCell ref="AG100:AN100"/>
    <mergeCell ref="AG82:AN83"/>
    <mergeCell ref="AG84:AN85"/>
    <mergeCell ref="AG86:AN87"/>
    <mergeCell ref="AG88:AN89"/>
    <mergeCell ref="AG90:AN91"/>
    <mergeCell ref="AG92:AN93"/>
    <mergeCell ref="W96:AF97"/>
    <mergeCell ref="W84:AF85"/>
    <mergeCell ref="W86:AF87"/>
    <mergeCell ref="W88:AF89"/>
    <mergeCell ref="W90:AF91"/>
    <mergeCell ref="W92:AF93"/>
    <mergeCell ref="W94:AF95"/>
    <mergeCell ref="S94:V95"/>
    <mergeCell ref="S96:V97"/>
    <mergeCell ref="K82:R82"/>
    <mergeCell ref="AG64:AN66"/>
    <mergeCell ref="AG67:AN67"/>
    <mergeCell ref="AG68:AN69"/>
    <mergeCell ref="AG70:AN71"/>
    <mergeCell ref="AG72:AN73"/>
    <mergeCell ref="AG74:AN75"/>
    <mergeCell ref="AG76:AN77"/>
    <mergeCell ref="AG78:AN79"/>
    <mergeCell ref="AG80:AN81"/>
    <mergeCell ref="S84:V85"/>
    <mergeCell ref="S86:V87"/>
    <mergeCell ref="K95:R95"/>
    <mergeCell ref="K96:R96"/>
    <mergeCell ref="K97:R97"/>
    <mergeCell ref="K67:R67"/>
    <mergeCell ref="S64:V66"/>
    <mergeCell ref="S67:V67"/>
    <mergeCell ref="S68:V69"/>
    <mergeCell ref="S70:V71"/>
    <mergeCell ref="S72:V73"/>
    <mergeCell ref="S74:V75"/>
    <mergeCell ref="K86:R86"/>
    <mergeCell ref="K87:R87"/>
    <mergeCell ref="K88:R88"/>
    <mergeCell ref="K89:R89"/>
    <mergeCell ref="K90:R90"/>
    <mergeCell ref="K91:R91"/>
    <mergeCell ref="K78:R78"/>
    <mergeCell ref="K79:R79"/>
    <mergeCell ref="K80:R80"/>
    <mergeCell ref="K81:R81"/>
    <mergeCell ref="S76:V77"/>
    <mergeCell ref="S78:V79"/>
    <mergeCell ref="E95:J95"/>
    <mergeCell ref="E96:J96"/>
    <mergeCell ref="E97:J97"/>
    <mergeCell ref="E67:J67"/>
    <mergeCell ref="K68:R68"/>
    <mergeCell ref="K69:R69"/>
    <mergeCell ref="K70:R70"/>
    <mergeCell ref="K71:R71"/>
    <mergeCell ref="K72:R72"/>
    <mergeCell ref="K73:R73"/>
    <mergeCell ref="E88:J88"/>
    <mergeCell ref="E89:J89"/>
    <mergeCell ref="E90:J90"/>
    <mergeCell ref="E91:J91"/>
    <mergeCell ref="E92:J92"/>
    <mergeCell ref="E93:J93"/>
    <mergeCell ref="E76:J76"/>
    <mergeCell ref="E77:J77"/>
    <mergeCell ref="E78:J78"/>
    <mergeCell ref="E79:J79"/>
    <mergeCell ref="E80:J80"/>
    <mergeCell ref="E81:J81"/>
    <mergeCell ref="E70:J70"/>
    <mergeCell ref="E74:J74"/>
    <mergeCell ref="E75:J75"/>
    <mergeCell ref="W55:AF56"/>
    <mergeCell ref="W57:AF58"/>
    <mergeCell ref="E64:J66"/>
    <mergeCell ref="K64:R66"/>
    <mergeCell ref="E68:J68"/>
    <mergeCell ref="E69:J69"/>
    <mergeCell ref="K83:R83"/>
    <mergeCell ref="S80:V81"/>
    <mergeCell ref="S82:V83"/>
    <mergeCell ref="W64:AF66"/>
    <mergeCell ref="W67:AF67"/>
    <mergeCell ref="W68:AF69"/>
    <mergeCell ref="W70:AF71"/>
    <mergeCell ref="W72:AF73"/>
    <mergeCell ref="W74:AF75"/>
    <mergeCell ref="W76:AF77"/>
    <mergeCell ref="W78:AF79"/>
    <mergeCell ref="N51:V52"/>
    <mergeCell ref="N53:V54"/>
    <mergeCell ref="N55:V56"/>
    <mergeCell ref="N57:V58"/>
    <mergeCell ref="I45:M47"/>
    <mergeCell ref="N45:V47"/>
    <mergeCell ref="E71:J71"/>
    <mergeCell ref="E72:J72"/>
    <mergeCell ref="E73:J73"/>
    <mergeCell ref="E45:H47"/>
    <mergeCell ref="C94:D95"/>
    <mergeCell ref="C96:D97"/>
    <mergeCell ref="AG59:AN59"/>
    <mergeCell ref="C64:D66"/>
    <mergeCell ref="C67:D67"/>
    <mergeCell ref="C88:D89"/>
    <mergeCell ref="C90:D91"/>
    <mergeCell ref="C92:D93"/>
    <mergeCell ref="S92:V93"/>
    <mergeCell ref="C86:D87"/>
    <mergeCell ref="E86:J86"/>
    <mergeCell ref="E87:J87"/>
    <mergeCell ref="C84:D85"/>
    <mergeCell ref="C82:D83"/>
    <mergeCell ref="C80:D81"/>
    <mergeCell ref="C78:D79"/>
    <mergeCell ref="C76:D77"/>
    <mergeCell ref="C74:D75"/>
    <mergeCell ref="K92:R92"/>
    <mergeCell ref="K93:R93"/>
    <mergeCell ref="S88:V89"/>
    <mergeCell ref="S90:V91"/>
    <mergeCell ref="K84:R84"/>
    <mergeCell ref="K85:R85"/>
    <mergeCell ref="AG51:AN52"/>
    <mergeCell ref="AG53:AN54"/>
    <mergeCell ref="AG55:AN56"/>
    <mergeCell ref="AG57:AN58"/>
    <mergeCell ref="AG48:AN48"/>
    <mergeCell ref="W49:AF50"/>
    <mergeCell ref="W51:AF52"/>
    <mergeCell ref="W53:AF54"/>
    <mergeCell ref="E94:J94"/>
    <mergeCell ref="K94:R94"/>
    <mergeCell ref="E82:J82"/>
    <mergeCell ref="E83:J83"/>
    <mergeCell ref="E84:J84"/>
    <mergeCell ref="E85:J85"/>
    <mergeCell ref="I48:M48"/>
    <mergeCell ref="N48:V48"/>
    <mergeCell ref="W48:AF48"/>
    <mergeCell ref="W80:AF81"/>
    <mergeCell ref="W82:AF83"/>
    <mergeCell ref="K74:R74"/>
    <mergeCell ref="K75:R75"/>
    <mergeCell ref="K76:R76"/>
    <mergeCell ref="K77:R77"/>
    <mergeCell ref="I49:M50"/>
    <mergeCell ref="AG45:AN47"/>
    <mergeCell ref="C48:D48"/>
    <mergeCell ref="C49:D50"/>
    <mergeCell ref="E48:H48"/>
    <mergeCell ref="E49:H50"/>
    <mergeCell ref="V36:AG37"/>
    <mergeCell ref="V38:AG39"/>
    <mergeCell ref="V40:AG41"/>
    <mergeCell ref="AG49:AN50"/>
    <mergeCell ref="W45:AF47"/>
    <mergeCell ref="N49:V50"/>
    <mergeCell ref="AH26:AN27"/>
    <mergeCell ref="AH28:AN29"/>
    <mergeCell ref="AH30:AN31"/>
    <mergeCell ref="AH32:AN33"/>
    <mergeCell ref="AH34:AN35"/>
    <mergeCell ref="AH36:AN37"/>
    <mergeCell ref="AH38:AN39"/>
    <mergeCell ref="G40:K41"/>
    <mergeCell ref="L26:U27"/>
    <mergeCell ref="L28:U29"/>
    <mergeCell ref="L30:U31"/>
    <mergeCell ref="L32:U33"/>
    <mergeCell ref="L34:U35"/>
    <mergeCell ref="L36:U37"/>
    <mergeCell ref="L38:U39"/>
    <mergeCell ref="L40:U41"/>
    <mergeCell ref="C25:F25"/>
    <mergeCell ref="G25:K25"/>
    <mergeCell ref="V30:AG31"/>
    <mergeCell ref="C34:F35"/>
    <mergeCell ref="C36:F37"/>
    <mergeCell ref="C38:F39"/>
    <mergeCell ref="C40:F41"/>
    <mergeCell ref="G26:K27"/>
    <mergeCell ref="G28:K29"/>
    <mergeCell ref="G30:K31"/>
    <mergeCell ref="G32:K33"/>
    <mergeCell ref="G34:K35"/>
    <mergeCell ref="G36:K37"/>
    <mergeCell ref="C72:D73"/>
    <mergeCell ref="C70:D71"/>
    <mergeCell ref="C68:D69"/>
    <mergeCell ref="C57:D58"/>
    <mergeCell ref="E57:H58"/>
    <mergeCell ref="C59:AF59"/>
    <mergeCell ref="C53:D54"/>
    <mergeCell ref="C55:D56"/>
    <mergeCell ref="E53:H54"/>
    <mergeCell ref="E55:H56"/>
    <mergeCell ref="I53:M54"/>
    <mergeCell ref="I55:M56"/>
    <mergeCell ref="I57:M58"/>
    <mergeCell ref="AG5:AM9"/>
    <mergeCell ref="AG10:AM13"/>
    <mergeCell ref="C51:D52"/>
    <mergeCell ref="E51:H52"/>
    <mergeCell ref="I51:M52"/>
    <mergeCell ref="C45:D47"/>
    <mergeCell ref="G38:K39"/>
    <mergeCell ref="AH40:AN41"/>
    <mergeCell ref="V32:AG33"/>
    <mergeCell ref="V34:AG35"/>
    <mergeCell ref="C32:F33"/>
    <mergeCell ref="L25:U25"/>
    <mergeCell ref="V25:AG25"/>
    <mergeCell ref="AH25:AN25"/>
    <mergeCell ref="C26:F27"/>
    <mergeCell ref="C28:F29"/>
    <mergeCell ref="C30:F31"/>
    <mergeCell ref="V26:AG27"/>
    <mergeCell ref="V28:AG29"/>
    <mergeCell ref="C22:F24"/>
    <mergeCell ref="G22:K24"/>
    <mergeCell ref="L22:U24"/>
    <mergeCell ref="V22:AG24"/>
    <mergeCell ref="AH22:AN24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48BDF-F970-4C42-90DD-CC462EDC5A3C}">
  <dimension ref="C4:BB104"/>
  <sheetViews>
    <sheetView showGridLines="0" topLeftCell="A63" zoomScale="80" zoomScaleNormal="80" workbookViewId="0">
      <selection activeCell="C80" sqref="C80:AI80"/>
    </sheetView>
  </sheetViews>
  <sheetFormatPr defaultRowHeight="15" x14ac:dyDescent="0.25"/>
  <cols>
    <col min="2" max="2" width="3.42578125" customWidth="1"/>
    <col min="3" max="3" width="4.28515625" customWidth="1"/>
    <col min="4" max="4" width="5.28515625" customWidth="1"/>
    <col min="5" max="5" width="11.28515625" customWidth="1"/>
    <col min="6" max="6" width="14.5703125" customWidth="1"/>
    <col min="7" max="7" width="10.7109375" customWidth="1"/>
    <col min="9" max="9" width="7" customWidth="1"/>
    <col min="10" max="10" width="5.28515625" customWidth="1"/>
    <col min="11" max="11" width="7" customWidth="1"/>
    <col min="12" max="12" width="6.5703125" customWidth="1"/>
    <col min="13" max="13" width="8" customWidth="1"/>
    <col min="14" max="14" width="4.28515625" customWidth="1"/>
    <col min="15" max="15" width="4.5703125" customWidth="1"/>
    <col min="16" max="32" width="4.28515625" customWidth="1"/>
    <col min="35" max="35" width="0.7109375" customWidth="1"/>
    <col min="36" max="39" width="4.28515625" customWidth="1"/>
  </cols>
  <sheetData>
    <row r="4" spans="3:40" x14ac:dyDescent="0.25">
      <c r="C4" s="190"/>
      <c r="D4" s="191"/>
      <c r="E4" s="191"/>
      <c r="F4" s="191"/>
      <c r="G4" s="191"/>
      <c r="H4" s="191"/>
      <c r="I4" s="191"/>
      <c r="J4" s="191"/>
      <c r="K4" s="192"/>
      <c r="L4" s="192"/>
      <c r="M4" s="192"/>
      <c r="N4" s="192"/>
      <c r="O4" s="192"/>
      <c r="P4" s="192"/>
      <c r="Q4" s="192"/>
      <c r="R4" s="192"/>
      <c r="S4" s="192"/>
      <c r="T4" s="192"/>
      <c r="U4" s="192"/>
      <c r="V4" s="192"/>
      <c r="W4" s="192"/>
      <c r="X4" s="192"/>
      <c r="Y4" s="192"/>
      <c r="Z4" s="192"/>
      <c r="AA4" s="192"/>
      <c r="AB4" s="192"/>
      <c r="AC4" s="192"/>
      <c r="AD4" s="192"/>
      <c r="AE4" s="192"/>
      <c r="AF4" s="192"/>
      <c r="AG4" s="192"/>
      <c r="AH4" s="192"/>
      <c r="AI4" s="192"/>
      <c r="AJ4" s="192"/>
      <c r="AK4" s="192"/>
      <c r="AL4" s="192"/>
      <c r="AM4" s="192"/>
      <c r="AN4" s="193"/>
    </row>
    <row r="5" spans="3:40" ht="15.6" customHeight="1" x14ac:dyDescent="0.25">
      <c r="C5" s="194"/>
      <c r="D5" s="170" t="s">
        <v>202</v>
      </c>
      <c r="E5" s="14"/>
      <c r="F5" s="14"/>
      <c r="G5" s="14"/>
      <c r="H5" s="14"/>
      <c r="I5" s="14"/>
      <c r="J5" s="14"/>
      <c r="K5" s="163"/>
      <c r="L5" s="171" t="s">
        <v>28</v>
      </c>
      <c r="M5" s="172" t="s">
        <v>286</v>
      </c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  <c r="AB5" s="163"/>
      <c r="AC5" s="163"/>
      <c r="AD5" s="163"/>
      <c r="AE5" s="163"/>
      <c r="AF5" s="163"/>
      <c r="AG5" s="741" t="s">
        <v>285</v>
      </c>
      <c r="AH5" s="741"/>
      <c r="AI5" s="741"/>
      <c r="AJ5" s="741"/>
      <c r="AK5" s="741"/>
      <c r="AL5" s="741"/>
      <c r="AM5" s="741"/>
      <c r="AN5" s="195"/>
    </row>
    <row r="6" spans="3:40" ht="2.65" customHeight="1" x14ac:dyDescent="0.25">
      <c r="C6" s="194"/>
      <c r="D6" s="14"/>
      <c r="E6" s="14"/>
      <c r="F6" s="14"/>
      <c r="G6" s="14"/>
      <c r="H6" s="14"/>
      <c r="I6" s="14"/>
      <c r="J6" s="14"/>
      <c r="K6" s="163"/>
      <c r="L6" s="171"/>
      <c r="M6" s="172"/>
      <c r="N6" s="163"/>
      <c r="O6" s="163"/>
      <c r="P6" s="163"/>
      <c r="Q6" s="163"/>
      <c r="R6" s="163"/>
      <c r="S6" s="163"/>
      <c r="T6" s="163"/>
      <c r="U6" s="163"/>
      <c r="V6" s="163"/>
      <c r="W6" s="163"/>
      <c r="X6" s="163"/>
      <c r="Y6" s="163"/>
      <c r="Z6" s="163"/>
      <c r="AA6" s="163"/>
      <c r="AB6" s="163"/>
      <c r="AC6" s="163"/>
      <c r="AD6" s="163"/>
      <c r="AE6" s="163"/>
      <c r="AF6" s="163"/>
      <c r="AG6" s="741"/>
      <c r="AH6" s="741"/>
      <c r="AI6" s="741"/>
      <c r="AJ6" s="741"/>
      <c r="AK6" s="741"/>
      <c r="AL6" s="741"/>
      <c r="AM6" s="741"/>
      <c r="AN6" s="195"/>
    </row>
    <row r="7" spans="3:40" ht="14.65" customHeight="1" x14ac:dyDescent="0.25">
      <c r="C7" s="194"/>
      <c r="D7" s="174" t="s">
        <v>203</v>
      </c>
      <c r="E7" s="14"/>
      <c r="F7" s="14"/>
      <c r="G7" s="14"/>
      <c r="H7" s="14"/>
      <c r="I7" s="14"/>
      <c r="J7" s="14"/>
      <c r="K7" s="163"/>
      <c r="L7" s="171" t="s">
        <v>51</v>
      </c>
      <c r="M7" s="172" t="s">
        <v>291</v>
      </c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741"/>
      <c r="AH7" s="741"/>
      <c r="AI7" s="741"/>
      <c r="AJ7" s="741"/>
      <c r="AK7" s="741"/>
      <c r="AL7" s="741"/>
      <c r="AM7" s="741"/>
      <c r="AN7" s="195"/>
    </row>
    <row r="8" spans="3:40" ht="2.65" customHeight="1" x14ac:dyDescent="0.25">
      <c r="C8" s="194"/>
      <c r="D8" s="2"/>
      <c r="E8" s="14"/>
      <c r="F8" s="14"/>
      <c r="G8" s="14"/>
      <c r="H8" s="14"/>
      <c r="I8" s="14"/>
      <c r="J8" s="14"/>
      <c r="K8" s="163"/>
      <c r="L8" s="171"/>
      <c r="M8" s="172"/>
      <c r="N8" s="163"/>
      <c r="O8" s="163"/>
      <c r="P8" s="163"/>
      <c r="Q8" s="163"/>
      <c r="R8" s="163"/>
      <c r="S8" s="163"/>
      <c r="T8" s="163"/>
      <c r="U8" s="163"/>
      <c r="V8" s="163"/>
      <c r="W8" s="163"/>
      <c r="X8" s="163"/>
      <c r="Y8" s="163"/>
      <c r="Z8" s="163"/>
      <c r="AA8" s="163"/>
      <c r="AB8" s="163"/>
      <c r="AC8" s="163"/>
      <c r="AD8" s="163"/>
      <c r="AE8" s="163"/>
      <c r="AF8" s="163"/>
      <c r="AG8" s="741"/>
      <c r="AH8" s="741"/>
      <c r="AI8" s="741"/>
      <c r="AJ8" s="741"/>
      <c r="AK8" s="741"/>
      <c r="AL8" s="741"/>
      <c r="AM8" s="741"/>
      <c r="AN8" s="195"/>
    </row>
    <row r="9" spans="3:40" ht="14.65" customHeight="1" x14ac:dyDescent="0.25">
      <c r="C9" s="194"/>
      <c r="D9" s="174" t="s">
        <v>281</v>
      </c>
      <c r="E9" s="175"/>
      <c r="F9" s="175"/>
      <c r="G9" s="175"/>
      <c r="H9" s="175"/>
      <c r="I9" s="175"/>
      <c r="J9" s="14"/>
      <c r="K9" s="163"/>
      <c r="L9" s="171" t="s">
        <v>81</v>
      </c>
      <c r="M9" s="172" t="s">
        <v>287</v>
      </c>
      <c r="N9" s="163"/>
      <c r="O9" s="163"/>
      <c r="P9" s="163"/>
      <c r="Q9" s="163"/>
      <c r="R9" s="163"/>
      <c r="S9" s="163"/>
      <c r="T9" s="163"/>
      <c r="U9" s="163"/>
      <c r="V9" s="163"/>
      <c r="W9" s="163"/>
      <c r="X9" s="163"/>
      <c r="Y9" s="163"/>
      <c r="Z9" s="163"/>
      <c r="AA9" s="163"/>
      <c r="AB9" s="163"/>
      <c r="AC9" s="163"/>
      <c r="AD9" s="163"/>
      <c r="AE9" s="163"/>
      <c r="AF9" s="163"/>
      <c r="AG9" s="741"/>
      <c r="AH9" s="741"/>
      <c r="AI9" s="741"/>
      <c r="AJ9" s="741"/>
      <c r="AK9" s="741"/>
      <c r="AL9" s="741"/>
      <c r="AM9" s="741"/>
      <c r="AN9" s="195"/>
    </row>
    <row r="10" spans="3:40" ht="2.65" customHeight="1" x14ac:dyDescent="0.25">
      <c r="C10" s="194"/>
      <c r="D10" s="2"/>
      <c r="E10" s="175"/>
      <c r="F10" s="175"/>
      <c r="G10" s="175"/>
      <c r="H10" s="175"/>
      <c r="I10" s="175"/>
      <c r="J10" s="14"/>
      <c r="K10" s="163"/>
      <c r="L10" s="171"/>
      <c r="M10" s="172"/>
      <c r="N10" s="163"/>
      <c r="O10" s="163"/>
      <c r="P10" s="163"/>
      <c r="Q10" s="163"/>
      <c r="R10" s="163"/>
      <c r="S10" s="163"/>
      <c r="T10" s="163"/>
      <c r="U10" s="163"/>
      <c r="V10" s="163"/>
      <c r="W10" s="163"/>
      <c r="X10" s="163"/>
      <c r="Y10" s="163"/>
      <c r="Z10" s="163"/>
      <c r="AA10" s="163"/>
      <c r="AB10" s="163"/>
      <c r="AC10" s="163"/>
      <c r="AD10" s="163"/>
      <c r="AE10" s="163"/>
      <c r="AF10" s="163"/>
      <c r="AG10" s="741"/>
      <c r="AH10" s="741"/>
      <c r="AI10" s="741"/>
      <c r="AJ10" s="741"/>
      <c r="AK10" s="741"/>
      <c r="AL10" s="741"/>
      <c r="AM10" s="741"/>
      <c r="AN10" s="195"/>
    </row>
    <row r="11" spans="3:40" ht="14.65" customHeight="1" x14ac:dyDescent="0.25">
      <c r="C11" s="194"/>
      <c r="D11" s="174" t="s">
        <v>282</v>
      </c>
      <c r="E11" s="175"/>
      <c r="F11" s="175"/>
      <c r="G11" s="175"/>
      <c r="H11" s="175"/>
      <c r="I11" s="175"/>
      <c r="J11" s="14"/>
      <c r="K11" s="163"/>
      <c r="L11" s="171"/>
      <c r="M11" s="172"/>
      <c r="N11" s="163"/>
      <c r="O11" s="163"/>
      <c r="P11" s="163"/>
      <c r="Q11" s="163"/>
      <c r="R11" s="163"/>
      <c r="S11" s="163"/>
      <c r="T11" s="163"/>
      <c r="U11" s="163"/>
      <c r="V11" s="163"/>
      <c r="W11" s="163"/>
      <c r="X11" s="163"/>
      <c r="Y11" s="163"/>
      <c r="Z11" s="163"/>
      <c r="AA11" s="163"/>
      <c r="AB11" s="163"/>
      <c r="AC11" s="163"/>
      <c r="AD11" s="163"/>
      <c r="AE11" s="163"/>
      <c r="AF11" s="163"/>
      <c r="AG11" s="741"/>
      <c r="AH11" s="741"/>
      <c r="AI11" s="741"/>
      <c r="AJ11" s="741"/>
      <c r="AK11" s="741"/>
      <c r="AL11" s="741"/>
      <c r="AM11" s="741"/>
      <c r="AN11" s="195"/>
    </row>
    <row r="12" spans="3:40" ht="2.65" customHeight="1" x14ac:dyDescent="0.25">
      <c r="C12" s="194"/>
      <c r="D12" s="2"/>
      <c r="E12" s="175"/>
      <c r="F12" s="175"/>
      <c r="G12" s="175"/>
      <c r="H12" s="175"/>
      <c r="I12" s="175"/>
      <c r="J12" s="14"/>
      <c r="K12" s="163"/>
      <c r="L12" s="171"/>
      <c r="M12" s="172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  <c r="AA12" s="163"/>
      <c r="AB12" s="163"/>
      <c r="AC12" s="163"/>
      <c r="AD12" s="163"/>
      <c r="AE12" s="163"/>
      <c r="AF12" s="163"/>
      <c r="AG12" s="196"/>
      <c r="AH12" s="196"/>
      <c r="AI12" s="196"/>
      <c r="AJ12" s="196"/>
      <c r="AK12" s="196"/>
      <c r="AL12" s="196"/>
      <c r="AM12" s="196"/>
      <c r="AN12" s="195"/>
    </row>
    <row r="13" spans="3:40" ht="14.65" customHeight="1" x14ac:dyDescent="0.25">
      <c r="C13" s="194"/>
      <c r="D13" s="174" t="s">
        <v>283</v>
      </c>
      <c r="E13" s="175"/>
      <c r="F13" s="175"/>
      <c r="G13" s="175"/>
      <c r="H13" s="175"/>
      <c r="I13" s="175"/>
      <c r="J13" s="14"/>
      <c r="K13" s="163"/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  <c r="AA13" s="163"/>
      <c r="AB13" s="163"/>
      <c r="AC13" s="163"/>
      <c r="AD13" s="163"/>
      <c r="AE13" s="163"/>
      <c r="AF13" s="163"/>
      <c r="AG13" s="163"/>
      <c r="AH13" s="163"/>
      <c r="AI13" s="163"/>
      <c r="AJ13" s="163"/>
      <c r="AK13" s="163"/>
      <c r="AL13" s="163"/>
      <c r="AM13" s="163"/>
      <c r="AN13" s="195"/>
    </row>
    <row r="14" spans="3:40" ht="2.65" customHeight="1" x14ac:dyDescent="0.25">
      <c r="C14" s="194"/>
      <c r="D14" s="2"/>
      <c r="E14" s="175"/>
      <c r="F14" s="175"/>
      <c r="G14" s="175"/>
      <c r="H14" s="175"/>
      <c r="I14" s="175"/>
      <c r="J14" s="14"/>
      <c r="K14" s="163"/>
      <c r="L14" s="176"/>
      <c r="M14" s="176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163"/>
      <c r="Z14" s="163"/>
      <c r="AA14" s="163"/>
      <c r="AB14" s="163"/>
      <c r="AC14" s="163"/>
      <c r="AD14" s="163"/>
      <c r="AE14" s="163"/>
      <c r="AF14" s="163"/>
      <c r="AG14" s="163"/>
      <c r="AH14" s="163"/>
      <c r="AI14" s="163"/>
      <c r="AJ14" s="163"/>
      <c r="AK14" s="163"/>
      <c r="AL14" s="163"/>
      <c r="AM14" s="163"/>
      <c r="AN14" s="195"/>
    </row>
    <row r="15" spans="3:40" ht="16.5" customHeight="1" x14ac:dyDescent="0.25">
      <c r="C15" s="194"/>
      <c r="D15" s="174" t="s">
        <v>284</v>
      </c>
      <c r="E15" s="14"/>
      <c r="F15" s="14"/>
      <c r="G15" s="14"/>
      <c r="H15" s="14"/>
      <c r="I15" s="14"/>
      <c r="J15" s="14"/>
      <c r="K15" s="163"/>
      <c r="L15" s="171" t="s">
        <v>36</v>
      </c>
      <c r="M15" s="176"/>
      <c r="N15" s="352">
        <f>'Lampiran 1.3'!N17</f>
        <v>3</v>
      </c>
      <c r="O15" s="352">
        <f>'Lampiran 1.3'!O17</f>
        <v>4</v>
      </c>
      <c r="P15" s="352">
        <f>'Lampiran 1.3'!P17</f>
        <v>0</v>
      </c>
      <c r="Q15" s="352">
        <f>'Lampiran 1.3'!Q17</f>
        <v>2</v>
      </c>
      <c r="R15" s="352">
        <f>'Lampiran 1.3'!R17</f>
        <v>0</v>
      </c>
      <c r="S15" s="352">
        <f>'Lampiran 1.3'!S17</f>
        <v>1</v>
      </c>
      <c r="T15" s="352">
        <f>'Lampiran 1.3'!T17</f>
        <v>1</v>
      </c>
      <c r="U15" s="352">
        <f>'Lampiran 1.3'!U17</f>
        <v>2</v>
      </c>
      <c r="V15" s="352">
        <f>'Lampiran 1.3'!V17</f>
        <v>3</v>
      </c>
      <c r="W15" s="352">
        <f>'Lampiran 1.3'!W17</f>
        <v>4</v>
      </c>
      <c r="X15" s="352">
        <f>'Lampiran 1.3'!X17</f>
        <v>5</v>
      </c>
      <c r="Y15" s="352">
        <f>'Lampiran 1.3'!Y17</f>
        <v>6</v>
      </c>
      <c r="Z15" s="352">
        <f>'Lampiran 1.3'!Z17</f>
        <v>0</v>
      </c>
      <c r="AA15" s="352">
        <f>'Lampiran 1.3'!AA17</f>
        <v>0</v>
      </c>
      <c r="AB15" s="352">
        <f>'Lampiran 1.3'!AB17</f>
        <v>0</v>
      </c>
      <c r="AC15" s="352">
        <f>'Lampiran 1.3'!AC17</f>
        <v>1</v>
      </c>
      <c r="AD15" s="352"/>
      <c r="AE15" s="163"/>
      <c r="AF15" s="163"/>
      <c r="AG15" s="164" t="s">
        <v>11</v>
      </c>
      <c r="AH15" s="176"/>
      <c r="AI15" s="163"/>
      <c r="AJ15" s="364">
        <f>'Lampiran 1.3'!AJ17</f>
        <v>2</v>
      </c>
      <c r="AK15" s="364">
        <f>'Lampiran 1.3'!AK17</f>
        <v>0</v>
      </c>
      <c r="AL15" s="364">
        <f>'Lampiran 1.3'!AL17</f>
        <v>2</v>
      </c>
      <c r="AM15" s="364">
        <f>'Lampiran 1.3'!AM17</f>
        <v>5</v>
      </c>
      <c r="AN15" s="195"/>
    </row>
    <row r="16" spans="3:40" ht="2.65" customHeight="1" x14ac:dyDescent="0.25">
      <c r="C16" s="194"/>
      <c r="D16" s="2"/>
      <c r="E16" s="14"/>
      <c r="F16" s="14"/>
      <c r="G16" s="14"/>
      <c r="H16" s="14"/>
      <c r="I16" s="14"/>
      <c r="J16" s="14"/>
      <c r="K16" s="163"/>
      <c r="L16" s="176"/>
      <c r="M16" s="176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  <c r="AA16" s="163"/>
      <c r="AB16" s="163"/>
      <c r="AC16" s="163"/>
      <c r="AD16" s="163"/>
      <c r="AE16" s="163"/>
      <c r="AF16" s="163"/>
      <c r="AG16" s="163"/>
      <c r="AH16" s="163"/>
      <c r="AI16" s="163"/>
      <c r="AJ16" s="163"/>
      <c r="AK16" s="163"/>
      <c r="AL16" s="163"/>
      <c r="AM16" s="163"/>
      <c r="AN16" s="195"/>
    </row>
    <row r="17" spans="3:54" x14ac:dyDescent="0.25">
      <c r="C17" s="194"/>
      <c r="D17" s="174"/>
      <c r="E17" s="14"/>
      <c r="F17" s="14"/>
      <c r="G17" s="14"/>
      <c r="H17" s="14"/>
      <c r="I17" s="14"/>
      <c r="J17" s="14"/>
      <c r="K17" s="163"/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  <c r="AA17" s="163"/>
      <c r="AB17" s="163"/>
      <c r="AC17" s="163"/>
      <c r="AD17" s="163"/>
      <c r="AE17" s="163"/>
      <c r="AF17" s="163"/>
      <c r="AG17" s="163"/>
      <c r="AH17" s="163"/>
      <c r="AI17" s="163"/>
      <c r="AJ17" s="163"/>
      <c r="AK17" s="163"/>
      <c r="AL17" s="163"/>
      <c r="AM17" s="163"/>
      <c r="AN17" s="195"/>
    </row>
    <row r="18" spans="3:54" ht="3.6" customHeight="1" x14ac:dyDescent="0.25">
      <c r="C18" s="197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5"/>
      <c r="AL18" s="115"/>
      <c r="AM18" s="115"/>
      <c r="AN18" s="198"/>
      <c r="AO18" s="115"/>
      <c r="AP18" s="115"/>
      <c r="AQ18" s="115"/>
      <c r="AR18" s="115"/>
      <c r="AS18" s="115"/>
      <c r="AT18" s="115"/>
      <c r="AU18" s="115"/>
      <c r="AV18" s="115"/>
      <c r="AW18" s="115"/>
      <c r="AX18" s="115"/>
      <c r="AY18" s="115"/>
      <c r="AZ18" s="115"/>
      <c r="BA18" s="115"/>
      <c r="BB18" s="116"/>
    </row>
    <row r="19" spans="3:54" ht="18.600000000000001" customHeight="1" x14ac:dyDescent="0.25">
      <c r="C19" s="199" t="s">
        <v>28</v>
      </c>
      <c r="D19" s="110" t="s">
        <v>286</v>
      </c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200"/>
      <c r="AO19" s="153"/>
      <c r="AP19" s="153"/>
      <c r="AQ19" s="153"/>
      <c r="AR19" s="153"/>
      <c r="AS19" s="153"/>
      <c r="AT19" s="153"/>
      <c r="AU19" s="153"/>
      <c r="AV19" s="153"/>
      <c r="AW19" s="153"/>
      <c r="AX19" s="153"/>
      <c r="AY19" s="153"/>
      <c r="AZ19" s="153"/>
      <c r="BA19" s="154"/>
      <c r="BB19" s="154"/>
    </row>
    <row r="20" spans="3:54" ht="3" customHeight="1" x14ac:dyDescent="0.25">
      <c r="C20" s="201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202"/>
      <c r="AO20" s="153"/>
      <c r="AP20" s="153"/>
      <c r="AQ20" s="153"/>
      <c r="AR20" s="153"/>
      <c r="AS20" s="153"/>
      <c r="AT20" s="153"/>
      <c r="AU20" s="153"/>
      <c r="AV20" s="153"/>
      <c r="AW20" s="153"/>
      <c r="AX20" s="153"/>
      <c r="AY20" s="153"/>
      <c r="AZ20" s="153"/>
      <c r="BA20" s="153"/>
      <c r="BB20" s="154"/>
    </row>
    <row r="21" spans="3:54" ht="14.65" customHeight="1" x14ac:dyDescent="0.25">
      <c r="C21" s="742" t="s">
        <v>263</v>
      </c>
      <c r="D21" s="743"/>
      <c r="E21" s="746" t="s">
        <v>269</v>
      </c>
      <c r="F21" s="747"/>
      <c r="G21" s="747"/>
      <c r="H21" s="764" t="s">
        <v>193</v>
      </c>
      <c r="I21" s="764"/>
      <c r="J21" s="764" t="s">
        <v>288</v>
      </c>
      <c r="K21" s="764"/>
      <c r="L21" s="764"/>
      <c r="M21" s="764"/>
      <c r="N21" s="764"/>
      <c r="O21" s="764"/>
      <c r="P21" s="764"/>
      <c r="Q21" s="764"/>
      <c r="R21" s="764"/>
      <c r="S21" s="764"/>
      <c r="T21" s="764"/>
      <c r="U21" s="764"/>
      <c r="V21" s="764"/>
      <c r="W21" s="764" t="s">
        <v>289</v>
      </c>
      <c r="X21" s="764"/>
      <c r="Y21" s="764"/>
      <c r="Z21" s="764"/>
      <c r="AA21" s="764"/>
      <c r="AB21" s="764"/>
      <c r="AC21" s="764"/>
      <c r="AD21" s="764"/>
      <c r="AE21" s="764"/>
      <c r="AF21" s="764"/>
      <c r="AG21" s="764" t="s">
        <v>91</v>
      </c>
      <c r="AH21" s="764"/>
      <c r="AI21" s="764"/>
      <c r="AJ21" s="764"/>
      <c r="AK21" s="764"/>
      <c r="AL21" s="764"/>
      <c r="AM21" s="764"/>
      <c r="AN21" s="764"/>
    </row>
    <row r="22" spans="3:54" x14ac:dyDescent="0.25">
      <c r="C22" s="744"/>
      <c r="D22" s="745"/>
      <c r="E22" s="748"/>
      <c r="F22" s="749"/>
      <c r="G22" s="749"/>
      <c r="H22" s="764"/>
      <c r="I22" s="764"/>
      <c r="J22" s="764"/>
      <c r="K22" s="764"/>
      <c r="L22" s="764"/>
      <c r="M22" s="764"/>
      <c r="N22" s="764"/>
      <c r="O22" s="764"/>
      <c r="P22" s="764"/>
      <c r="Q22" s="764"/>
      <c r="R22" s="764"/>
      <c r="S22" s="764"/>
      <c r="T22" s="764"/>
      <c r="U22" s="764"/>
      <c r="V22" s="764"/>
      <c r="W22" s="764"/>
      <c r="X22" s="764"/>
      <c r="Y22" s="764"/>
      <c r="Z22" s="764"/>
      <c r="AA22" s="764"/>
      <c r="AB22" s="764"/>
      <c r="AC22" s="764"/>
      <c r="AD22" s="764"/>
      <c r="AE22" s="764"/>
      <c r="AF22" s="764"/>
      <c r="AG22" s="764"/>
      <c r="AH22" s="764"/>
      <c r="AI22" s="764"/>
      <c r="AJ22" s="764"/>
      <c r="AK22" s="764"/>
      <c r="AL22" s="764"/>
      <c r="AM22" s="764"/>
      <c r="AN22" s="764"/>
    </row>
    <row r="23" spans="3:54" x14ac:dyDescent="0.25">
      <c r="C23" s="744"/>
      <c r="D23" s="745"/>
      <c r="E23" s="750"/>
      <c r="F23" s="751"/>
      <c r="G23" s="751"/>
      <c r="H23" s="764"/>
      <c r="I23" s="764"/>
      <c r="J23" s="764"/>
      <c r="K23" s="764"/>
      <c r="L23" s="764"/>
      <c r="M23" s="764"/>
      <c r="N23" s="764"/>
      <c r="O23" s="764"/>
      <c r="P23" s="764"/>
      <c r="Q23" s="764"/>
      <c r="R23" s="764"/>
      <c r="S23" s="764"/>
      <c r="T23" s="764"/>
      <c r="U23" s="764"/>
      <c r="V23" s="764"/>
      <c r="W23" s="764"/>
      <c r="X23" s="764"/>
      <c r="Y23" s="764"/>
      <c r="Z23" s="764"/>
      <c r="AA23" s="764"/>
      <c r="AB23" s="764"/>
      <c r="AC23" s="764"/>
      <c r="AD23" s="764"/>
      <c r="AE23" s="764"/>
      <c r="AF23" s="764"/>
      <c r="AG23" s="764"/>
      <c r="AH23" s="764"/>
      <c r="AI23" s="764"/>
      <c r="AJ23" s="764"/>
      <c r="AK23" s="764"/>
      <c r="AL23" s="764"/>
      <c r="AM23" s="764"/>
      <c r="AN23" s="764"/>
    </row>
    <row r="24" spans="3:54" ht="10.5" customHeight="1" x14ac:dyDescent="0.25">
      <c r="C24" s="755" t="s">
        <v>213</v>
      </c>
      <c r="D24" s="755"/>
      <c r="E24" s="757" t="s">
        <v>214</v>
      </c>
      <c r="F24" s="757"/>
      <c r="G24" s="757"/>
      <c r="H24" s="755" t="s">
        <v>215</v>
      </c>
      <c r="I24" s="755"/>
      <c r="J24" s="755" t="s">
        <v>216</v>
      </c>
      <c r="K24" s="755"/>
      <c r="L24" s="755"/>
      <c r="M24" s="755"/>
      <c r="N24" s="755"/>
      <c r="O24" s="755"/>
      <c r="P24" s="755"/>
      <c r="Q24" s="755"/>
      <c r="R24" s="755"/>
      <c r="S24" s="755"/>
      <c r="T24" s="755"/>
      <c r="U24" s="755"/>
      <c r="V24" s="755"/>
      <c r="W24" s="754" t="s">
        <v>217</v>
      </c>
      <c r="X24" s="754"/>
      <c r="Y24" s="754"/>
      <c r="Z24" s="754"/>
      <c r="AA24" s="754"/>
      <c r="AB24" s="754"/>
      <c r="AC24" s="754"/>
      <c r="AD24" s="754"/>
      <c r="AE24" s="754"/>
      <c r="AF24" s="754"/>
      <c r="AG24" s="755" t="s">
        <v>218</v>
      </c>
      <c r="AH24" s="755"/>
      <c r="AI24" s="755"/>
      <c r="AJ24" s="755"/>
      <c r="AK24" s="755"/>
      <c r="AL24" s="755"/>
      <c r="AM24" s="755"/>
      <c r="AN24" s="755"/>
    </row>
    <row r="25" spans="3:54" s="149" customFormat="1" x14ac:dyDescent="0.25">
      <c r="C25" s="758">
        <v>1</v>
      </c>
      <c r="D25" s="758"/>
      <c r="E25" s="759" t="s">
        <v>1222</v>
      </c>
      <c r="F25" s="759"/>
      <c r="G25" s="759"/>
      <c r="H25" s="765" t="str">
        <f>'SOAL KASUS'!B41</f>
        <v>28-402-01</v>
      </c>
      <c r="I25" s="765"/>
      <c r="J25" s="765" t="str">
        <f>'SOAL KASUS'!C41</f>
        <v>Pengalihan Hak atas Tanah dan/atau Bangunan</v>
      </c>
      <c r="K25" s="765"/>
      <c r="L25" s="765"/>
      <c r="M25" s="765"/>
      <c r="N25" s="765"/>
      <c r="O25" s="765"/>
      <c r="P25" s="765"/>
      <c r="Q25" s="765"/>
      <c r="R25" s="765"/>
      <c r="S25" s="765"/>
      <c r="T25" s="765"/>
      <c r="U25" s="765"/>
      <c r="V25" s="765"/>
      <c r="W25" s="766">
        <f>'SOAL KASUS'!D41</f>
        <v>150000000</v>
      </c>
      <c r="X25" s="766"/>
      <c r="Y25" s="766"/>
      <c r="Z25" s="766"/>
      <c r="AA25" s="766"/>
      <c r="AB25" s="766"/>
      <c r="AC25" s="766"/>
      <c r="AD25" s="766"/>
      <c r="AE25" s="766"/>
      <c r="AF25" s="766"/>
      <c r="AG25" s="766">
        <f>'SOAL KASUS'!E41</f>
        <v>3750000</v>
      </c>
      <c r="AH25" s="766"/>
      <c r="AI25" s="766"/>
      <c r="AJ25" s="766"/>
      <c r="AK25" s="766"/>
      <c r="AL25" s="766"/>
      <c r="AM25" s="766"/>
      <c r="AN25" s="766"/>
    </row>
    <row r="26" spans="3:54" s="149" customFormat="1" x14ac:dyDescent="0.25">
      <c r="C26" s="758"/>
      <c r="D26" s="758"/>
      <c r="E26" s="760" t="s">
        <v>1223</v>
      </c>
      <c r="F26" s="760"/>
      <c r="G26" s="760"/>
      <c r="H26" s="765"/>
      <c r="I26" s="765"/>
      <c r="J26" s="765"/>
      <c r="K26" s="765"/>
      <c r="L26" s="765"/>
      <c r="M26" s="765"/>
      <c r="N26" s="765"/>
      <c r="O26" s="765"/>
      <c r="P26" s="765"/>
      <c r="Q26" s="765"/>
      <c r="R26" s="765"/>
      <c r="S26" s="765"/>
      <c r="T26" s="765"/>
      <c r="U26" s="765"/>
      <c r="V26" s="765"/>
      <c r="W26" s="766"/>
      <c r="X26" s="766"/>
      <c r="Y26" s="766"/>
      <c r="Z26" s="766"/>
      <c r="AA26" s="766"/>
      <c r="AB26" s="766"/>
      <c r="AC26" s="766"/>
      <c r="AD26" s="766"/>
      <c r="AE26" s="766"/>
      <c r="AF26" s="766"/>
      <c r="AG26" s="766"/>
      <c r="AH26" s="766"/>
      <c r="AI26" s="766"/>
      <c r="AJ26" s="766"/>
      <c r="AK26" s="766"/>
      <c r="AL26" s="766"/>
      <c r="AM26" s="766"/>
      <c r="AN26" s="766"/>
    </row>
    <row r="27" spans="3:54" hidden="1" x14ac:dyDescent="0.25">
      <c r="C27" s="755"/>
      <c r="D27" s="755"/>
      <c r="E27" s="761" t="s">
        <v>224</v>
      </c>
      <c r="F27" s="761"/>
      <c r="G27" s="761"/>
      <c r="H27" s="754"/>
      <c r="I27" s="754"/>
      <c r="J27" s="754"/>
      <c r="K27" s="754"/>
      <c r="L27" s="754"/>
      <c r="M27" s="754"/>
      <c r="N27" s="754"/>
      <c r="O27" s="754"/>
      <c r="P27" s="754"/>
      <c r="Q27" s="754"/>
      <c r="R27" s="754"/>
      <c r="S27" s="754"/>
      <c r="T27" s="754"/>
      <c r="U27" s="754"/>
      <c r="V27" s="754"/>
      <c r="W27" s="767"/>
      <c r="X27" s="767"/>
      <c r="Y27" s="767"/>
      <c r="Z27" s="767"/>
      <c r="AA27" s="767"/>
      <c r="AB27" s="767"/>
      <c r="AC27" s="767"/>
      <c r="AD27" s="767"/>
      <c r="AE27" s="767"/>
      <c r="AF27" s="767"/>
      <c r="AG27" s="767"/>
      <c r="AH27" s="767"/>
      <c r="AI27" s="767"/>
      <c r="AJ27" s="767"/>
      <c r="AK27" s="767"/>
      <c r="AL27" s="767"/>
      <c r="AM27" s="767"/>
      <c r="AN27" s="767"/>
    </row>
    <row r="28" spans="3:54" hidden="1" x14ac:dyDescent="0.25">
      <c r="C28" s="755"/>
      <c r="D28" s="755"/>
      <c r="E28" s="762" t="s">
        <v>225</v>
      </c>
      <c r="F28" s="762"/>
      <c r="G28" s="762"/>
      <c r="H28" s="754"/>
      <c r="I28" s="754"/>
      <c r="J28" s="754"/>
      <c r="K28" s="754"/>
      <c r="L28" s="754"/>
      <c r="M28" s="754"/>
      <c r="N28" s="754"/>
      <c r="O28" s="754"/>
      <c r="P28" s="754"/>
      <c r="Q28" s="754"/>
      <c r="R28" s="754"/>
      <c r="S28" s="754"/>
      <c r="T28" s="754"/>
      <c r="U28" s="754"/>
      <c r="V28" s="754"/>
      <c r="W28" s="767"/>
      <c r="X28" s="767"/>
      <c r="Y28" s="767"/>
      <c r="Z28" s="767"/>
      <c r="AA28" s="767"/>
      <c r="AB28" s="767"/>
      <c r="AC28" s="767"/>
      <c r="AD28" s="767"/>
      <c r="AE28" s="767"/>
      <c r="AF28" s="767"/>
      <c r="AG28" s="767"/>
      <c r="AH28" s="767"/>
      <c r="AI28" s="767"/>
      <c r="AJ28" s="767"/>
      <c r="AK28" s="767"/>
      <c r="AL28" s="767"/>
      <c r="AM28" s="767"/>
      <c r="AN28" s="767"/>
    </row>
    <row r="29" spans="3:54" hidden="1" x14ac:dyDescent="0.25">
      <c r="C29" s="755"/>
      <c r="D29" s="755"/>
      <c r="E29" s="761" t="s">
        <v>224</v>
      </c>
      <c r="F29" s="761"/>
      <c r="G29" s="761"/>
      <c r="H29" s="754"/>
      <c r="I29" s="754"/>
      <c r="J29" s="754"/>
      <c r="K29" s="754"/>
      <c r="L29" s="754"/>
      <c r="M29" s="754"/>
      <c r="N29" s="754"/>
      <c r="O29" s="754"/>
      <c r="P29" s="754"/>
      <c r="Q29" s="754"/>
      <c r="R29" s="754"/>
      <c r="S29" s="754"/>
      <c r="T29" s="754"/>
      <c r="U29" s="754"/>
      <c r="V29" s="754"/>
      <c r="W29" s="767"/>
      <c r="X29" s="767"/>
      <c r="Y29" s="767"/>
      <c r="Z29" s="767"/>
      <c r="AA29" s="767"/>
      <c r="AB29" s="767"/>
      <c r="AC29" s="767"/>
      <c r="AD29" s="767"/>
      <c r="AE29" s="767"/>
      <c r="AF29" s="767"/>
      <c r="AG29" s="767"/>
      <c r="AH29" s="767"/>
      <c r="AI29" s="767"/>
      <c r="AJ29" s="767"/>
      <c r="AK29" s="767"/>
      <c r="AL29" s="767"/>
      <c r="AM29" s="767"/>
      <c r="AN29" s="767"/>
    </row>
    <row r="30" spans="3:54" hidden="1" x14ac:dyDescent="0.25">
      <c r="C30" s="755"/>
      <c r="D30" s="755"/>
      <c r="E30" s="762" t="s">
        <v>225</v>
      </c>
      <c r="F30" s="762"/>
      <c r="G30" s="762"/>
      <c r="H30" s="754"/>
      <c r="I30" s="754"/>
      <c r="J30" s="754"/>
      <c r="K30" s="754"/>
      <c r="L30" s="754"/>
      <c r="M30" s="754"/>
      <c r="N30" s="754"/>
      <c r="O30" s="754"/>
      <c r="P30" s="754"/>
      <c r="Q30" s="754"/>
      <c r="R30" s="754"/>
      <c r="S30" s="754"/>
      <c r="T30" s="754"/>
      <c r="U30" s="754"/>
      <c r="V30" s="754"/>
      <c r="W30" s="767"/>
      <c r="X30" s="767"/>
      <c r="Y30" s="767"/>
      <c r="Z30" s="767"/>
      <c r="AA30" s="767"/>
      <c r="AB30" s="767"/>
      <c r="AC30" s="767"/>
      <c r="AD30" s="767"/>
      <c r="AE30" s="767"/>
      <c r="AF30" s="767"/>
      <c r="AG30" s="767"/>
      <c r="AH30" s="767"/>
      <c r="AI30" s="767"/>
      <c r="AJ30" s="767"/>
      <c r="AK30" s="767"/>
      <c r="AL30" s="767"/>
      <c r="AM30" s="767"/>
      <c r="AN30" s="767"/>
    </row>
    <row r="31" spans="3:54" hidden="1" x14ac:dyDescent="0.25">
      <c r="C31" s="755"/>
      <c r="D31" s="755"/>
      <c r="E31" s="761" t="s">
        <v>224</v>
      </c>
      <c r="F31" s="761"/>
      <c r="G31" s="761"/>
      <c r="H31" s="754"/>
      <c r="I31" s="754"/>
      <c r="J31" s="754"/>
      <c r="K31" s="754"/>
      <c r="L31" s="754"/>
      <c r="M31" s="754"/>
      <c r="N31" s="754"/>
      <c r="O31" s="754"/>
      <c r="P31" s="754"/>
      <c r="Q31" s="754"/>
      <c r="R31" s="754"/>
      <c r="S31" s="754"/>
      <c r="T31" s="754"/>
      <c r="U31" s="754"/>
      <c r="V31" s="754"/>
      <c r="W31" s="767"/>
      <c r="X31" s="767"/>
      <c r="Y31" s="767"/>
      <c r="Z31" s="767"/>
      <c r="AA31" s="767"/>
      <c r="AB31" s="767"/>
      <c r="AC31" s="767"/>
      <c r="AD31" s="767"/>
      <c r="AE31" s="767"/>
      <c r="AF31" s="767"/>
      <c r="AG31" s="767"/>
      <c r="AH31" s="767"/>
      <c r="AI31" s="767"/>
      <c r="AJ31" s="767"/>
      <c r="AK31" s="767"/>
      <c r="AL31" s="767"/>
      <c r="AM31" s="767"/>
      <c r="AN31" s="767"/>
    </row>
    <row r="32" spans="3:54" hidden="1" x14ac:dyDescent="0.25">
      <c r="C32" s="755"/>
      <c r="D32" s="755"/>
      <c r="E32" s="762" t="s">
        <v>225</v>
      </c>
      <c r="F32" s="762"/>
      <c r="G32" s="762"/>
      <c r="H32" s="754"/>
      <c r="I32" s="754"/>
      <c r="J32" s="754"/>
      <c r="K32" s="754"/>
      <c r="L32" s="754"/>
      <c r="M32" s="754"/>
      <c r="N32" s="754"/>
      <c r="O32" s="754"/>
      <c r="P32" s="754"/>
      <c r="Q32" s="754"/>
      <c r="R32" s="754"/>
      <c r="S32" s="754"/>
      <c r="T32" s="754"/>
      <c r="U32" s="754"/>
      <c r="V32" s="754"/>
      <c r="W32" s="767"/>
      <c r="X32" s="767"/>
      <c r="Y32" s="767"/>
      <c r="Z32" s="767"/>
      <c r="AA32" s="767"/>
      <c r="AB32" s="767"/>
      <c r="AC32" s="767"/>
      <c r="AD32" s="767"/>
      <c r="AE32" s="767"/>
      <c r="AF32" s="767"/>
      <c r="AG32" s="767"/>
      <c r="AH32" s="767"/>
      <c r="AI32" s="767"/>
      <c r="AJ32" s="767"/>
      <c r="AK32" s="767"/>
      <c r="AL32" s="767"/>
      <c r="AM32" s="767"/>
      <c r="AN32" s="767"/>
    </row>
    <row r="33" spans="3:40" hidden="1" x14ac:dyDescent="0.25">
      <c r="C33" s="755"/>
      <c r="D33" s="755"/>
      <c r="E33" s="761" t="s">
        <v>224</v>
      </c>
      <c r="F33" s="761"/>
      <c r="G33" s="761"/>
      <c r="H33" s="754"/>
      <c r="I33" s="754"/>
      <c r="J33" s="754"/>
      <c r="K33" s="754"/>
      <c r="L33" s="754"/>
      <c r="M33" s="754"/>
      <c r="N33" s="754"/>
      <c r="O33" s="754"/>
      <c r="P33" s="754"/>
      <c r="Q33" s="754"/>
      <c r="R33" s="754"/>
      <c r="S33" s="754"/>
      <c r="T33" s="754"/>
      <c r="U33" s="754"/>
      <c r="V33" s="754"/>
      <c r="W33" s="767"/>
      <c r="X33" s="767"/>
      <c r="Y33" s="767"/>
      <c r="Z33" s="767"/>
      <c r="AA33" s="767"/>
      <c r="AB33" s="767"/>
      <c r="AC33" s="767"/>
      <c r="AD33" s="767"/>
      <c r="AE33" s="767"/>
      <c r="AF33" s="767"/>
      <c r="AG33" s="767"/>
      <c r="AH33" s="767"/>
      <c r="AI33" s="767"/>
      <c r="AJ33" s="767"/>
      <c r="AK33" s="767"/>
      <c r="AL33" s="767"/>
      <c r="AM33" s="767"/>
      <c r="AN33" s="767"/>
    </row>
    <row r="34" spans="3:40" hidden="1" x14ac:dyDescent="0.25">
      <c r="C34" s="755"/>
      <c r="D34" s="755"/>
      <c r="E34" s="762" t="s">
        <v>225</v>
      </c>
      <c r="F34" s="762"/>
      <c r="G34" s="762"/>
      <c r="H34" s="754"/>
      <c r="I34" s="754"/>
      <c r="J34" s="754"/>
      <c r="K34" s="754"/>
      <c r="L34" s="754"/>
      <c r="M34" s="754"/>
      <c r="N34" s="754"/>
      <c r="O34" s="754"/>
      <c r="P34" s="754"/>
      <c r="Q34" s="754"/>
      <c r="R34" s="754"/>
      <c r="S34" s="754"/>
      <c r="T34" s="754"/>
      <c r="U34" s="754"/>
      <c r="V34" s="754"/>
      <c r="W34" s="767"/>
      <c r="X34" s="767"/>
      <c r="Y34" s="767"/>
      <c r="Z34" s="767"/>
      <c r="AA34" s="767"/>
      <c r="AB34" s="767"/>
      <c r="AC34" s="767"/>
      <c r="AD34" s="767"/>
      <c r="AE34" s="767"/>
      <c r="AF34" s="767"/>
      <c r="AG34" s="767"/>
      <c r="AH34" s="767"/>
      <c r="AI34" s="767"/>
      <c r="AJ34" s="767"/>
      <c r="AK34" s="767"/>
      <c r="AL34" s="767"/>
      <c r="AM34" s="767"/>
      <c r="AN34" s="767"/>
    </row>
    <row r="35" spans="3:40" hidden="1" x14ac:dyDescent="0.25">
      <c r="C35" s="755"/>
      <c r="D35" s="755"/>
      <c r="E35" s="761" t="s">
        <v>224</v>
      </c>
      <c r="F35" s="761"/>
      <c r="G35" s="761"/>
      <c r="H35" s="754"/>
      <c r="I35" s="754"/>
      <c r="J35" s="754"/>
      <c r="K35" s="754"/>
      <c r="L35" s="754"/>
      <c r="M35" s="754"/>
      <c r="N35" s="754"/>
      <c r="O35" s="754"/>
      <c r="P35" s="754"/>
      <c r="Q35" s="754"/>
      <c r="R35" s="754"/>
      <c r="S35" s="754"/>
      <c r="T35" s="754"/>
      <c r="U35" s="754"/>
      <c r="V35" s="754"/>
      <c r="W35" s="767"/>
      <c r="X35" s="767"/>
      <c r="Y35" s="767"/>
      <c r="Z35" s="767"/>
      <c r="AA35" s="767"/>
      <c r="AB35" s="767"/>
      <c r="AC35" s="767"/>
      <c r="AD35" s="767"/>
      <c r="AE35" s="767"/>
      <c r="AF35" s="767"/>
      <c r="AG35" s="767"/>
      <c r="AH35" s="767"/>
      <c r="AI35" s="767"/>
      <c r="AJ35" s="767"/>
      <c r="AK35" s="767"/>
      <c r="AL35" s="767"/>
      <c r="AM35" s="767"/>
      <c r="AN35" s="767"/>
    </row>
    <row r="36" spans="3:40" hidden="1" x14ac:dyDescent="0.25">
      <c r="C36" s="755"/>
      <c r="D36" s="755"/>
      <c r="E36" s="762" t="s">
        <v>225</v>
      </c>
      <c r="F36" s="762"/>
      <c r="G36" s="762"/>
      <c r="H36" s="754"/>
      <c r="I36" s="754"/>
      <c r="J36" s="754"/>
      <c r="K36" s="754"/>
      <c r="L36" s="754"/>
      <c r="M36" s="754"/>
      <c r="N36" s="754"/>
      <c r="O36" s="754"/>
      <c r="P36" s="754"/>
      <c r="Q36" s="754"/>
      <c r="R36" s="754"/>
      <c r="S36" s="754"/>
      <c r="T36" s="754"/>
      <c r="U36" s="754"/>
      <c r="V36" s="754"/>
      <c r="W36" s="767"/>
      <c r="X36" s="767"/>
      <c r="Y36" s="767"/>
      <c r="Z36" s="767"/>
      <c r="AA36" s="767"/>
      <c r="AB36" s="767"/>
      <c r="AC36" s="767"/>
      <c r="AD36" s="767"/>
      <c r="AE36" s="767"/>
      <c r="AF36" s="767"/>
      <c r="AG36" s="767"/>
      <c r="AH36" s="767"/>
      <c r="AI36" s="767"/>
      <c r="AJ36" s="767"/>
      <c r="AK36" s="767"/>
      <c r="AL36" s="767"/>
      <c r="AM36" s="767"/>
      <c r="AN36" s="767"/>
    </row>
    <row r="37" spans="3:40" hidden="1" x14ac:dyDescent="0.25">
      <c r="C37" s="755"/>
      <c r="D37" s="755"/>
      <c r="E37" s="761" t="s">
        <v>224</v>
      </c>
      <c r="F37" s="761"/>
      <c r="G37" s="761"/>
      <c r="H37" s="754"/>
      <c r="I37" s="754"/>
      <c r="J37" s="754"/>
      <c r="K37" s="754"/>
      <c r="L37" s="754"/>
      <c r="M37" s="754"/>
      <c r="N37" s="754"/>
      <c r="O37" s="754"/>
      <c r="P37" s="754"/>
      <c r="Q37" s="754"/>
      <c r="R37" s="754"/>
      <c r="S37" s="754"/>
      <c r="T37" s="754"/>
      <c r="U37" s="754"/>
      <c r="V37" s="754"/>
      <c r="W37" s="767"/>
      <c r="X37" s="767"/>
      <c r="Y37" s="767"/>
      <c r="Z37" s="767"/>
      <c r="AA37" s="767"/>
      <c r="AB37" s="767"/>
      <c r="AC37" s="767"/>
      <c r="AD37" s="767"/>
      <c r="AE37" s="767"/>
      <c r="AF37" s="767"/>
      <c r="AG37" s="767"/>
      <c r="AH37" s="767"/>
      <c r="AI37" s="767"/>
      <c r="AJ37" s="767"/>
      <c r="AK37" s="767"/>
      <c r="AL37" s="767"/>
      <c r="AM37" s="767"/>
      <c r="AN37" s="767"/>
    </row>
    <row r="38" spans="3:40" hidden="1" x14ac:dyDescent="0.25">
      <c r="C38" s="755"/>
      <c r="D38" s="755"/>
      <c r="E38" s="762" t="s">
        <v>225</v>
      </c>
      <c r="F38" s="762"/>
      <c r="G38" s="762"/>
      <c r="H38" s="754"/>
      <c r="I38" s="754"/>
      <c r="J38" s="754"/>
      <c r="K38" s="754"/>
      <c r="L38" s="754"/>
      <c r="M38" s="754"/>
      <c r="N38" s="754"/>
      <c r="O38" s="754"/>
      <c r="P38" s="754"/>
      <c r="Q38" s="754"/>
      <c r="R38" s="754"/>
      <c r="S38" s="754"/>
      <c r="T38" s="754"/>
      <c r="U38" s="754"/>
      <c r="V38" s="754"/>
      <c r="W38" s="767"/>
      <c r="X38" s="767"/>
      <c r="Y38" s="767"/>
      <c r="Z38" s="767"/>
      <c r="AA38" s="767"/>
      <c r="AB38" s="767"/>
      <c r="AC38" s="767"/>
      <c r="AD38" s="767"/>
      <c r="AE38" s="767"/>
      <c r="AF38" s="767"/>
      <c r="AG38" s="767"/>
      <c r="AH38" s="767"/>
      <c r="AI38" s="767"/>
      <c r="AJ38" s="767"/>
      <c r="AK38" s="767"/>
      <c r="AL38" s="767"/>
      <c r="AM38" s="767"/>
      <c r="AN38" s="767"/>
    </row>
    <row r="39" spans="3:40" hidden="1" x14ac:dyDescent="0.25">
      <c r="C39" s="755"/>
      <c r="D39" s="755"/>
      <c r="E39" s="761" t="s">
        <v>224</v>
      </c>
      <c r="F39" s="761"/>
      <c r="G39" s="761"/>
      <c r="H39" s="754"/>
      <c r="I39" s="754"/>
      <c r="J39" s="754"/>
      <c r="K39" s="754"/>
      <c r="L39" s="754"/>
      <c r="M39" s="754"/>
      <c r="N39" s="754"/>
      <c r="O39" s="754"/>
      <c r="P39" s="754"/>
      <c r="Q39" s="754"/>
      <c r="R39" s="754"/>
      <c r="S39" s="754"/>
      <c r="T39" s="754"/>
      <c r="U39" s="754"/>
      <c r="V39" s="754"/>
      <c r="W39" s="767"/>
      <c r="X39" s="767"/>
      <c r="Y39" s="767"/>
      <c r="Z39" s="767"/>
      <c r="AA39" s="767"/>
      <c r="AB39" s="767"/>
      <c r="AC39" s="767"/>
      <c r="AD39" s="767"/>
      <c r="AE39" s="767"/>
      <c r="AF39" s="767"/>
      <c r="AG39" s="767"/>
      <c r="AH39" s="767"/>
      <c r="AI39" s="767"/>
      <c r="AJ39" s="767"/>
      <c r="AK39" s="767"/>
      <c r="AL39" s="767"/>
      <c r="AM39" s="767"/>
      <c r="AN39" s="767"/>
    </row>
    <row r="40" spans="3:40" hidden="1" x14ac:dyDescent="0.25">
      <c r="C40" s="755"/>
      <c r="D40" s="755"/>
      <c r="E40" s="762" t="s">
        <v>225</v>
      </c>
      <c r="F40" s="762"/>
      <c r="G40" s="762"/>
      <c r="H40" s="754"/>
      <c r="I40" s="754"/>
      <c r="J40" s="754"/>
      <c r="K40" s="754"/>
      <c r="L40" s="754"/>
      <c r="M40" s="754"/>
      <c r="N40" s="754"/>
      <c r="O40" s="754"/>
      <c r="P40" s="754"/>
      <c r="Q40" s="754"/>
      <c r="R40" s="754"/>
      <c r="S40" s="754"/>
      <c r="T40" s="754"/>
      <c r="U40" s="754"/>
      <c r="V40" s="754"/>
      <c r="W40" s="767"/>
      <c r="X40" s="767"/>
      <c r="Y40" s="767"/>
      <c r="Z40" s="767"/>
      <c r="AA40" s="767"/>
      <c r="AB40" s="767"/>
      <c r="AC40" s="767"/>
      <c r="AD40" s="767"/>
      <c r="AE40" s="767"/>
      <c r="AF40" s="767"/>
      <c r="AG40" s="767"/>
      <c r="AH40" s="767"/>
      <c r="AI40" s="767"/>
      <c r="AJ40" s="767"/>
      <c r="AK40" s="767"/>
      <c r="AL40" s="767"/>
      <c r="AM40" s="767"/>
      <c r="AN40" s="767"/>
    </row>
    <row r="41" spans="3:40" hidden="1" x14ac:dyDescent="0.25">
      <c r="C41" s="755"/>
      <c r="D41" s="755"/>
      <c r="E41" s="761" t="s">
        <v>224</v>
      </c>
      <c r="F41" s="761"/>
      <c r="G41" s="761"/>
      <c r="H41" s="754"/>
      <c r="I41" s="754"/>
      <c r="J41" s="754"/>
      <c r="K41" s="754"/>
      <c r="L41" s="754"/>
      <c r="M41" s="754"/>
      <c r="N41" s="754"/>
      <c r="O41" s="754"/>
      <c r="P41" s="754"/>
      <c r="Q41" s="754"/>
      <c r="R41" s="754"/>
      <c r="S41" s="754"/>
      <c r="T41" s="754"/>
      <c r="U41" s="754"/>
      <c r="V41" s="754"/>
      <c r="W41" s="767"/>
      <c r="X41" s="767"/>
      <c r="Y41" s="767"/>
      <c r="Z41" s="767"/>
      <c r="AA41" s="767"/>
      <c r="AB41" s="767"/>
      <c r="AC41" s="767"/>
      <c r="AD41" s="767"/>
      <c r="AE41" s="767"/>
      <c r="AF41" s="767"/>
      <c r="AG41" s="767"/>
      <c r="AH41" s="767"/>
      <c r="AI41" s="767"/>
      <c r="AJ41" s="767"/>
      <c r="AK41" s="767"/>
      <c r="AL41" s="767"/>
      <c r="AM41" s="767"/>
      <c r="AN41" s="767"/>
    </row>
    <row r="42" spans="3:40" hidden="1" x14ac:dyDescent="0.25">
      <c r="C42" s="755"/>
      <c r="D42" s="755"/>
      <c r="E42" s="762" t="s">
        <v>225</v>
      </c>
      <c r="F42" s="762"/>
      <c r="G42" s="762"/>
      <c r="H42" s="754"/>
      <c r="I42" s="754"/>
      <c r="J42" s="754"/>
      <c r="K42" s="754"/>
      <c r="L42" s="754"/>
      <c r="M42" s="754"/>
      <c r="N42" s="754"/>
      <c r="O42" s="754"/>
      <c r="P42" s="754"/>
      <c r="Q42" s="754"/>
      <c r="R42" s="754"/>
      <c r="S42" s="754"/>
      <c r="T42" s="754"/>
      <c r="U42" s="754"/>
      <c r="V42" s="754"/>
      <c r="W42" s="767"/>
      <c r="X42" s="767"/>
      <c r="Y42" s="767"/>
      <c r="Z42" s="767"/>
      <c r="AA42" s="767"/>
      <c r="AB42" s="767"/>
      <c r="AC42" s="767"/>
      <c r="AD42" s="767"/>
      <c r="AE42" s="767"/>
      <c r="AF42" s="767"/>
      <c r="AG42" s="767"/>
      <c r="AH42" s="767"/>
      <c r="AI42" s="767"/>
      <c r="AJ42" s="767"/>
      <c r="AK42" s="767"/>
      <c r="AL42" s="767"/>
      <c r="AM42" s="767"/>
      <c r="AN42" s="767"/>
    </row>
    <row r="43" spans="3:40" hidden="1" x14ac:dyDescent="0.25">
      <c r="C43" s="755"/>
      <c r="D43" s="755"/>
      <c r="E43" s="761" t="s">
        <v>224</v>
      </c>
      <c r="F43" s="761"/>
      <c r="G43" s="761"/>
      <c r="H43" s="754"/>
      <c r="I43" s="754"/>
      <c r="J43" s="754"/>
      <c r="K43" s="754"/>
      <c r="L43" s="754"/>
      <c r="M43" s="754"/>
      <c r="N43" s="754"/>
      <c r="O43" s="754"/>
      <c r="P43" s="754"/>
      <c r="Q43" s="754"/>
      <c r="R43" s="754"/>
      <c r="S43" s="754"/>
      <c r="T43" s="754"/>
      <c r="U43" s="754"/>
      <c r="V43" s="754"/>
      <c r="W43" s="767"/>
      <c r="X43" s="767"/>
      <c r="Y43" s="767"/>
      <c r="Z43" s="767"/>
      <c r="AA43" s="767"/>
      <c r="AB43" s="767"/>
      <c r="AC43" s="767"/>
      <c r="AD43" s="767"/>
      <c r="AE43" s="767"/>
      <c r="AF43" s="767"/>
      <c r="AG43" s="767"/>
      <c r="AH43" s="767"/>
      <c r="AI43" s="767"/>
      <c r="AJ43" s="767"/>
      <c r="AK43" s="767"/>
      <c r="AL43" s="767"/>
      <c r="AM43" s="767"/>
      <c r="AN43" s="767"/>
    </row>
    <row r="44" spans="3:40" hidden="1" x14ac:dyDescent="0.25">
      <c r="C44" s="755"/>
      <c r="D44" s="755"/>
      <c r="E44" s="762" t="s">
        <v>225</v>
      </c>
      <c r="F44" s="762"/>
      <c r="G44" s="762"/>
      <c r="H44" s="754"/>
      <c r="I44" s="754"/>
      <c r="J44" s="754"/>
      <c r="K44" s="754"/>
      <c r="L44" s="754"/>
      <c r="M44" s="754"/>
      <c r="N44" s="754"/>
      <c r="O44" s="754"/>
      <c r="P44" s="754"/>
      <c r="Q44" s="754"/>
      <c r="R44" s="754"/>
      <c r="S44" s="754"/>
      <c r="T44" s="754"/>
      <c r="U44" s="754"/>
      <c r="V44" s="754"/>
      <c r="W44" s="767"/>
      <c r="X44" s="767"/>
      <c r="Y44" s="767"/>
      <c r="Z44" s="767"/>
      <c r="AA44" s="767"/>
      <c r="AB44" s="767"/>
      <c r="AC44" s="767"/>
      <c r="AD44" s="767"/>
      <c r="AE44" s="767"/>
      <c r="AF44" s="767"/>
      <c r="AG44" s="767"/>
      <c r="AH44" s="767"/>
      <c r="AI44" s="767"/>
      <c r="AJ44" s="767"/>
      <c r="AK44" s="767"/>
      <c r="AL44" s="767"/>
      <c r="AM44" s="767"/>
      <c r="AN44" s="767"/>
    </row>
    <row r="45" spans="3:40" hidden="1" x14ac:dyDescent="0.25">
      <c r="C45" s="755"/>
      <c r="D45" s="755"/>
      <c r="E45" s="761" t="s">
        <v>224</v>
      </c>
      <c r="F45" s="761"/>
      <c r="G45" s="761"/>
      <c r="H45" s="754"/>
      <c r="I45" s="754"/>
      <c r="J45" s="754"/>
      <c r="K45" s="754"/>
      <c r="L45" s="754"/>
      <c r="M45" s="754"/>
      <c r="N45" s="754"/>
      <c r="O45" s="754"/>
      <c r="P45" s="754"/>
      <c r="Q45" s="754"/>
      <c r="R45" s="754"/>
      <c r="S45" s="754"/>
      <c r="T45" s="754"/>
      <c r="U45" s="754"/>
      <c r="V45" s="754"/>
      <c r="W45" s="767"/>
      <c r="X45" s="767"/>
      <c r="Y45" s="767"/>
      <c r="Z45" s="767"/>
      <c r="AA45" s="767"/>
      <c r="AB45" s="767"/>
      <c r="AC45" s="767"/>
      <c r="AD45" s="767"/>
      <c r="AE45" s="767"/>
      <c r="AF45" s="767"/>
      <c r="AG45" s="767"/>
      <c r="AH45" s="767"/>
      <c r="AI45" s="767"/>
      <c r="AJ45" s="767"/>
      <c r="AK45" s="767"/>
      <c r="AL45" s="767"/>
      <c r="AM45" s="767"/>
      <c r="AN45" s="767"/>
    </row>
    <row r="46" spans="3:40" hidden="1" x14ac:dyDescent="0.25">
      <c r="C46" s="755"/>
      <c r="D46" s="755"/>
      <c r="E46" s="762" t="s">
        <v>225</v>
      </c>
      <c r="F46" s="762"/>
      <c r="G46" s="762"/>
      <c r="H46" s="754"/>
      <c r="I46" s="754"/>
      <c r="J46" s="754"/>
      <c r="K46" s="754"/>
      <c r="L46" s="754"/>
      <c r="M46" s="754"/>
      <c r="N46" s="754"/>
      <c r="O46" s="754"/>
      <c r="P46" s="754"/>
      <c r="Q46" s="754"/>
      <c r="R46" s="754"/>
      <c r="S46" s="754"/>
      <c r="T46" s="754"/>
      <c r="U46" s="754"/>
      <c r="V46" s="754"/>
      <c r="W46" s="767"/>
      <c r="X46" s="767"/>
      <c r="Y46" s="767"/>
      <c r="Z46" s="767"/>
      <c r="AA46" s="767"/>
      <c r="AB46" s="767"/>
      <c r="AC46" s="767"/>
      <c r="AD46" s="767"/>
      <c r="AE46" s="767"/>
      <c r="AF46" s="767"/>
      <c r="AG46" s="767"/>
      <c r="AH46" s="767"/>
      <c r="AI46" s="767"/>
      <c r="AJ46" s="767"/>
      <c r="AK46" s="767"/>
      <c r="AL46" s="767"/>
      <c r="AM46" s="767"/>
      <c r="AN46" s="767"/>
    </row>
    <row r="47" spans="3:40" hidden="1" x14ac:dyDescent="0.25">
      <c r="C47" s="755"/>
      <c r="D47" s="755"/>
      <c r="E47" s="761" t="s">
        <v>224</v>
      </c>
      <c r="F47" s="761"/>
      <c r="G47" s="761"/>
      <c r="H47" s="754"/>
      <c r="I47" s="754"/>
      <c r="J47" s="754"/>
      <c r="K47" s="754"/>
      <c r="L47" s="754"/>
      <c r="M47" s="754"/>
      <c r="N47" s="754"/>
      <c r="O47" s="754"/>
      <c r="P47" s="754"/>
      <c r="Q47" s="754"/>
      <c r="R47" s="754"/>
      <c r="S47" s="754"/>
      <c r="T47" s="754"/>
      <c r="U47" s="754"/>
      <c r="V47" s="754"/>
      <c r="W47" s="767"/>
      <c r="X47" s="767"/>
      <c r="Y47" s="767"/>
      <c r="Z47" s="767"/>
      <c r="AA47" s="767"/>
      <c r="AB47" s="767"/>
      <c r="AC47" s="767"/>
      <c r="AD47" s="767"/>
      <c r="AE47" s="767"/>
      <c r="AF47" s="767"/>
      <c r="AG47" s="767"/>
      <c r="AH47" s="767"/>
      <c r="AI47" s="767"/>
      <c r="AJ47" s="767"/>
      <c r="AK47" s="767"/>
      <c r="AL47" s="767"/>
      <c r="AM47" s="767"/>
      <c r="AN47" s="767"/>
    </row>
    <row r="48" spans="3:40" hidden="1" x14ac:dyDescent="0.25">
      <c r="C48" s="755"/>
      <c r="D48" s="755"/>
      <c r="E48" s="762" t="s">
        <v>225</v>
      </c>
      <c r="F48" s="762"/>
      <c r="G48" s="762"/>
      <c r="H48" s="754"/>
      <c r="I48" s="754"/>
      <c r="J48" s="754"/>
      <c r="K48" s="754"/>
      <c r="L48" s="754"/>
      <c r="M48" s="754"/>
      <c r="N48" s="754"/>
      <c r="O48" s="754"/>
      <c r="P48" s="754"/>
      <c r="Q48" s="754"/>
      <c r="R48" s="754"/>
      <c r="S48" s="754"/>
      <c r="T48" s="754"/>
      <c r="U48" s="754"/>
      <c r="V48" s="754"/>
      <c r="W48" s="767"/>
      <c r="X48" s="767"/>
      <c r="Y48" s="767"/>
      <c r="Z48" s="767"/>
      <c r="AA48" s="767"/>
      <c r="AB48" s="767"/>
      <c r="AC48" s="767"/>
      <c r="AD48" s="767"/>
      <c r="AE48" s="767"/>
      <c r="AF48" s="767"/>
      <c r="AG48" s="767"/>
      <c r="AH48" s="767"/>
      <c r="AI48" s="767"/>
      <c r="AJ48" s="767"/>
      <c r="AK48" s="767"/>
      <c r="AL48" s="767"/>
      <c r="AM48" s="767"/>
      <c r="AN48" s="767"/>
    </row>
    <row r="49" spans="3:40" hidden="1" x14ac:dyDescent="0.25">
      <c r="C49" s="755"/>
      <c r="D49" s="755"/>
      <c r="E49" s="761" t="s">
        <v>224</v>
      </c>
      <c r="F49" s="761"/>
      <c r="G49" s="761"/>
      <c r="H49" s="754"/>
      <c r="I49" s="754"/>
      <c r="J49" s="754"/>
      <c r="K49" s="754"/>
      <c r="L49" s="754"/>
      <c r="M49" s="754"/>
      <c r="N49" s="754"/>
      <c r="O49" s="754"/>
      <c r="P49" s="754"/>
      <c r="Q49" s="754"/>
      <c r="R49" s="754"/>
      <c r="S49" s="754"/>
      <c r="T49" s="754"/>
      <c r="U49" s="754"/>
      <c r="V49" s="754"/>
      <c r="W49" s="767"/>
      <c r="X49" s="767"/>
      <c r="Y49" s="767"/>
      <c r="Z49" s="767"/>
      <c r="AA49" s="767"/>
      <c r="AB49" s="767"/>
      <c r="AC49" s="767"/>
      <c r="AD49" s="767"/>
      <c r="AE49" s="767"/>
      <c r="AF49" s="767"/>
      <c r="AG49" s="767"/>
      <c r="AH49" s="767"/>
      <c r="AI49" s="767"/>
      <c r="AJ49" s="767"/>
      <c r="AK49" s="767"/>
      <c r="AL49" s="767"/>
      <c r="AM49" s="767"/>
      <c r="AN49" s="767"/>
    </row>
    <row r="50" spans="3:40" hidden="1" x14ac:dyDescent="0.25">
      <c r="C50" s="755"/>
      <c r="D50" s="755"/>
      <c r="E50" s="762" t="s">
        <v>225</v>
      </c>
      <c r="F50" s="762"/>
      <c r="G50" s="762"/>
      <c r="H50" s="754"/>
      <c r="I50" s="754"/>
      <c r="J50" s="754"/>
      <c r="K50" s="754"/>
      <c r="L50" s="754"/>
      <c r="M50" s="754"/>
      <c r="N50" s="754"/>
      <c r="O50" s="754"/>
      <c r="P50" s="754"/>
      <c r="Q50" s="754"/>
      <c r="R50" s="754"/>
      <c r="S50" s="754"/>
      <c r="T50" s="754"/>
      <c r="U50" s="754"/>
      <c r="V50" s="754"/>
      <c r="W50" s="767"/>
      <c r="X50" s="767"/>
      <c r="Y50" s="767"/>
      <c r="Z50" s="767"/>
      <c r="AA50" s="767"/>
      <c r="AB50" s="767"/>
      <c r="AC50" s="767"/>
      <c r="AD50" s="767"/>
      <c r="AE50" s="767"/>
      <c r="AF50" s="767"/>
      <c r="AG50" s="767"/>
      <c r="AH50" s="767"/>
      <c r="AI50" s="767"/>
      <c r="AJ50" s="767"/>
      <c r="AK50" s="767"/>
      <c r="AL50" s="767"/>
      <c r="AM50" s="767"/>
      <c r="AN50" s="767"/>
    </row>
    <row r="51" spans="3:40" hidden="1" x14ac:dyDescent="0.25">
      <c r="C51" s="755"/>
      <c r="D51" s="755"/>
      <c r="E51" s="761" t="s">
        <v>224</v>
      </c>
      <c r="F51" s="761"/>
      <c r="G51" s="761"/>
      <c r="H51" s="754"/>
      <c r="I51" s="754"/>
      <c r="J51" s="754"/>
      <c r="K51" s="754"/>
      <c r="L51" s="754"/>
      <c r="M51" s="754"/>
      <c r="N51" s="754"/>
      <c r="O51" s="754"/>
      <c r="P51" s="754"/>
      <c r="Q51" s="754"/>
      <c r="R51" s="754"/>
      <c r="S51" s="754"/>
      <c r="T51" s="754"/>
      <c r="U51" s="754"/>
      <c r="V51" s="754"/>
      <c r="W51" s="767"/>
      <c r="X51" s="767"/>
      <c r="Y51" s="767"/>
      <c r="Z51" s="767"/>
      <c r="AA51" s="767"/>
      <c r="AB51" s="767"/>
      <c r="AC51" s="767"/>
      <c r="AD51" s="767"/>
      <c r="AE51" s="767"/>
      <c r="AF51" s="767"/>
      <c r="AG51" s="767"/>
      <c r="AH51" s="767"/>
      <c r="AI51" s="767"/>
      <c r="AJ51" s="767"/>
      <c r="AK51" s="767"/>
      <c r="AL51" s="767"/>
      <c r="AM51" s="767"/>
      <c r="AN51" s="767"/>
    </row>
    <row r="52" spans="3:40" hidden="1" x14ac:dyDescent="0.25">
      <c r="C52" s="755"/>
      <c r="D52" s="755"/>
      <c r="E52" s="762" t="s">
        <v>225</v>
      </c>
      <c r="F52" s="762"/>
      <c r="G52" s="762"/>
      <c r="H52" s="754"/>
      <c r="I52" s="754"/>
      <c r="J52" s="754"/>
      <c r="K52" s="754"/>
      <c r="L52" s="754"/>
      <c r="M52" s="754"/>
      <c r="N52" s="754"/>
      <c r="O52" s="754"/>
      <c r="P52" s="754"/>
      <c r="Q52" s="754"/>
      <c r="R52" s="754"/>
      <c r="S52" s="754"/>
      <c r="T52" s="754"/>
      <c r="U52" s="754"/>
      <c r="V52" s="754"/>
      <c r="W52" s="767"/>
      <c r="X52" s="767"/>
      <c r="Y52" s="767"/>
      <c r="Z52" s="767"/>
      <c r="AA52" s="767"/>
      <c r="AB52" s="767"/>
      <c r="AC52" s="767"/>
      <c r="AD52" s="767"/>
      <c r="AE52" s="767"/>
      <c r="AF52" s="767"/>
      <c r="AG52" s="767"/>
      <c r="AH52" s="767"/>
      <c r="AI52" s="767"/>
      <c r="AJ52" s="767"/>
      <c r="AK52" s="767"/>
      <c r="AL52" s="767"/>
      <c r="AM52" s="767"/>
      <c r="AN52" s="767"/>
    </row>
    <row r="53" spans="3:40" hidden="1" x14ac:dyDescent="0.25">
      <c r="C53" s="755"/>
      <c r="D53" s="755"/>
      <c r="E53" s="761" t="s">
        <v>224</v>
      </c>
      <c r="F53" s="761"/>
      <c r="G53" s="761"/>
      <c r="H53" s="754"/>
      <c r="I53" s="754"/>
      <c r="J53" s="754"/>
      <c r="K53" s="754"/>
      <c r="L53" s="754"/>
      <c r="M53" s="754"/>
      <c r="N53" s="754"/>
      <c r="O53" s="754"/>
      <c r="P53" s="754"/>
      <c r="Q53" s="754"/>
      <c r="R53" s="754"/>
      <c r="S53" s="754"/>
      <c r="T53" s="754"/>
      <c r="U53" s="754"/>
      <c r="V53" s="754"/>
      <c r="W53" s="767"/>
      <c r="X53" s="767"/>
      <c r="Y53" s="767"/>
      <c r="Z53" s="767"/>
      <c r="AA53" s="767"/>
      <c r="AB53" s="767"/>
      <c r="AC53" s="767"/>
      <c r="AD53" s="767"/>
      <c r="AE53" s="767"/>
      <c r="AF53" s="767"/>
      <c r="AG53" s="767"/>
      <c r="AH53" s="767"/>
      <c r="AI53" s="767"/>
      <c r="AJ53" s="767"/>
      <c r="AK53" s="767"/>
      <c r="AL53" s="767"/>
      <c r="AM53" s="767"/>
      <c r="AN53" s="767"/>
    </row>
    <row r="54" spans="3:40" hidden="1" x14ac:dyDescent="0.25">
      <c r="C54" s="755"/>
      <c r="D54" s="755"/>
      <c r="E54" s="762" t="s">
        <v>225</v>
      </c>
      <c r="F54" s="762"/>
      <c r="G54" s="762"/>
      <c r="H54" s="754"/>
      <c r="I54" s="754"/>
      <c r="J54" s="754"/>
      <c r="K54" s="754"/>
      <c r="L54" s="754"/>
      <c r="M54" s="754"/>
      <c r="N54" s="754"/>
      <c r="O54" s="754"/>
      <c r="P54" s="754"/>
      <c r="Q54" s="754"/>
      <c r="R54" s="754"/>
      <c r="S54" s="754"/>
      <c r="T54" s="754"/>
      <c r="U54" s="754"/>
      <c r="V54" s="754"/>
      <c r="W54" s="767"/>
      <c r="X54" s="767"/>
      <c r="Y54" s="767"/>
      <c r="Z54" s="767"/>
      <c r="AA54" s="767"/>
      <c r="AB54" s="767"/>
      <c r="AC54" s="767"/>
      <c r="AD54" s="767"/>
      <c r="AE54" s="767"/>
      <c r="AF54" s="767"/>
      <c r="AG54" s="767"/>
      <c r="AH54" s="767"/>
      <c r="AI54" s="767"/>
      <c r="AJ54" s="767"/>
      <c r="AK54" s="767"/>
      <c r="AL54" s="767"/>
      <c r="AM54" s="767"/>
      <c r="AN54" s="767"/>
    </row>
    <row r="55" spans="3:40" hidden="1" x14ac:dyDescent="0.25">
      <c r="C55" s="755"/>
      <c r="D55" s="755"/>
      <c r="E55" s="761" t="s">
        <v>224</v>
      </c>
      <c r="F55" s="761"/>
      <c r="G55" s="761"/>
      <c r="H55" s="754"/>
      <c r="I55" s="754"/>
      <c r="J55" s="754"/>
      <c r="K55" s="754"/>
      <c r="L55" s="754"/>
      <c r="M55" s="754"/>
      <c r="N55" s="754"/>
      <c r="O55" s="754"/>
      <c r="P55" s="754"/>
      <c r="Q55" s="754"/>
      <c r="R55" s="754"/>
      <c r="S55" s="754"/>
      <c r="T55" s="754"/>
      <c r="U55" s="754"/>
      <c r="V55" s="754"/>
      <c r="W55" s="767"/>
      <c r="X55" s="767"/>
      <c r="Y55" s="767"/>
      <c r="Z55" s="767"/>
      <c r="AA55" s="767"/>
      <c r="AB55" s="767"/>
      <c r="AC55" s="767"/>
      <c r="AD55" s="767"/>
      <c r="AE55" s="767"/>
      <c r="AF55" s="767"/>
      <c r="AG55" s="767"/>
      <c r="AH55" s="767"/>
      <c r="AI55" s="767"/>
      <c r="AJ55" s="767"/>
      <c r="AK55" s="767"/>
      <c r="AL55" s="767"/>
      <c r="AM55" s="767"/>
      <c r="AN55" s="767"/>
    </row>
    <row r="56" spans="3:40" hidden="1" x14ac:dyDescent="0.25">
      <c r="C56" s="755"/>
      <c r="D56" s="755"/>
      <c r="E56" s="762" t="s">
        <v>225</v>
      </c>
      <c r="F56" s="762"/>
      <c r="G56" s="762"/>
      <c r="H56" s="754"/>
      <c r="I56" s="754"/>
      <c r="J56" s="754"/>
      <c r="K56" s="754"/>
      <c r="L56" s="754"/>
      <c r="M56" s="754"/>
      <c r="N56" s="754"/>
      <c r="O56" s="754"/>
      <c r="P56" s="754"/>
      <c r="Q56" s="754"/>
      <c r="R56" s="754"/>
      <c r="S56" s="754"/>
      <c r="T56" s="754"/>
      <c r="U56" s="754"/>
      <c r="V56" s="754"/>
      <c r="W56" s="767"/>
      <c r="X56" s="767"/>
      <c r="Y56" s="767"/>
      <c r="Z56" s="767"/>
      <c r="AA56" s="767"/>
      <c r="AB56" s="767"/>
      <c r="AC56" s="767"/>
      <c r="AD56" s="767"/>
      <c r="AE56" s="767"/>
      <c r="AF56" s="767"/>
      <c r="AG56" s="767"/>
      <c r="AH56" s="767"/>
      <c r="AI56" s="767"/>
      <c r="AJ56" s="767"/>
      <c r="AK56" s="767"/>
      <c r="AL56" s="767"/>
      <c r="AM56" s="767"/>
      <c r="AN56" s="767"/>
    </row>
    <row r="57" spans="3:40" hidden="1" x14ac:dyDescent="0.25">
      <c r="C57" s="755"/>
      <c r="D57" s="755"/>
      <c r="E57" s="761" t="s">
        <v>224</v>
      </c>
      <c r="F57" s="761"/>
      <c r="G57" s="761"/>
      <c r="H57" s="754"/>
      <c r="I57" s="754"/>
      <c r="J57" s="754"/>
      <c r="K57" s="754"/>
      <c r="L57" s="754"/>
      <c r="M57" s="754"/>
      <c r="N57" s="754"/>
      <c r="O57" s="754"/>
      <c r="P57" s="754"/>
      <c r="Q57" s="754"/>
      <c r="R57" s="754"/>
      <c r="S57" s="754"/>
      <c r="T57" s="754"/>
      <c r="U57" s="754"/>
      <c r="V57" s="754"/>
      <c r="W57" s="767"/>
      <c r="X57" s="767"/>
      <c r="Y57" s="767"/>
      <c r="Z57" s="767"/>
      <c r="AA57" s="767"/>
      <c r="AB57" s="767"/>
      <c r="AC57" s="767"/>
      <c r="AD57" s="767"/>
      <c r="AE57" s="767"/>
      <c r="AF57" s="767"/>
      <c r="AG57" s="767"/>
      <c r="AH57" s="767"/>
      <c r="AI57" s="767"/>
      <c r="AJ57" s="767"/>
      <c r="AK57" s="767"/>
      <c r="AL57" s="767"/>
      <c r="AM57" s="767"/>
      <c r="AN57" s="767"/>
    </row>
    <row r="58" spans="3:40" hidden="1" x14ac:dyDescent="0.25">
      <c r="C58" s="756"/>
      <c r="D58" s="756"/>
      <c r="E58" s="763" t="s">
        <v>225</v>
      </c>
      <c r="F58" s="763"/>
      <c r="G58" s="763"/>
      <c r="H58" s="754"/>
      <c r="I58" s="754"/>
      <c r="J58" s="754"/>
      <c r="K58" s="754"/>
      <c r="L58" s="754"/>
      <c r="M58" s="754"/>
      <c r="N58" s="754"/>
      <c r="O58" s="754"/>
      <c r="P58" s="754"/>
      <c r="Q58" s="754"/>
      <c r="R58" s="754"/>
      <c r="S58" s="754"/>
      <c r="T58" s="754"/>
      <c r="U58" s="754"/>
      <c r="V58" s="754"/>
      <c r="W58" s="767"/>
      <c r="X58" s="767"/>
      <c r="Y58" s="767"/>
      <c r="Z58" s="767"/>
      <c r="AA58" s="767"/>
      <c r="AB58" s="767"/>
      <c r="AC58" s="767"/>
      <c r="AD58" s="767"/>
      <c r="AE58" s="767"/>
      <c r="AF58" s="767"/>
      <c r="AG58" s="767"/>
      <c r="AH58" s="767"/>
      <c r="AI58" s="767"/>
      <c r="AJ58" s="767"/>
      <c r="AK58" s="767"/>
      <c r="AL58" s="767"/>
      <c r="AM58" s="767"/>
      <c r="AN58" s="767"/>
    </row>
    <row r="59" spans="3:40" x14ac:dyDescent="0.25">
      <c r="C59" s="769" t="s">
        <v>290</v>
      </c>
      <c r="D59" s="769"/>
      <c r="E59" s="769"/>
      <c r="F59" s="769"/>
      <c r="G59" s="769"/>
      <c r="H59" s="770"/>
      <c r="I59" s="770"/>
      <c r="J59" s="770"/>
      <c r="K59" s="770"/>
      <c r="L59" s="770"/>
      <c r="M59" s="770"/>
      <c r="N59" s="770"/>
      <c r="O59" s="770"/>
      <c r="P59" s="770"/>
      <c r="Q59" s="770"/>
      <c r="R59" s="770"/>
      <c r="S59" s="770"/>
      <c r="T59" s="770"/>
      <c r="U59" s="770"/>
      <c r="V59" s="770"/>
      <c r="W59" s="768">
        <f>SUM(W25:AF58)</f>
        <v>150000000</v>
      </c>
      <c r="X59" s="754"/>
      <c r="Y59" s="754"/>
      <c r="Z59" s="754"/>
      <c r="AA59" s="754"/>
      <c r="AB59" s="754"/>
      <c r="AC59" s="754"/>
      <c r="AD59" s="754"/>
      <c r="AE59" s="754"/>
      <c r="AF59" s="754"/>
      <c r="AG59" s="768">
        <f>SUM(AG25:AN58)</f>
        <v>3750000</v>
      </c>
      <c r="AH59" s="754"/>
      <c r="AI59" s="754"/>
      <c r="AJ59" s="754"/>
      <c r="AK59" s="754"/>
      <c r="AL59" s="754"/>
      <c r="AM59" s="754"/>
      <c r="AN59" s="754"/>
    </row>
    <row r="60" spans="3:40" x14ac:dyDescent="0.25">
      <c r="C60" s="203"/>
      <c r="D60" s="188"/>
      <c r="E60" s="188"/>
      <c r="F60" s="188"/>
      <c r="G60" s="188"/>
      <c r="H60" s="188"/>
      <c r="I60" s="188"/>
      <c r="J60" s="188"/>
      <c r="K60" s="188"/>
      <c r="L60" s="188"/>
      <c r="M60" s="188"/>
      <c r="N60" s="188"/>
      <c r="O60" s="189" t="s">
        <v>616</v>
      </c>
      <c r="P60" s="188"/>
      <c r="Q60" s="188"/>
      <c r="R60" s="188"/>
      <c r="S60" s="188"/>
      <c r="T60" s="188"/>
      <c r="U60" s="188"/>
      <c r="V60" s="188"/>
      <c r="W60" s="188"/>
      <c r="X60" s="188"/>
      <c r="Y60" s="188"/>
      <c r="Z60" s="188"/>
      <c r="AA60" s="188"/>
      <c r="AB60" s="188"/>
      <c r="AC60" s="188"/>
      <c r="AD60" s="188"/>
      <c r="AE60" s="188"/>
      <c r="AF60" s="188"/>
      <c r="AG60" s="188"/>
      <c r="AH60" s="188"/>
      <c r="AI60" s="188"/>
      <c r="AJ60" s="188"/>
      <c r="AK60" s="188"/>
      <c r="AL60" s="188"/>
      <c r="AM60" s="188"/>
      <c r="AN60" s="204"/>
    </row>
    <row r="61" spans="3:40" ht="3" customHeight="1" x14ac:dyDescent="0.25">
      <c r="C61" s="205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  <c r="AA61" s="117"/>
      <c r="AB61" s="117"/>
      <c r="AC61" s="117"/>
      <c r="AD61" s="117"/>
      <c r="AE61" s="117"/>
      <c r="AF61" s="117"/>
      <c r="AG61" s="117"/>
      <c r="AH61" s="117"/>
      <c r="AI61" s="117"/>
      <c r="AJ61" s="117"/>
      <c r="AK61" s="117"/>
      <c r="AL61" s="117"/>
      <c r="AM61" s="117"/>
      <c r="AN61" s="206"/>
    </row>
    <row r="62" spans="3:40" ht="18.600000000000001" customHeight="1" x14ac:dyDescent="0.25">
      <c r="C62" s="199" t="s">
        <v>51</v>
      </c>
      <c r="D62" s="110" t="s">
        <v>291</v>
      </c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200"/>
    </row>
    <row r="63" spans="3:40" ht="3" customHeight="1" x14ac:dyDescent="0.25">
      <c r="C63" s="207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208"/>
    </row>
    <row r="64" spans="3:40" x14ac:dyDescent="0.25">
      <c r="C64" s="728" t="s">
        <v>263</v>
      </c>
      <c r="D64" s="728"/>
      <c r="E64" s="728" t="s">
        <v>193</v>
      </c>
      <c r="F64" s="728"/>
      <c r="G64" s="728"/>
      <c r="H64" s="728"/>
      <c r="I64" s="728" t="s">
        <v>288</v>
      </c>
      <c r="J64" s="728"/>
      <c r="K64" s="728"/>
      <c r="L64" s="728"/>
      <c r="M64" s="728"/>
      <c r="N64" s="728"/>
      <c r="O64" s="728"/>
      <c r="P64" s="728"/>
      <c r="Q64" s="728" t="s">
        <v>23</v>
      </c>
      <c r="R64" s="728"/>
      <c r="S64" s="728"/>
      <c r="T64" s="728"/>
      <c r="U64" s="728"/>
      <c r="V64" s="728"/>
      <c r="W64" s="728"/>
      <c r="X64" s="728"/>
      <c r="Y64" s="728"/>
      <c r="Z64" s="728"/>
      <c r="AA64" s="728"/>
      <c r="AB64" s="728"/>
      <c r="AC64" s="728"/>
      <c r="AD64" s="728"/>
      <c r="AE64" s="728"/>
      <c r="AF64" s="728"/>
      <c r="AG64" s="728"/>
      <c r="AH64" s="728"/>
      <c r="AI64" s="728"/>
      <c r="AJ64" s="728" t="s">
        <v>264</v>
      </c>
      <c r="AK64" s="728"/>
      <c r="AL64" s="728"/>
      <c r="AM64" s="728"/>
      <c r="AN64" s="728"/>
    </row>
    <row r="65" spans="3:40" x14ac:dyDescent="0.25">
      <c r="C65" s="728"/>
      <c r="D65" s="728"/>
      <c r="E65" s="728"/>
      <c r="F65" s="728"/>
      <c r="G65" s="728"/>
      <c r="H65" s="728"/>
      <c r="I65" s="728"/>
      <c r="J65" s="728"/>
      <c r="K65" s="728"/>
      <c r="L65" s="728"/>
      <c r="M65" s="728"/>
      <c r="N65" s="728"/>
      <c r="O65" s="728"/>
      <c r="P65" s="728"/>
      <c r="Q65" s="728"/>
      <c r="R65" s="728"/>
      <c r="S65" s="728"/>
      <c r="T65" s="728"/>
      <c r="U65" s="728"/>
      <c r="V65" s="728"/>
      <c r="W65" s="728"/>
      <c r="X65" s="728"/>
      <c r="Y65" s="728"/>
      <c r="Z65" s="728"/>
      <c r="AA65" s="728"/>
      <c r="AB65" s="728"/>
      <c r="AC65" s="728"/>
      <c r="AD65" s="728"/>
      <c r="AE65" s="728"/>
      <c r="AF65" s="728"/>
      <c r="AG65" s="728"/>
      <c r="AH65" s="728"/>
      <c r="AI65" s="728"/>
      <c r="AJ65" s="728"/>
      <c r="AK65" s="728"/>
      <c r="AL65" s="728"/>
      <c r="AM65" s="728"/>
      <c r="AN65" s="728"/>
    </row>
    <row r="66" spans="3:40" x14ac:dyDescent="0.25">
      <c r="C66" s="728"/>
      <c r="D66" s="728"/>
      <c r="E66" s="728"/>
      <c r="F66" s="728"/>
      <c r="G66" s="728"/>
      <c r="H66" s="728"/>
      <c r="I66" s="728"/>
      <c r="J66" s="728"/>
      <c r="K66" s="728"/>
      <c r="L66" s="728"/>
      <c r="M66" s="728"/>
      <c r="N66" s="728"/>
      <c r="O66" s="728"/>
      <c r="P66" s="728"/>
      <c r="Q66" s="728" t="s">
        <v>36</v>
      </c>
      <c r="R66" s="728"/>
      <c r="S66" s="728"/>
      <c r="T66" s="728"/>
      <c r="U66" s="728"/>
      <c r="V66" s="728"/>
      <c r="W66" s="728"/>
      <c r="X66" s="728"/>
      <c r="Y66" s="728"/>
      <c r="Z66" s="728"/>
      <c r="AA66" s="728" t="s">
        <v>7</v>
      </c>
      <c r="AB66" s="728"/>
      <c r="AC66" s="728"/>
      <c r="AD66" s="728"/>
      <c r="AE66" s="728"/>
      <c r="AF66" s="728"/>
      <c r="AG66" s="728"/>
      <c r="AH66" s="728"/>
      <c r="AI66" s="728"/>
      <c r="AJ66" s="728"/>
      <c r="AK66" s="728"/>
      <c r="AL66" s="728"/>
      <c r="AM66" s="728"/>
      <c r="AN66" s="728"/>
    </row>
    <row r="67" spans="3:40" ht="10.5" customHeight="1" x14ac:dyDescent="0.25">
      <c r="C67" s="754" t="s">
        <v>213</v>
      </c>
      <c r="D67" s="754"/>
      <c r="E67" s="754" t="s">
        <v>214</v>
      </c>
      <c r="F67" s="754"/>
      <c r="G67" s="754"/>
      <c r="H67" s="754"/>
      <c r="I67" s="755" t="s">
        <v>215</v>
      </c>
      <c r="J67" s="755"/>
      <c r="K67" s="755"/>
      <c r="L67" s="755"/>
      <c r="M67" s="755"/>
      <c r="N67" s="755"/>
      <c r="O67" s="755"/>
      <c r="P67" s="755"/>
      <c r="Q67" s="755" t="s">
        <v>216</v>
      </c>
      <c r="R67" s="755"/>
      <c r="S67" s="755"/>
      <c r="T67" s="755"/>
      <c r="U67" s="755"/>
      <c r="V67" s="755"/>
      <c r="W67" s="755"/>
      <c r="X67" s="755"/>
      <c r="Y67" s="755"/>
      <c r="Z67" s="755"/>
      <c r="AA67" s="755" t="s">
        <v>217</v>
      </c>
      <c r="AB67" s="755"/>
      <c r="AC67" s="755"/>
      <c r="AD67" s="755"/>
      <c r="AE67" s="755"/>
      <c r="AF67" s="755"/>
      <c r="AG67" s="755"/>
      <c r="AH67" s="755"/>
      <c r="AI67" s="755"/>
      <c r="AJ67" s="754" t="s">
        <v>218</v>
      </c>
      <c r="AK67" s="754"/>
      <c r="AL67" s="754"/>
      <c r="AM67" s="754"/>
      <c r="AN67" s="754"/>
    </row>
    <row r="68" spans="3:40" s="355" customFormat="1" x14ac:dyDescent="0.25">
      <c r="C68" s="765">
        <v>1</v>
      </c>
      <c r="D68" s="765"/>
      <c r="E68" s="765">
        <f>'SOAL KASUS'!B45</f>
        <v>303</v>
      </c>
      <c r="F68" s="765"/>
      <c r="G68" s="765"/>
      <c r="H68" s="765"/>
      <c r="I68" s="765" t="str">
        <f>'SOAL KASUS'!C45</f>
        <v>Dividen atau bagian laba</v>
      </c>
      <c r="J68" s="765"/>
      <c r="K68" s="765"/>
      <c r="L68" s="765"/>
      <c r="M68" s="765"/>
      <c r="N68" s="765"/>
      <c r="O68" s="765"/>
      <c r="P68" s="765"/>
      <c r="Q68" s="758" t="s">
        <v>1225</v>
      </c>
      <c r="R68" s="765"/>
      <c r="S68" s="765"/>
      <c r="T68" s="765"/>
      <c r="U68" s="765"/>
      <c r="V68" s="765"/>
      <c r="W68" s="765"/>
      <c r="X68" s="765"/>
      <c r="Y68" s="765"/>
      <c r="Z68" s="765"/>
      <c r="AA68" s="765" t="s">
        <v>1224</v>
      </c>
      <c r="AB68" s="765"/>
      <c r="AC68" s="765"/>
      <c r="AD68" s="765"/>
      <c r="AE68" s="765"/>
      <c r="AF68" s="765"/>
      <c r="AG68" s="765"/>
      <c r="AH68" s="765"/>
      <c r="AI68" s="773"/>
      <c r="AJ68" s="766">
        <f>'SOAL KASUS'!F45</f>
        <v>50000000</v>
      </c>
      <c r="AK68" s="766"/>
      <c r="AL68" s="766"/>
      <c r="AM68" s="766"/>
      <c r="AN68" s="766"/>
    </row>
    <row r="69" spans="3:40" s="355" customFormat="1" x14ac:dyDescent="0.25">
      <c r="C69" s="765"/>
      <c r="D69" s="765"/>
      <c r="E69" s="765"/>
      <c r="F69" s="765"/>
      <c r="G69" s="765"/>
      <c r="H69" s="765"/>
      <c r="I69" s="765"/>
      <c r="J69" s="765"/>
      <c r="K69" s="765"/>
      <c r="L69" s="765"/>
      <c r="M69" s="765"/>
      <c r="N69" s="765"/>
      <c r="O69" s="765"/>
      <c r="P69" s="765"/>
      <c r="Q69" s="765"/>
      <c r="R69" s="765"/>
      <c r="S69" s="765"/>
      <c r="T69" s="765"/>
      <c r="U69" s="765"/>
      <c r="V69" s="765"/>
      <c r="W69" s="765"/>
      <c r="X69" s="765"/>
      <c r="Y69" s="765"/>
      <c r="Z69" s="765"/>
      <c r="AA69" s="765"/>
      <c r="AB69" s="765"/>
      <c r="AC69" s="765"/>
      <c r="AD69" s="765"/>
      <c r="AE69" s="765"/>
      <c r="AF69" s="765"/>
      <c r="AG69" s="765"/>
      <c r="AH69" s="765"/>
      <c r="AI69" s="773"/>
      <c r="AJ69" s="766"/>
      <c r="AK69" s="766"/>
      <c r="AL69" s="766"/>
      <c r="AM69" s="766"/>
      <c r="AN69" s="766"/>
    </row>
    <row r="70" spans="3:40" hidden="1" x14ac:dyDescent="0.25">
      <c r="C70" s="754"/>
      <c r="D70" s="754"/>
      <c r="E70" s="754"/>
      <c r="F70" s="754"/>
      <c r="G70" s="754"/>
      <c r="H70" s="754"/>
      <c r="I70" s="754"/>
      <c r="J70" s="754"/>
      <c r="K70" s="754"/>
      <c r="L70" s="754"/>
      <c r="M70" s="754"/>
      <c r="N70" s="754"/>
      <c r="O70" s="754"/>
      <c r="P70" s="754"/>
      <c r="Q70" s="754"/>
      <c r="R70" s="754"/>
      <c r="S70" s="754"/>
      <c r="T70" s="754"/>
      <c r="U70" s="754"/>
      <c r="V70" s="754"/>
      <c r="W70" s="754"/>
      <c r="X70" s="754"/>
      <c r="Y70" s="754"/>
      <c r="Z70" s="754"/>
      <c r="AA70" s="754"/>
      <c r="AB70" s="754"/>
      <c r="AC70" s="754"/>
      <c r="AD70" s="754"/>
      <c r="AE70" s="754"/>
      <c r="AF70" s="754"/>
      <c r="AG70" s="754"/>
      <c r="AH70" s="754"/>
      <c r="AI70" s="774"/>
      <c r="AJ70" s="767"/>
      <c r="AK70" s="767"/>
      <c r="AL70" s="767"/>
      <c r="AM70" s="767"/>
      <c r="AN70" s="767"/>
    </row>
    <row r="71" spans="3:40" hidden="1" x14ac:dyDescent="0.25">
      <c r="C71" s="754"/>
      <c r="D71" s="754"/>
      <c r="E71" s="754"/>
      <c r="F71" s="754"/>
      <c r="G71" s="754"/>
      <c r="H71" s="754"/>
      <c r="I71" s="754"/>
      <c r="J71" s="754"/>
      <c r="K71" s="754"/>
      <c r="L71" s="754"/>
      <c r="M71" s="754"/>
      <c r="N71" s="754"/>
      <c r="O71" s="754"/>
      <c r="P71" s="754"/>
      <c r="Q71" s="754"/>
      <c r="R71" s="754"/>
      <c r="S71" s="754"/>
      <c r="T71" s="754"/>
      <c r="U71" s="754"/>
      <c r="V71" s="754"/>
      <c r="W71" s="754"/>
      <c r="X71" s="754"/>
      <c r="Y71" s="754"/>
      <c r="Z71" s="754"/>
      <c r="AA71" s="754"/>
      <c r="AB71" s="754"/>
      <c r="AC71" s="754"/>
      <c r="AD71" s="754"/>
      <c r="AE71" s="754"/>
      <c r="AF71" s="754"/>
      <c r="AG71" s="754"/>
      <c r="AH71" s="754"/>
      <c r="AI71" s="774"/>
      <c r="AJ71" s="767"/>
      <c r="AK71" s="767"/>
      <c r="AL71" s="767"/>
      <c r="AM71" s="767"/>
      <c r="AN71" s="767"/>
    </row>
    <row r="72" spans="3:40" hidden="1" x14ac:dyDescent="0.25">
      <c r="C72" s="754"/>
      <c r="D72" s="754"/>
      <c r="E72" s="754"/>
      <c r="F72" s="754"/>
      <c r="G72" s="754"/>
      <c r="H72" s="754"/>
      <c r="I72" s="754"/>
      <c r="J72" s="754"/>
      <c r="K72" s="754"/>
      <c r="L72" s="754"/>
      <c r="M72" s="754"/>
      <c r="N72" s="754"/>
      <c r="O72" s="754"/>
      <c r="P72" s="754"/>
      <c r="Q72" s="754"/>
      <c r="R72" s="754"/>
      <c r="S72" s="754"/>
      <c r="T72" s="754"/>
      <c r="U72" s="754"/>
      <c r="V72" s="754"/>
      <c r="W72" s="754"/>
      <c r="X72" s="754"/>
      <c r="Y72" s="754"/>
      <c r="Z72" s="754"/>
      <c r="AA72" s="754"/>
      <c r="AB72" s="754"/>
      <c r="AC72" s="754"/>
      <c r="AD72" s="754"/>
      <c r="AE72" s="754"/>
      <c r="AF72" s="754"/>
      <c r="AG72" s="754"/>
      <c r="AH72" s="754"/>
      <c r="AI72" s="774"/>
      <c r="AJ72" s="767"/>
      <c r="AK72" s="767"/>
      <c r="AL72" s="767"/>
      <c r="AM72" s="767"/>
      <c r="AN72" s="767"/>
    </row>
    <row r="73" spans="3:40" hidden="1" x14ac:dyDescent="0.25">
      <c r="C73" s="754"/>
      <c r="D73" s="754"/>
      <c r="E73" s="754"/>
      <c r="F73" s="754"/>
      <c r="G73" s="754"/>
      <c r="H73" s="754"/>
      <c r="I73" s="754"/>
      <c r="J73" s="754"/>
      <c r="K73" s="754"/>
      <c r="L73" s="754"/>
      <c r="M73" s="754"/>
      <c r="N73" s="754"/>
      <c r="O73" s="754"/>
      <c r="P73" s="754"/>
      <c r="Q73" s="754"/>
      <c r="R73" s="754"/>
      <c r="S73" s="754"/>
      <c r="T73" s="754"/>
      <c r="U73" s="754"/>
      <c r="V73" s="754"/>
      <c r="W73" s="754"/>
      <c r="X73" s="754"/>
      <c r="Y73" s="754"/>
      <c r="Z73" s="754"/>
      <c r="AA73" s="754"/>
      <c r="AB73" s="754"/>
      <c r="AC73" s="754"/>
      <c r="AD73" s="754"/>
      <c r="AE73" s="754"/>
      <c r="AF73" s="754"/>
      <c r="AG73" s="754"/>
      <c r="AH73" s="754"/>
      <c r="AI73" s="774"/>
      <c r="AJ73" s="767"/>
      <c r="AK73" s="767"/>
      <c r="AL73" s="767"/>
      <c r="AM73" s="767"/>
      <c r="AN73" s="767"/>
    </row>
    <row r="74" spans="3:40" hidden="1" x14ac:dyDescent="0.25">
      <c r="C74" s="754"/>
      <c r="D74" s="754"/>
      <c r="E74" s="754"/>
      <c r="F74" s="754"/>
      <c r="G74" s="754"/>
      <c r="H74" s="754"/>
      <c r="I74" s="754"/>
      <c r="J74" s="754"/>
      <c r="K74" s="754"/>
      <c r="L74" s="754"/>
      <c r="M74" s="754"/>
      <c r="N74" s="754"/>
      <c r="O74" s="754"/>
      <c r="P74" s="754"/>
      <c r="Q74" s="754"/>
      <c r="R74" s="754"/>
      <c r="S74" s="754"/>
      <c r="T74" s="754"/>
      <c r="U74" s="754"/>
      <c r="V74" s="754"/>
      <c r="W74" s="754"/>
      <c r="X74" s="754"/>
      <c r="Y74" s="754"/>
      <c r="Z74" s="754"/>
      <c r="AA74" s="754"/>
      <c r="AB74" s="754"/>
      <c r="AC74" s="754"/>
      <c r="AD74" s="754"/>
      <c r="AE74" s="754"/>
      <c r="AF74" s="754"/>
      <c r="AG74" s="754"/>
      <c r="AH74" s="754"/>
      <c r="AI74" s="774"/>
      <c r="AJ74" s="767"/>
      <c r="AK74" s="767"/>
      <c r="AL74" s="767"/>
      <c r="AM74" s="767"/>
      <c r="AN74" s="767"/>
    </row>
    <row r="75" spans="3:40" hidden="1" x14ac:dyDescent="0.25">
      <c r="C75" s="754"/>
      <c r="D75" s="754"/>
      <c r="E75" s="754"/>
      <c r="F75" s="754"/>
      <c r="G75" s="754"/>
      <c r="H75" s="754"/>
      <c r="I75" s="754"/>
      <c r="J75" s="754"/>
      <c r="K75" s="754"/>
      <c r="L75" s="754"/>
      <c r="M75" s="754"/>
      <c r="N75" s="754"/>
      <c r="O75" s="754"/>
      <c r="P75" s="754"/>
      <c r="Q75" s="754"/>
      <c r="R75" s="754"/>
      <c r="S75" s="754"/>
      <c r="T75" s="754"/>
      <c r="U75" s="754"/>
      <c r="V75" s="754"/>
      <c r="W75" s="754"/>
      <c r="X75" s="754"/>
      <c r="Y75" s="754"/>
      <c r="Z75" s="754"/>
      <c r="AA75" s="754"/>
      <c r="AB75" s="754"/>
      <c r="AC75" s="754"/>
      <c r="AD75" s="754"/>
      <c r="AE75" s="754"/>
      <c r="AF75" s="754"/>
      <c r="AG75" s="754"/>
      <c r="AH75" s="754"/>
      <c r="AI75" s="774"/>
      <c r="AJ75" s="767"/>
      <c r="AK75" s="767"/>
      <c r="AL75" s="767"/>
      <c r="AM75" s="767"/>
      <c r="AN75" s="767"/>
    </row>
    <row r="76" spans="3:40" hidden="1" x14ac:dyDescent="0.25">
      <c r="C76" s="754"/>
      <c r="D76" s="754"/>
      <c r="E76" s="754"/>
      <c r="F76" s="754"/>
      <c r="G76" s="754"/>
      <c r="H76" s="754"/>
      <c r="I76" s="754"/>
      <c r="J76" s="754"/>
      <c r="K76" s="754"/>
      <c r="L76" s="754"/>
      <c r="M76" s="754"/>
      <c r="N76" s="754"/>
      <c r="O76" s="754"/>
      <c r="P76" s="754"/>
      <c r="Q76" s="754"/>
      <c r="R76" s="754"/>
      <c r="S76" s="754"/>
      <c r="T76" s="754"/>
      <c r="U76" s="754"/>
      <c r="V76" s="754"/>
      <c r="W76" s="754"/>
      <c r="X76" s="754"/>
      <c r="Y76" s="754"/>
      <c r="Z76" s="754"/>
      <c r="AA76" s="754"/>
      <c r="AB76" s="754"/>
      <c r="AC76" s="754"/>
      <c r="AD76" s="754"/>
      <c r="AE76" s="754"/>
      <c r="AF76" s="754"/>
      <c r="AG76" s="754"/>
      <c r="AH76" s="754"/>
      <c r="AI76" s="774"/>
      <c r="AJ76" s="767"/>
      <c r="AK76" s="767"/>
      <c r="AL76" s="767"/>
      <c r="AM76" s="767"/>
      <c r="AN76" s="767"/>
    </row>
    <row r="77" spans="3:40" hidden="1" x14ac:dyDescent="0.25">
      <c r="C77" s="754"/>
      <c r="D77" s="754"/>
      <c r="E77" s="754"/>
      <c r="F77" s="754"/>
      <c r="G77" s="754"/>
      <c r="H77" s="754"/>
      <c r="I77" s="754"/>
      <c r="J77" s="754"/>
      <c r="K77" s="754"/>
      <c r="L77" s="754"/>
      <c r="M77" s="754"/>
      <c r="N77" s="754"/>
      <c r="O77" s="754"/>
      <c r="P77" s="754"/>
      <c r="Q77" s="754"/>
      <c r="R77" s="754"/>
      <c r="S77" s="754"/>
      <c r="T77" s="754"/>
      <c r="U77" s="754"/>
      <c r="V77" s="754"/>
      <c r="W77" s="754"/>
      <c r="X77" s="754"/>
      <c r="Y77" s="754"/>
      <c r="Z77" s="754"/>
      <c r="AA77" s="754"/>
      <c r="AB77" s="754"/>
      <c r="AC77" s="754"/>
      <c r="AD77" s="754"/>
      <c r="AE77" s="754"/>
      <c r="AF77" s="754"/>
      <c r="AG77" s="754"/>
      <c r="AH77" s="754"/>
      <c r="AI77" s="774"/>
      <c r="AJ77" s="767"/>
      <c r="AK77" s="767"/>
      <c r="AL77" s="767"/>
      <c r="AM77" s="767"/>
      <c r="AN77" s="767"/>
    </row>
    <row r="78" spans="3:40" hidden="1" x14ac:dyDescent="0.25">
      <c r="C78" s="754"/>
      <c r="D78" s="754"/>
      <c r="E78" s="754"/>
      <c r="F78" s="754"/>
      <c r="G78" s="754"/>
      <c r="H78" s="754"/>
      <c r="I78" s="754"/>
      <c r="J78" s="754"/>
      <c r="K78" s="754"/>
      <c r="L78" s="754"/>
      <c r="M78" s="754"/>
      <c r="N78" s="754"/>
      <c r="O78" s="754"/>
      <c r="P78" s="754"/>
      <c r="Q78" s="754"/>
      <c r="R78" s="754"/>
      <c r="S78" s="754"/>
      <c r="T78" s="754"/>
      <c r="U78" s="754"/>
      <c r="V78" s="754"/>
      <c r="W78" s="754"/>
      <c r="X78" s="754"/>
      <c r="Y78" s="754"/>
      <c r="Z78" s="754"/>
      <c r="AA78" s="754"/>
      <c r="AB78" s="754"/>
      <c r="AC78" s="754"/>
      <c r="AD78" s="754"/>
      <c r="AE78" s="754"/>
      <c r="AF78" s="754"/>
      <c r="AG78" s="754"/>
      <c r="AH78" s="754"/>
      <c r="AI78" s="774"/>
      <c r="AJ78" s="767"/>
      <c r="AK78" s="767"/>
      <c r="AL78" s="767"/>
      <c r="AM78" s="767"/>
      <c r="AN78" s="767"/>
    </row>
    <row r="79" spans="3:40" hidden="1" x14ac:dyDescent="0.25">
      <c r="C79" s="754"/>
      <c r="D79" s="754"/>
      <c r="E79" s="754"/>
      <c r="F79" s="754"/>
      <c r="G79" s="754"/>
      <c r="H79" s="754"/>
      <c r="I79" s="754"/>
      <c r="J79" s="754"/>
      <c r="K79" s="754"/>
      <c r="L79" s="754"/>
      <c r="M79" s="754"/>
      <c r="N79" s="754"/>
      <c r="O79" s="754"/>
      <c r="P79" s="754"/>
      <c r="Q79" s="754"/>
      <c r="R79" s="754"/>
      <c r="S79" s="754"/>
      <c r="T79" s="754"/>
      <c r="U79" s="754"/>
      <c r="V79" s="754"/>
      <c r="W79" s="754"/>
      <c r="X79" s="754"/>
      <c r="Y79" s="754"/>
      <c r="Z79" s="754"/>
      <c r="AA79" s="754"/>
      <c r="AB79" s="754"/>
      <c r="AC79" s="754"/>
      <c r="AD79" s="754"/>
      <c r="AE79" s="754"/>
      <c r="AF79" s="754"/>
      <c r="AG79" s="754"/>
      <c r="AH79" s="754"/>
      <c r="AI79" s="774"/>
      <c r="AJ79" s="767"/>
      <c r="AK79" s="767"/>
      <c r="AL79" s="767"/>
      <c r="AM79" s="767"/>
      <c r="AN79" s="767"/>
    </row>
    <row r="80" spans="3:40" x14ac:dyDescent="0.25">
      <c r="C80" s="771" t="s">
        <v>260</v>
      </c>
      <c r="D80" s="772"/>
      <c r="E80" s="772"/>
      <c r="F80" s="772"/>
      <c r="G80" s="772"/>
      <c r="H80" s="772"/>
      <c r="I80" s="772"/>
      <c r="J80" s="772"/>
      <c r="K80" s="772"/>
      <c r="L80" s="772"/>
      <c r="M80" s="772"/>
      <c r="N80" s="772"/>
      <c r="O80" s="772"/>
      <c r="P80" s="772"/>
      <c r="Q80" s="772"/>
      <c r="R80" s="772"/>
      <c r="S80" s="772"/>
      <c r="T80" s="772"/>
      <c r="U80" s="772"/>
      <c r="V80" s="772"/>
      <c r="W80" s="772"/>
      <c r="X80" s="772"/>
      <c r="Y80" s="772"/>
      <c r="Z80" s="772"/>
      <c r="AA80" s="772"/>
      <c r="AB80" s="772"/>
      <c r="AC80" s="772"/>
      <c r="AD80" s="772"/>
      <c r="AE80" s="772"/>
      <c r="AF80" s="772"/>
      <c r="AG80" s="772"/>
      <c r="AH80" s="772"/>
      <c r="AI80" s="772"/>
      <c r="AJ80" s="767">
        <f>SUM(AJ68:AN79)</f>
        <v>50000000</v>
      </c>
      <c r="AK80" s="767"/>
      <c r="AL80" s="767"/>
      <c r="AM80" s="767"/>
      <c r="AN80" s="767"/>
    </row>
    <row r="81" spans="3:40" x14ac:dyDescent="0.25">
      <c r="C81" s="207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3"/>
      <c r="AB81" s="13" t="s">
        <v>617</v>
      </c>
      <c r="AC81" s="1"/>
      <c r="AE81" s="1"/>
      <c r="AG81" s="1"/>
      <c r="AH81" s="1"/>
      <c r="AI81" s="1"/>
      <c r="AJ81" s="1"/>
      <c r="AK81" s="1"/>
      <c r="AL81" s="1"/>
      <c r="AM81" s="1"/>
      <c r="AN81" s="208"/>
    </row>
    <row r="82" spans="3:40" ht="6" customHeight="1" x14ac:dyDescent="0.25">
      <c r="C82" s="207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208"/>
    </row>
    <row r="83" spans="3:40" x14ac:dyDescent="0.25">
      <c r="C83" s="199" t="s">
        <v>81</v>
      </c>
      <c r="D83" s="110" t="s">
        <v>287</v>
      </c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200"/>
    </row>
    <row r="84" spans="3:40" ht="3" customHeight="1" x14ac:dyDescent="0.25">
      <c r="C84" s="207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208"/>
    </row>
    <row r="85" spans="3:40" x14ac:dyDescent="0.25">
      <c r="C85" s="785" t="s">
        <v>263</v>
      </c>
      <c r="D85" s="576"/>
      <c r="E85" s="574" t="s">
        <v>292</v>
      </c>
      <c r="F85" s="575"/>
      <c r="G85" s="576"/>
      <c r="H85" s="583" t="s">
        <v>294</v>
      </c>
      <c r="I85" s="584"/>
      <c r="J85" s="583" t="s">
        <v>288</v>
      </c>
      <c r="K85" s="621"/>
      <c r="L85" s="584"/>
      <c r="M85" s="583" t="s">
        <v>295</v>
      </c>
      <c r="N85" s="621"/>
      <c r="O85" s="621"/>
      <c r="P85" s="584"/>
      <c r="Q85" s="574" t="s">
        <v>618</v>
      </c>
      <c r="R85" s="575"/>
      <c r="S85" s="575"/>
      <c r="T85" s="575"/>
      <c r="U85" s="575"/>
      <c r="V85" s="575"/>
      <c r="W85" s="575"/>
      <c r="X85" s="575"/>
      <c r="Y85" s="575"/>
      <c r="Z85" s="575"/>
      <c r="AA85" s="575"/>
      <c r="AB85" s="575"/>
      <c r="AC85" s="575"/>
      <c r="AD85" s="575"/>
      <c r="AE85" s="575"/>
      <c r="AF85" s="575"/>
      <c r="AG85" s="575"/>
      <c r="AH85" s="575"/>
      <c r="AI85" s="575"/>
      <c r="AJ85" s="576"/>
      <c r="AK85" s="583" t="s">
        <v>299</v>
      </c>
      <c r="AL85" s="621"/>
      <c r="AM85" s="621"/>
      <c r="AN85" s="775"/>
    </row>
    <row r="86" spans="3:40" x14ac:dyDescent="0.25">
      <c r="C86" s="786"/>
      <c r="D86" s="579"/>
      <c r="E86" s="580"/>
      <c r="F86" s="581"/>
      <c r="G86" s="582"/>
      <c r="H86" s="560"/>
      <c r="I86" s="562"/>
      <c r="J86" s="560"/>
      <c r="K86" s="561"/>
      <c r="L86" s="562"/>
      <c r="M86" s="560"/>
      <c r="N86" s="561"/>
      <c r="O86" s="561"/>
      <c r="P86" s="562"/>
      <c r="Q86" s="580"/>
      <c r="R86" s="581"/>
      <c r="S86" s="581"/>
      <c r="T86" s="581"/>
      <c r="U86" s="581"/>
      <c r="V86" s="581"/>
      <c r="W86" s="581"/>
      <c r="X86" s="581"/>
      <c r="Y86" s="581"/>
      <c r="Z86" s="581"/>
      <c r="AA86" s="581"/>
      <c r="AB86" s="581"/>
      <c r="AC86" s="581"/>
      <c r="AD86" s="581"/>
      <c r="AE86" s="581"/>
      <c r="AF86" s="581"/>
      <c r="AG86" s="581"/>
      <c r="AH86" s="581"/>
      <c r="AI86" s="581"/>
      <c r="AJ86" s="582"/>
      <c r="AK86" s="560"/>
      <c r="AL86" s="561"/>
      <c r="AM86" s="561"/>
      <c r="AN86" s="776"/>
    </row>
    <row r="87" spans="3:40" ht="17.649999999999999" customHeight="1" x14ac:dyDescent="0.25">
      <c r="C87" s="786"/>
      <c r="D87" s="579"/>
      <c r="E87" s="574" t="s">
        <v>7</v>
      </c>
      <c r="F87" s="576"/>
      <c r="G87" s="788" t="s">
        <v>293</v>
      </c>
      <c r="H87" s="560"/>
      <c r="I87" s="562"/>
      <c r="J87" s="560"/>
      <c r="K87" s="561"/>
      <c r="L87" s="562"/>
      <c r="M87" s="560"/>
      <c r="N87" s="561"/>
      <c r="O87" s="561"/>
      <c r="P87" s="562"/>
      <c r="Q87" s="583" t="s">
        <v>296</v>
      </c>
      <c r="R87" s="621"/>
      <c r="S87" s="621"/>
      <c r="T87" s="621"/>
      <c r="U87" s="621"/>
      <c r="V87" s="621"/>
      <c r="W87" s="584"/>
      <c r="X87" s="574" t="s">
        <v>297</v>
      </c>
      <c r="Y87" s="575"/>
      <c r="Z87" s="575"/>
      <c r="AA87" s="575"/>
      <c r="AB87" s="575"/>
      <c r="AC87" s="575"/>
      <c r="AD87" s="576"/>
      <c r="AE87" s="574" t="s">
        <v>298</v>
      </c>
      <c r="AF87" s="575"/>
      <c r="AG87" s="575"/>
      <c r="AH87" s="575"/>
      <c r="AI87" s="575"/>
      <c r="AJ87" s="576"/>
      <c r="AK87" s="560"/>
      <c r="AL87" s="561"/>
      <c r="AM87" s="561"/>
      <c r="AN87" s="776"/>
    </row>
    <row r="88" spans="3:40" ht="21" customHeight="1" x14ac:dyDescent="0.25">
      <c r="C88" s="787"/>
      <c r="D88" s="582"/>
      <c r="E88" s="580"/>
      <c r="F88" s="582"/>
      <c r="G88" s="789"/>
      <c r="H88" s="563"/>
      <c r="I88" s="565"/>
      <c r="J88" s="563"/>
      <c r="K88" s="564"/>
      <c r="L88" s="565"/>
      <c r="M88" s="563"/>
      <c r="N88" s="564"/>
      <c r="O88" s="564"/>
      <c r="P88" s="565"/>
      <c r="Q88" s="563"/>
      <c r="R88" s="564"/>
      <c r="S88" s="564"/>
      <c r="T88" s="564"/>
      <c r="U88" s="564"/>
      <c r="V88" s="564"/>
      <c r="W88" s="565"/>
      <c r="X88" s="580"/>
      <c r="Y88" s="581"/>
      <c r="Z88" s="581"/>
      <c r="AA88" s="581"/>
      <c r="AB88" s="581"/>
      <c r="AC88" s="581"/>
      <c r="AD88" s="582"/>
      <c r="AE88" s="580"/>
      <c r="AF88" s="581"/>
      <c r="AG88" s="581"/>
      <c r="AH88" s="581"/>
      <c r="AI88" s="581"/>
      <c r="AJ88" s="582"/>
      <c r="AK88" s="563"/>
      <c r="AL88" s="564"/>
      <c r="AM88" s="564"/>
      <c r="AN88" s="777"/>
    </row>
    <row r="89" spans="3:40" x14ac:dyDescent="0.25">
      <c r="C89" s="778" t="s">
        <v>213</v>
      </c>
      <c r="D89" s="595"/>
      <c r="E89" s="779" t="s">
        <v>214</v>
      </c>
      <c r="F89" s="780"/>
      <c r="G89" s="187" t="s">
        <v>215</v>
      </c>
      <c r="H89" s="779" t="s">
        <v>216</v>
      </c>
      <c r="I89" s="780"/>
      <c r="J89" s="779" t="s">
        <v>217</v>
      </c>
      <c r="K89" s="757"/>
      <c r="L89" s="780"/>
      <c r="M89" s="779" t="s">
        <v>218</v>
      </c>
      <c r="N89" s="594"/>
      <c r="O89" s="594"/>
      <c r="P89" s="595"/>
      <c r="Q89" s="781" t="s">
        <v>219</v>
      </c>
      <c r="R89" s="782"/>
      <c r="S89" s="782"/>
      <c r="T89" s="782"/>
      <c r="U89" s="782"/>
      <c r="V89" s="782"/>
      <c r="W89" s="783"/>
      <c r="X89" s="781" t="s">
        <v>220</v>
      </c>
      <c r="Y89" s="686"/>
      <c r="Z89" s="686"/>
      <c r="AA89" s="686"/>
      <c r="AB89" s="686"/>
      <c r="AC89" s="686"/>
      <c r="AD89" s="687"/>
      <c r="AE89" s="781" t="s">
        <v>223</v>
      </c>
      <c r="AF89" s="782"/>
      <c r="AG89" s="782"/>
      <c r="AH89" s="782"/>
      <c r="AI89" s="782"/>
      <c r="AJ89" s="783"/>
      <c r="AK89" s="781" t="s">
        <v>248</v>
      </c>
      <c r="AL89" s="686"/>
      <c r="AM89" s="686"/>
      <c r="AN89" s="784"/>
    </row>
    <row r="90" spans="3:40" x14ac:dyDescent="0.25">
      <c r="C90" s="754"/>
      <c r="D90" s="754"/>
      <c r="E90" s="752"/>
      <c r="F90" s="752"/>
      <c r="G90" s="752"/>
      <c r="H90" s="752"/>
      <c r="I90" s="752"/>
      <c r="J90" s="752"/>
      <c r="K90" s="752"/>
      <c r="L90" s="752"/>
      <c r="M90" s="752"/>
      <c r="N90" s="752"/>
      <c r="O90" s="752"/>
      <c r="P90" s="752"/>
      <c r="Q90" s="752"/>
      <c r="R90" s="752"/>
      <c r="S90" s="752"/>
      <c r="T90" s="752"/>
      <c r="U90" s="752"/>
      <c r="V90" s="752"/>
      <c r="W90" s="752"/>
      <c r="X90" s="753"/>
      <c r="Y90" s="753"/>
      <c r="Z90" s="753"/>
      <c r="AA90" s="753"/>
      <c r="AB90" s="753"/>
      <c r="AC90" s="753"/>
      <c r="AD90" s="753"/>
      <c r="AE90" s="753"/>
      <c r="AF90" s="753"/>
      <c r="AG90" s="753"/>
      <c r="AH90" s="753"/>
      <c r="AI90" s="753"/>
      <c r="AJ90" s="753"/>
      <c r="AK90" s="753"/>
      <c r="AL90" s="753"/>
      <c r="AM90" s="753"/>
      <c r="AN90" s="753"/>
    </row>
    <row r="91" spans="3:40" x14ac:dyDescent="0.25">
      <c r="C91" s="754"/>
      <c r="D91" s="754"/>
      <c r="E91" s="752"/>
      <c r="F91" s="752"/>
      <c r="G91" s="752"/>
      <c r="H91" s="752"/>
      <c r="I91" s="752"/>
      <c r="J91" s="752"/>
      <c r="K91" s="752"/>
      <c r="L91" s="752"/>
      <c r="M91" s="752"/>
      <c r="N91" s="752"/>
      <c r="O91" s="752"/>
      <c r="P91" s="752"/>
      <c r="Q91" s="752"/>
      <c r="R91" s="752"/>
      <c r="S91" s="752"/>
      <c r="T91" s="752"/>
      <c r="U91" s="752"/>
      <c r="V91" s="752"/>
      <c r="W91" s="752"/>
      <c r="X91" s="753"/>
      <c r="Y91" s="753"/>
      <c r="Z91" s="753"/>
      <c r="AA91" s="753"/>
      <c r="AB91" s="753"/>
      <c r="AC91" s="753"/>
      <c r="AD91" s="753"/>
      <c r="AE91" s="753"/>
      <c r="AF91" s="753"/>
      <c r="AG91" s="753"/>
      <c r="AH91" s="753"/>
      <c r="AI91" s="753"/>
      <c r="AJ91" s="753"/>
      <c r="AK91" s="753"/>
      <c r="AL91" s="753"/>
      <c r="AM91" s="753"/>
      <c r="AN91" s="753"/>
    </row>
    <row r="92" spans="3:40" hidden="1" x14ac:dyDescent="0.25">
      <c r="C92" s="754"/>
      <c r="D92" s="754"/>
      <c r="E92" s="752"/>
      <c r="F92" s="752"/>
      <c r="G92" s="752"/>
      <c r="H92" s="752"/>
      <c r="I92" s="752"/>
      <c r="J92" s="752"/>
      <c r="K92" s="752"/>
      <c r="L92" s="752"/>
      <c r="M92" s="752"/>
      <c r="N92" s="752"/>
      <c r="O92" s="752"/>
      <c r="P92" s="752"/>
      <c r="Q92" s="752"/>
      <c r="R92" s="752"/>
      <c r="S92" s="752"/>
      <c r="T92" s="752"/>
      <c r="U92" s="752"/>
      <c r="V92" s="752"/>
      <c r="W92" s="752"/>
      <c r="X92" s="753"/>
      <c r="Y92" s="753"/>
      <c r="Z92" s="753"/>
      <c r="AA92" s="753"/>
      <c r="AB92" s="753"/>
      <c r="AC92" s="753"/>
      <c r="AD92" s="753"/>
      <c r="AE92" s="753"/>
      <c r="AF92" s="753"/>
      <c r="AG92" s="753"/>
      <c r="AH92" s="753"/>
      <c r="AI92" s="753"/>
      <c r="AJ92" s="753"/>
      <c r="AK92" s="753"/>
      <c r="AL92" s="753"/>
      <c r="AM92" s="753"/>
      <c r="AN92" s="753"/>
    </row>
    <row r="93" spans="3:40" hidden="1" x14ac:dyDescent="0.25">
      <c r="C93" s="754"/>
      <c r="D93" s="754"/>
      <c r="E93" s="752"/>
      <c r="F93" s="752"/>
      <c r="G93" s="752"/>
      <c r="H93" s="752"/>
      <c r="I93" s="752"/>
      <c r="J93" s="752"/>
      <c r="K93" s="752"/>
      <c r="L93" s="752"/>
      <c r="M93" s="752"/>
      <c r="N93" s="752"/>
      <c r="O93" s="752"/>
      <c r="P93" s="752"/>
      <c r="Q93" s="752"/>
      <c r="R93" s="752"/>
      <c r="S93" s="752"/>
      <c r="T93" s="752"/>
      <c r="U93" s="752"/>
      <c r="V93" s="752"/>
      <c r="W93" s="752"/>
      <c r="X93" s="753"/>
      <c r="Y93" s="753"/>
      <c r="Z93" s="753"/>
      <c r="AA93" s="753"/>
      <c r="AB93" s="753"/>
      <c r="AC93" s="753"/>
      <c r="AD93" s="753"/>
      <c r="AE93" s="753"/>
      <c r="AF93" s="753"/>
      <c r="AG93" s="753"/>
      <c r="AH93" s="753"/>
      <c r="AI93" s="753"/>
      <c r="AJ93" s="753"/>
      <c r="AK93" s="753"/>
      <c r="AL93" s="753"/>
      <c r="AM93" s="753"/>
      <c r="AN93" s="753"/>
    </row>
    <row r="94" spans="3:40" hidden="1" x14ac:dyDescent="0.25">
      <c r="C94" s="754"/>
      <c r="D94" s="754"/>
      <c r="E94" s="752"/>
      <c r="F94" s="752"/>
      <c r="G94" s="752"/>
      <c r="H94" s="752"/>
      <c r="I94" s="752"/>
      <c r="J94" s="752"/>
      <c r="K94" s="752"/>
      <c r="L94" s="752"/>
      <c r="M94" s="752"/>
      <c r="N94" s="752"/>
      <c r="O94" s="752"/>
      <c r="P94" s="752"/>
      <c r="Q94" s="752"/>
      <c r="R94" s="752"/>
      <c r="S94" s="752"/>
      <c r="T94" s="752"/>
      <c r="U94" s="752"/>
      <c r="V94" s="752"/>
      <c r="W94" s="752"/>
      <c r="X94" s="753"/>
      <c r="Y94" s="753"/>
      <c r="Z94" s="753"/>
      <c r="AA94" s="753"/>
      <c r="AB94" s="753"/>
      <c r="AC94" s="753"/>
      <c r="AD94" s="753"/>
      <c r="AE94" s="753"/>
      <c r="AF94" s="753"/>
      <c r="AG94" s="753"/>
      <c r="AH94" s="753"/>
      <c r="AI94" s="753"/>
      <c r="AJ94" s="753"/>
      <c r="AK94" s="753"/>
      <c r="AL94" s="753"/>
      <c r="AM94" s="753"/>
      <c r="AN94" s="753"/>
    </row>
    <row r="95" spans="3:40" hidden="1" x14ac:dyDescent="0.25">
      <c r="C95" s="754"/>
      <c r="D95" s="754"/>
      <c r="E95" s="752"/>
      <c r="F95" s="752"/>
      <c r="G95" s="752"/>
      <c r="H95" s="752"/>
      <c r="I95" s="752"/>
      <c r="J95" s="752"/>
      <c r="K95" s="752"/>
      <c r="L95" s="752"/>
      <c r="M95" s="752"/>
      <c r="N95" s="752"/>
      <c r="O95" s="752"/>
      <c r="P95" s="752"/>
      <c r="Q95" s="752"/>
      <c r="R95" s="752"/>
      <c r="S95" s="752"/>
      <c r="T95" s="752"/>
      <c r="U95" s="752"/>
      <c r="V95" s="752"/>
      <c r="W95" s="752"/>
      <c r="X95" s="753"/>
      <c r="Y95" s="753"/>
      <c r="Z95" s="753"/>
      <c r="AA95" s="753"/>
      <c r="AB95" s="753"/>
      <c r="AC95" s="753"/>
      <c r="AD95" s="753"/>
      <c r="AE95" s="753"/>
      <c r="AF95" s="753"/>
      <c r="AG95" s="753"/>
      <c r="AH95" s="753"/>
      <c r="AI95" s="753"/>
      <c r="AJ95" s="753"/>
      <c r="AK95" s="753"/>
      <c r="AL95" s="753"/>
      <c r="AM95" s="753"/>
      <c r="AN95" s="753"/>
    </row>
    <row r="96" spans="3:40" hidden="1" x14ac:dyDescent="0.25">
      <c r="C96" s="754"/>
      <c r="D96" s="754"/>
      <c r="E96" s="752"/>
      <c r="F96" s="752"/>
      <c r="G96" s="752"/>
      <c r="H96" s="752"/>
      <c r="I96" s="752"/>
      <c r="J96" s="752"/>
      <c r="K96" s="752"/>
      <c r="L96" s="752"/>
      <c r="M96" s="752"/>
      <c r="N96" s="752"/>
      <c r="O96" s="752"/>
      <c r="P96" s="752"/>
      <c r="Q96" s="752"/>
      <c r="R96" s="752"/>
      <c r="S96" s="752"/>
      <c r="T96" s="752"/>
      <c r="U96" s="752"/>
      <c r="V96" s="752"/>
      <c r="W96" s="752"/>
      <c r="X96" s="753"/>
      <c r="Y96" s="753"/>
      <c r="Z96" s="753"/>
      <c r="AA96" s="753"/>
      <c r="AB96" s="753"/>
      <c r="AC96" s="753"/>
      <c r="AD96" s="753"/>
      <c r="AE96" s="753"/>
      <c r="AF96" s="753"/>
      <c r="AG96" s="753"/>
      <c r="AH96" s="753"/>
      <c r="AI96" s="753"/>
      <c r="AJ96" s="753"/>
      <c r="AK96" s="753"/>
      <c r="AL96" s="753"/>
      <c r="AM96" s="753"/>
      <c r="AN96" s="753"/>
    </row>
    <row r="97" spans="3:40" hidden="1" x14ac:dyDescent="0.25">
      <c r="C97" s="754"/>
      <c r="D97" s="754"/>
      <c r="E97" s="752"/>
      <c r="F97" s="752"/>
      <c r="G97" s="752"/>
      <c r="H97" s="752"/>
      <c r="I97" s="752"/>
      <c r="J97" s="752"/>
      <c r="K97" s="752"/>
      <c r="L97" s="752"/>
      <c r="M97" s="752"/>
      <c r="N97" s="752"/>
      <c r="O97" s="752"/>
      <c r="P97" s="752"/>
      <c r="Q97" s="752"/>
      <c r="R97" s="752"/>
      <c r="S97" s="752"/>
      <c r="T97" s="752"/>
      <c r="U97" s="752"/>
      <c r="V97" s="752"/>
      <c r="W97" s="752"/>
      <c r="X97" s="753"/>
      <c r="Y97" s="753"/>
      <c r="Z97" s="753"/>
      <c r="AA97" s="753"/>
      <c r="AB97" s="753"/>
      <c r="AC97" s="753"/>
      <c r="AD97" s="753"/>
      <c r="AE97" s="753"/>
      <c r="AF97" s="753"/>
      <c r="AG97" s="753"/>
      <c r="AH97" s="753"/>
      <c r="AI97" s="753"/>
      <c r="AJ97" s="753"/>
      <c r="AK97" s="753"/>
      <c r="AL97" s="753"/>
      <c r="AM97" s="753"/>
      <c r="AN97" s="753"/>
    </row>
    <row r="98" spans="3:40" hidden="1" x14ac:dyDescent="0.25">
      <c r="C98" s="754"/>
      <c r="D98" s="754"/>
      <c r="E98" s="752"/>
      <c r="F98" s="752"/>
      <c r="G98" s="752"/>
      <c r="H98" s="752"/>
      <c r="I98" s="752"/>
      <c r="J98" s="752"/>
      <c r="K98" s="752"/>
      <c r="L98" s="752"/>
      <c r="M98" s="752"/>
      <c r="N98" s="752"/>
      <c r="O98" s="752"/>
      <c r="P98" s="752"/>
      <c r="Q98" s="752"/>
      <c r="R98" s="752"/>
      <c r="S98" s="752"/>
      <c r="T98" s="752"/>
      <c r="U98" s="752"/>
      <c r="V98" s="752"/>
      <c r="W98" s="752"/>
      <c r="X98" s="753"/>
      <c r="Y98" s="753"/>
      <c r="Z98" s="753"/>
      <c r="AA98" s="753"/>
      <c r="AB98" s="753"/>
      <c r="AC98" s="753"/>
      <c r="AD98" s="753"/>
      <c r="AE98" s="753"/>
      <c r="AF98" s="753"/>
      <c r="AG98" s="753"/>
      <c r="AH98" s="753"/>
      <c r="AI98" s="753"/>
      <c r="AJ98" s="753"/>
      <c r="AK98" s="753"/>
      <c r="AL98" s="753"/>
      <c r="AM98" s="753"/>
      <c r="AN98" s="753"/>
    </row>
    <row r="99" spans="3:40" hidden="1" x14ac:dyDescent="0.25">
      <c r="C99" s="754"/>
      <c r="D99" s="754"/>
      <c r="E99" s="752"/>
      <c r="F99" s="752"/>
      <c r="G99" s="752"/>
      <c r="H99" s="752"/>
      <c r="I99" s="752"/>
      <c r="J99" s="752"/>
      <c r="K99" s="752"/>
      <c r="L99" s="752"/>
      <c r="M99" s="752"/>
      <c r="N99" s="752"/>
      <c r="O99" s="752"/>
      <c r="P99" s="752"/>
      <c r="Q99" s="752"/>
      <c r="R99" s="752"/>
      <c r="S99" s="752"/>
      <c r="T99" s="752"/>
      <c r="U99" s="752"/>
      <c r="V99" s="752"/>
      <c r="W99" s="752"/>
      <c r="X99" s="753"/>
      <c r="Y99" s="753"/>
      <c r="Z99" s="753"/>
      <c r="AA99" s="753"/>
      <c r="AB99" s="753"/>
      <c r="AC99" s="753"/>
      <c r="AD99" s="753"/>
      <c r="AE99" s="753"/>
      <c r="AF99" s="753"/>
      <c r="AG99" s="753"/>
      <c r="AH99" s="753"/>
      <c r="AI99" s="753"/>
      <c r="AJ99" s="753"/>
      <c r="AK99" s="753"/>
      <c r="AL99" s="753"/>
      <c r="AM99" s="753"/>
      <c r="AN99" s="753"/>
    </row>
    <row r="100" spans="3:40" hidden="1" x14ac:dyDescent="0.25">
      <c r="C100" s="754"/>
      <c r="D100" s="754"/>
      <c r="E100" s="752"/>
      <c r="F100" s="752"/>
      <c r="G100" s="752"/>
      <c r="H100" s="752"/>
      <c r="I100" s="752"/>
      <c r="J100" s="752"/>
      <c r="K100" s="752"/>
      <c r="L100" s="752"/>
      <c r="M100" s="752"/>
      <c r="N100" s="752"/>
      <c r="O100" s="752"/>
      <c r="P100" s="752"/>
      <c r="Q100" s="752"/>
      <c r="R100" s="752"/>
      <c r="S100" s="752"/>
      <c r="T100" s="752"/>
      <c r="U100" s="752"/>
      <c r="V100" s="752"/>
      <c r="W100" s="752"/>
      <c r="X100" s="753"/>
      <c r="Y100" s="753"/>
      <c r="Z100" s="753"/>
      <c r="AA100" s="753"/>
      <c r="AB100" s="753"/>
      <c r="AC100" s="753"/>
      <c r="AD100" s="753"/>
      <c r="AE100" s="753"/>
      <c r="AF100" s="753"/>
      <c r="AG100" s="753"/>
      <c r="AH100" s="753"/>
      <c r="AI100" s="753"/>
      <c r="AJ100" s="753"/>
      <c r="AK100" s="753"/>
      <c r="AL100" s="753"/>
      <c r="AM100" s="753"/>
      <c r="AN100" s="753"/>
    </row>
    <row r="101" spans="3:40" hidden="1" x14ac:dyDescent="0.25">
      <c r="C101" s="754"/>
      <c r="D101" s="754"/>
      <c r="E101" s="752"/>
      <c r="F101" s="752"/>
      <c r="G101" s="752"/>
      <c r="H101" s="752"/>
      <c r="I101" s="752"/>
      <c r="J101" s="752"/>
      <c r="K101" s="752"/>
      <c r="L101" s="752"/>
      <c r="M101" s="752"/>
      <c r="N101" s="752"/>
      <c r="O101" s="752"/>
      <c r="P101" s="752"/>
      <c r="Q101" s="752"/>
      <c r="R101" s="752"/>
      <c r="S101" s="752"/>
      <c r="T101" s="752"/>
      <c r="U101" s="752"/>
      <c r="V101" s="752"/>
      <c r="W101" s="752"/>
      <c r="X101" s="753"/>
      <c r="Y101" s="753"/>
      <c r="Z101" s="753"/>
      <c r="AA101" s="753"/>
      <c r="AB101" s="753"/>
      <c r="AC101" s="753"/>
      <c r="AD101" s="753"/>
      <c r="AE101" s="753"/>
      <c r="AF101" s="753"/>
      <c r="AG101" s="753"/>
      <c r="AH101" s="753"/>
      <c r="AI101" s="753"/>
      <c r="AJ101" s="753"/>
      <c r="AK101" s="753"/>
      <c r="AL101" s="753"/>
      <c r="AM101" s="753"/>
      <c r="AN101" s="753"/>
    </row>
    <row r="102" spans="3:40" x14ac:dyDescent="0.25">
      <c r="C102" s="790" t="s">
        <v>300</v>
      </c>
      <c r="D102" s="790"/>
      <c r="E102" s="790"/>
      <c r="F102" s="790"/>
      <c r="G102" s="790"/>
      <c r="H102" s="790"/>
      <c r="I102" s="790"/>
      <c r="J102" s="790"/>
      <c r="K102" s="790"/>
      <c r="L102" s="790"/>
      <c r="M102" s="791"/>
      <c r="N102" s="791"/>
      <c r="O102" s="791"/>
      <c r="P102" s="791"/>
      <c r="Q102" s="790"/>
      <c r="R102" s="790"/>
      <c r="S102" s="790"/>
      <c r="T102" s="790"/>
      <c r="U102" s="790"/>
      <c r="V102" s="790"/>
      <c r="W102" s="790"/>
      <c r="X102" s="791"/>
      <c r="Y102" s="791"/>
      <c r="Z102" s="791"/>
      <c r="AA102" s="791"/>
      <c r="AB102" s="791"/>
      <c r="AC102" s="791"/>
      <c r="AD102" s="791"/>
      <c r="AE102" s="790"/>
      <c r="AF102" s="790"/>
      <c r="AG102" s="790"/>
      <c r="AH102" s="790"/>
      <c r="AI102" s="790"/>
      <c r="AJ102" s="790"/>
      <c r="AK102" s="754"/>
      <c r="AL102" s="754"/>
      <c r="AM102" s="754"/>
      <c r="AN102" s="754"/>
    </row>
    <row r="103" spans="3:40" x14ac:dyDescent="0.25">
      <c r="C103" s="209"/>
      <c r="D103" s="210"/>
      <c r="E103" s="210"/>
      <c r="F103" s="210" t="s">
        <v>301</v>
      </c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 t="s">
        <v>302</v>
      </c>
      <c r="X103" s="210"/>
      <c r="Y103" s="210"/>
      <c r="Z103" s="210"/>
      <c r="AA103" s="210"/>
      <c r="AB103" s="210"/>
      <c r="AC103" s="210"/>
      <c r="AD103" s="210"/>
      <c r="AE103" s="210"/>
      <c r="AF103" s="210"/>
      <c r="AG103" s="210"/>
      <c r="AH103" s="210"/>
      <c r="AI103" s="210"/>
      <c r="AJ103" s="210"/>
      <c r="AK103" s="210"/>
      <c r="AL103" s="210"/>
      <c r="AM103" s="210"/>
      <c r="AN103" s="211"/>
    </row>
    <row r="104" spans="3:40" x14ac:dyDescent="0.25">
      <c r="AA104" s="150"/>
    </row>
  </sheetData>
  <mergeCells count="273">
    <mergeCell ref="Q102:W102"/>
    <mergeCell ref="X102:AD102"/>
    <mergeCell ref="AE102:AJ102"/>
    <mergeCell ref="AK102:AN102"/>
    <mergeCell ref="M102:P102"/>
    <mergeCell ref="AK98:AN99"/>
    <mergeCell ref="C100:D101"/>
    <mergeCell ref="E100:F101"/>
    <mergeCell ref="G100:G101"/>
    <mergeCell ref="H100:I101"/>
    <mergeCell ref="J100:L101"/>
    <mergeCell ref="M100:P101"/>
    <mergeCell ref="Q100:W101"/>
    <mergeCell ref="X100:AD101"/>
    <mergeCell ref="AE100:AJ101"/>
    <mergeCell ref="H98:I99"/>
    <mergeCell ref="J98:L99"/>
    <mergeCell ref="M98:P99"/>
    <mergeCell ref="Q98:W99"/>
    <mergeCell ref="X98:AD99"/>
    <mergeCell ref="AE98:AJ99"/>
    <mergeCell ref="AK100:AN101"/>
    <mergeCell ref="C102:L102"/>
    <mergeCell ref="C98:D99"/>
    <mergeCell ref="AK94:AN95"/>
    <mergeCell ref="C96:D97"/>
    <mergeCell ref="E96:F97"/>
    <mergeCell ref="G96:G97"/>
    <mergeCell ref="H96:I97"/>
    <mergeCell ref="J96:L97"/>
    <mergeCell ref="M96:P97"/>
    <mergeCell ref="Q96:W97"/>
    <mergeCell ref="X96:AD97"/>
    <mergeCell ref="AE96:AJ97"/>
    <mergeCell ref="H94:I95"/>
    <mergeCell ref="J94:L95"/>
    <mergeCell ref="M94:P95"/>
    <mergeCell ref="Q94:W95"/>
    <mergeCell ref="X94:AD95"/>
    <mergeCell ref="AE94:AJ95"/>
    <mergeCell ref="E85:G86"/>
    <mergeCell ref="E87:F88"/>
    <mergeCell ref="G87:G88"/>
    <mergeCell ref="H85:I88"/>
    <mergeCell ref="AK90:AN91"/>
    <mergeCell ref="C92:D93"/>
    <mergeCell ref="E92:F93"/>
    <mergeCell ref="G92:G93"/>
    <mergeCell ref="H92:I93"/>
    <mergeCell ref="J92:L93"/>
    <mergeCell ref="M92:P93"/>
    <mergeCell ref="Q92:W93"/>
    <mergeCell ref="X92:AD93"/>
    <mergeCell ref="AE92:AJ93"/>
    <mergeCell ref="H90:I91"/>
    <mergeCell ref="J90:L91"/>
    <mergeCell ref="M90:P91"/>
    <mergeCell ref="Q90:W91"/>
    <mergeCell ref="X90:AD91"/>
    <mergeCell ref="AE90:AJ91"/>
    <mergeCell ref="Q66:Z66"/>
    <mergeCell ref="Q67:Z67"/>
    <mergeCell ref="Q68:Z69"/>
    <mergeCell ref="Q70:Z71"/>
    <mergeCell ref="Q72:Z73"/>
    <mergeCell ref="Q74:Z75"/>
    <mergeCell ref="Q76:Z77"/>
    <mergeCell ref="AK85:AN88"/>
    <mergeCell ref="C89:D89"/>
    <mergeCell ref="E89:F89"/>
    <mergeCell ref="H89:I89"/>
    <mergeCell ref="J89:L89"/>
    <mergeCell ref="M89:P89"/>
    <mergeCell ref="Q89:W89"/>
    <mergeCell ref="X89:AD89"/>
    <mergeCell ref="AE89:AJ89"/>
    <mergeCell ref="AK89:AN89"/>
    <mergeCell ref="J85:L88"/>
    <mergeCell ref="M85:P88"/>
    <mergeCell ref="Q85:AJ86"/>
    <mergeCell ref="Q87:W88"/>
    <mergeCell ref="X87:AD88"/>
    <mergeCell ref="AE87:AJ88"/>
    <mergeCell ref="C85:D88"/>
    <mergeCell ref="AJ70:AN71"/>
    <mergeCell ref="AJ72:AN73"/>
    <mergeCell ref="AJ74:AN75"/>
    <mergeCell ref="AJ76:AN77"/>
    <mergeCell ref="AJ78:AN79"/>
    <mergeCell ref="Q78:Z79"/>
    <mergeCell ref="AA68:AI69"/>
    <mergeCell ref="AA70:AI71"/>
    <mergeCell ref="AA72:AI73"/>
    <mergeCell ref="AA74:AI75"/>
    <mergeCell ref="AA76:AI77"/>
    <mergeCell ref="AA78:AI79"/>
    <mergeCell ref="AJ80:AN80"/>
    <mergeCell ref="I64:P66"/>
    <mergeCell ref="I67:P67"/>
    <mergeCell ref="I68:P69"/>
    <mergeCell ref="I70:P71"/>
    <mergeCell ref="I72:P73"/>
    <mergeCell ref="I74:P75"/>
    <mergeCell ref="I76:P77"/>
    <mergeCell ref="AJ64:AN66"/>
    <mergeCell ref="C80:AI80"/>
    <mergeCell ref="C78:D79"/>
    <mergeCell ref="E78:H79"/>
    <mergeCell ref="I78:P79"/>
    <mergeCell ref="C74:D75"/>
    <mergeCell ref="E74:H75"/>
    <mergeCell ref="C72:D73"/>
    <mergeCell ref="E72:H73"/>
    <mergeCell ref="C70:D71"/>
    <mergeCell ref="E70:H71"/>
    <mergeCell ref="C68:D69"/>
    <mergeCell ref="E68:H69"/>
    <mergeCell ref="C67:D67"/>
    <mergeCell ref="E67:H67"/>
    <mergeCell ref="AJ67:AN67"/>
    <mergeCell ref="C59:V59"/>
    <mergeCell ref="C76:D77"/>
    <mergeCell ref="E76:H77"/>
    <mergeCell ref="AG43:AN44"/>
    <mergeCell ref="AG45:AN46"/>
    <mergeCell ref="AG47:AN48"/>
    <mergeCell ref="AG49:AN50"/>
    <mergeCell ref="AG51:AN52"/>
    <mergeCell ref="AG53:AN54"/>
    <mergeCell ref="W55:AF56"/>
    <mergeCell ref="W57:AF58"/>
    <mergeCell ref="J55:V56"/>
    <mergeCell ref="J57:V58"/>
    <mergeCell ref="J43:V44"/>
    <mergeCell ref="J45:V46"/>
    <mergeCell ref="J47:V48"/>
    <mergeCell ref="J49:V50"/>
    <mergeCell ref="J51:V52"/>
    <mergeCell ref="J53:V54"/>
    <mergeCell ref="H57:I58"/>
    <mergeCell ref="Q64:AI65"/>
    <mergeCell ref="AA66:AI66"/>
    <mergeCell ref="AA67:AI67"/>
    <mergeCell ref="AJ68:AN69"/>
    <mergeCell ref="W49:AF50"/>
    <mergeCell ref="W51:AF52"/>
    <mergeCell ref="W53:AF54"/>
    <mergeCell ref="W45:AF46"/>
    <mergeCell ref="W47:AF48"/>
    <mergeCell ref="AG55:AN56"/>
    <mergeCell ref="AG57:AN58"/>
    <mergeCell ref="AG59:AN59"/>
    <mergeCell ref="W59:AF59"/>
    <mergeCell ref="AG21:AN23"/>
    <mergeCell ref="AG24:AN24"/>
    <mergeCell ref="AG25:AN26"/>
    <mergeCell ref="AG27:AN28"/>
    <mergeCell ref="AG29:AN30"/>
    <mergeCell ref="W37:AF38"/>
    <mergeCell ref="W39:AF40"/>
    <mergeCell ref="W41:AF42"/>
    <mergeCell ref="W43:AF44"/>
    <mergeCell ref="W21:AF23"/>
    <mergeCell ref="W24:AF24"/>
    <mergeCell ref="W25:AF26"/>
    <mergeCell ref="W27:AF28"/>
    <mergeCell ref="W29:AF30"/>
    <mergeCell ref="W31:AF32"/>
    <mergeCell ref="W33:AF34"/>
    <mergeCell ref="W35:AF36"/>
    <mergeCell ref="AG31:AN32"/>
    <mergeCell ref="AG33:AN34"/>
    <mergeCell ref="AG35:AN36"/>
    <mergeCell ref="AG37:AN38"/>
    <mergeCell ref="AG39:AN40"/>
    <mergeCell ref="AG41:AN42"/>
    <mergeCell ref="J21:V23"/>
    <mergeCell ref="J25:V26"/>
    <mergeCell ref="J27:V28"/>
    <mergeCell ref="J29:V30"/>
    <mergeCell ref="J31:V32"/>
    <mergeCell ref="J33:V34"/>
    <mergeCell ref="H51:I52"/>
    <mergeCell ref="H53:I54"/>
    <mergeCell ref="H55:I56"/>
    <mergeCell ref="J24:V24"/>
    <mergeCell ref="J35:V36"/>
    <mergeCell ref="J37:V38"/>
    <mergeCell ref="J39:V40"/>
    <mergeCell ref="J41:V42"/>
    <mergeCell ref="H39:I40"/>
    <mergeCell ref="H41:I42"/>
    <mergeCell ref="H43:I44"/>
    <mergeCell ref="H45:I46"/>
    <mergeCell ref="H47:I48"/>
    <mergeCell ref="H49:I50"/>
    <mergeCell ref="E58:G58"/>
    <mergeCell ref="H21:I23"/>
    <mergeCell ref="H24:I24"/>
    <mergeCell ref="H25:I26"/>
    <mergeCell ref="H27:I28"/>
    <mergeCell ref="H29:I30"/>
    <mergeCell ref="H31:I32"/>
    <mergeCell ref="H33:I34"/>
    <mergeCell ref="H35:I36"/>
    <mergeCell ref="H37:I38"/>
    <mergeCell ref="E52:G52"/>
    <mergeCell ref="E53:G53"/>
    <mergeCell ref="E54:G54"/>
    <mergeCell ref="E55:G55"/>
    <mergeCell ref="E56:G56"/>
    <mergeCell ref="E57:G57"/>
    <mergeCell ref="E46:G46"/>
    <mergeCell ref="E47:G47"/>
    <mergeCell ref="E48:G48"/>
    <mergeCell ref="E49:G49"/>
    <mergeCell ref="E50:G50"/>
    <mergeCell ref="E51:G51"/>
    <mergeCell ref="E36:G36"/>
    <mergeCell ref="E37:G37"/>
    <mergeCell ref="E25:G25"/>
    <mergeCell ref="E26:G26"/>
    <mergeCell ref="E27:G27"/>
    <mergeCell ref="E28:G28"/>
    <mergeCell ref="E29:G29"/>
    <mergeCell ref="E42:G42"/>
    <mergeCell ref="E43:G43"/>
    <mergeCell ref="E44:G44"/>
    <mergeCell ref="E45:G45"/>
    <mergeCell ref="E38:G38"/>
    <mergeCell ref="E39:G39"/>
    <mergeCell ref="E40:G40"/>
    <mergeCell ref="E41:G41"/>
    <mergeCell ref="E30:G30"/>
    <mergeCell ref="E31:G31"/>
    <mergeCell ref="E32:G32"/>
    <mergeCell ref="E33:G33"/>
    <mergeCell ref="E34:G34"/>
    <mergeCell ref="E35:G35"/>
    <mergeCell ref="C35:D36"/>
    <mergeCell ref="C37:D38"/>
    <mergeCell ref="C39:D40"/>
    <mergeCell ref="C41:D42"/>
    <mergeCell ref="C43:D44"/>
    <mergeCell ref="C24:D24"/>
    <mergeCell ref="C25:D26"/>
    <mergeCell ref="C27:D28"/>
    <mergeCell ref="C29:D30"/>
    <mergeCell ref="C31:D32"/>
    <mergeCell ref="C64:D66"/>
    <mergeCell ref="E64:H66"/>
    <mergeCell ref="AG5:AM11"/>
    <mergeCell ref="C21:D23"/>
    <mergeCell ref="E21:G23"/>
    <mergeCell ref="E98:F99"/>
    <mergeCell ref="AK96:AN97"/>
    <mergeCell ref="G98:G99"/>
    <mergeCell ref="C94:D95"/>
    <mergeCell ref="E94:F95"/>
    <mergeCell ref="AK92:AN93"/>
    <mergeCell ref="G94:G95"/>
    <mergeCell ref="C90:D91"/>
    <mergeCell ref="E90:F91"/>
    <mergeCell ref="G90:G91"/>
    <mergeCell ref="C57:D58"/>
    <mergeCell ref="E24:G24"/>
    <mergeCell ref="C45:D46"/>
    <mergeCell ref="C47:D48"/>
    <mergeCell ref="C49:D50"/>
    <mergeCell ref="C51:D52"/>
    <mergeCell ref="C53:D54"/>
    <mergeCell ref="C55:D56"/>
    <mergeCell ref="C33:D34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51F8F-8C59-487A-B5A9-A43C36874D2B}">
  <dimension ref="C4:BB112"/>
  <sheetViews>
    <sheetView showGridLines="0" zoomScale="90" zoomScaleNormal="90" workbookViewId="0">
      <selection activeCell="C54" sqref="C54:AP55"/>
    </sheetView>
  </sheetViews>
  <sheetFormatPr defaultRowHeight="15" x14ac:dyDescent="0.25"/>
  <cols>
    <col min="1" max="2" width="2.85546875" customWidth="1"/>
    <col min="3" max="3" width="4.28515625" customWidth="1"/>
    <col min="4" max="4" width="5.28515625" customWidth="1"/>
    <col min="5" max="6" width="4.28515625" customWidth="1"/>
    <col min="7" max="7" width="4.42578125" customWidth="1"/>
    <col min="8" max="9" width="4.5703125" customWidth="1"/>
    <col min="10" max="10" width="4.42578125" customWidth="1"/>
    <col min="11" max="11" width="4.7109375" customWidth="1"/>
    <col min="12" max="13" width="4.28515625" customWidth="1"/>
    <col min="14" max="15" width="3.42578125" customWidth="1"/>
    <col min="16" max="20" width="4.28515625" customWidth="1"/>
    <col min="21" max="21" width="4" customWidth="1"/>
    <col min="22" max="34" width="4.28515625" customWidth="1"/>
    <col min="35" max="35" width="5.28515625" customWidth="1"/>
    <col min="36" max="36" width="4.28515625" customWidth="1"/>
    <col min="37" max="37" width="4.7109375" customWidth="1"/>
    <col min="38" max="45" width="4.28515625" customWidth="1"/>
  </cols>
  <sheetData>
    <row r="4" spans="3:44" x14ac:dyDescent="0.25">
      <c r="C4" s="165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8"/>
    </row>
    <row r="5" spans="3:44" ht="15.6" customHeight="1" x14ac:dyDescent="0.25">
      <c r="C5" s="169"/>
      <c r="D5" s="170" t="s">
        <v>202</v>
      </c>
      <c r="E5" s="14"/>
      <c r="F5" s="14"/>
      <c r="G5" s="14"/>
      <c r="H5" s="14"/>
      <c r="I5" s="14"/>
      <c r="J5" s="14"/>
      <c r="K5" s="14"/>
      <c r="L5" s="14"/>
      <c r="M5" s="14"/>
      <c r="N5" s="163"/>
      <c r="O5" s="886" t="s">
        <v>303</v>
      </c>
      <c r="P5" s="886"/>
      <c r="Q5" s="886"/>
      <c r="R5" s="886"/>
      <c r="S5" s="886"/>
      <c r="T5" s="886"/>
      <c r="U5" s="886"/>
      <c r="V5" s="886"/>
      <c r="W5" s="886"/>
      <c r="X5" s="886"/>
      <c r="Y5" s="886"/>
      <c r="Z5" s="886"/>
      <c r="AA5" s="886"/>
      <c r="AB5" s="886"/>
      <c r="AC5" s="886"/>
      <c r="AD5" s="886"/>
      <c r="AE5" s="886"/>
      <c r="AF5" s="886"/>
      <c r="AG5" s="886"/>
      <c r="AH5" s="163"/>
      <c r="AI5" s="887" t="s">
        <v>309</v>
      </c>
      <c r="AJ5" s="887"/>
      <c r="AK5" s="887"/>
      <c r="AL5" s="887"/>
      <c r="AM5" s="887"/>
      <c r="AN5" s="887"/>
      <c r="AO5" s="887"/>
      <c r="AP5" s="173"/>
    </row>
    <row r="6" spans="3:44" ht="2.65" customHeight="1" x14ac:dyDescent="0.25">
      <c r="C6" s="169"/>
      <c r="D6" s="14"/>
      <c r="E6" s="14"/>
      <c r="F6" s="14"/>
      <c r="G6" s="14"/>
      <c r="H6" s="14"/>
      <c r="I6" s="14"/>
      <c r="J6" s="14"/>
      <c r="K6" s="14"/>
      <c r="L6" s="14"/>
      <c r="M6" s="14"/>
      <c r="N6" s="163"/>
      <c r="O6" s="886"/>
      <c r="P6" s="886"/>
      <c r="Q6" s="886"/>
      <c r="R6" s="886"/>
      <c r="S6" s="886"/>
      <c r="T6" s="886"/>
      <c r="U6" s="886"/>
      <c r="V6" s="886"/>
      <c r="W6" s="886"/>
      <c r="X6" s="886"/>
      <c r="Y6" s="886"/>
      <c r="Z6" s="886"/>
      <c r="AA6" s="886"/>
      <c r="AB6" s="886"/>
      <c r="AC6" s="886"/>
      <c r="AD6" s="886"/>
      <c r="AE6" s="886"/>
      <c r="AF6" s="886"/>
      <c r="AG6" s="886"/>
      <c r="AH6" s="163"/>
      <c r="AI6" s="887"/>
      <c r="AJ6" s="887"/>
      <c r="AK6" s="887"/>
      <c r="AL6" s="887"/>
      <c r="AM6" s="887"/>
      <c r="AN6" s="887"/>
      <c r="AO6" s="887"/>
      <c r="AP6" s="173"/>
    </row>
    <row r="7" spans="3:44" ht="14.65" customHeight="1" x14ac:dyDescent="0.35">
      <c r="C7" s="169"/>
      <c r="D7" s="224" t="s">
        <v>305</v>
      </c>
      <c r="E7" s="225"/>
      <c r="F7" s="225"/>
      <c r="G7" s="225"/>
      <c r="H7" s="225"/>
      <c r="I7" s="225"/>
      <c r="J7" s="225"/>
      <c r="K7" s="225"/>
      <c r="L7" s="225"/>
      <c r="M7" s="225"/>
      <c r="N7" s="163"/>
      <c r="O7" s="886"/>
      <c r="P7" s="886"/>
      <c r="Q7" s="886"/>
      <c r="R7" s="886"/>
      <c r="S7" s="886"/>
      <c r="T7" s="886"/>
      <c r="U7" s="886"/>
      <c r="V7" s="886"/>
      <c r="W7" s="886"/>
      <c r="X7" s="886"/>
      <c r="Y7" s="886"/>
      <c r="Z7" s="886"/>
      <c r="AA7" s="886"/>
      <c r="AB7" s="886"/>
      <c r="AC7" s="886"/>
      <c r="AD7" s="886"/>
      <c r="AE7" s="886"/>
      <c r="AF7" s="886"/>
      <c r="AG7" s="886"/>
      <c r="AH7" s="163"/>
      <c r="AI7" s="887"/>
      <c r="AJ7" s="887"/>
      <c r="AK7" s="887"/>
      <c r="AL7" s="887"/>
      <c r="AM7" s="887"/>
      <c r="AN7" s="887"/>
      <c r="AO7" s="887"/>
      <c r="AP7" s="173"/>
    </row>
    <row r="8" spans="3:44" ht="2.65" customHeight="1" x14ac:dyDescent="0.35">
      <c r="C8" s="169"/>
      <c r="D8" s="226"/>
      <c r="E8" s="225"/>
      <c r="F8" s="225"/>
      <c r="G8" s="225"/>
      <c r="H8" s="225"/>
      <c r="I8" s="225"/>
      <c r="J8" s="225"/>
      <c r="K8" s="225"/>
      <c r="L8" s="225"/>
      <c r="M8" s="225"/>
      <c r="N8" s="163"/>
      <c r="O8" s="171"/>
      <c r="P8" s="172"/>
      <c r="Q8" s="163"/>
      <c r="R8" s="163"/>
      <c r="S8" s="163"/>
      <c r="T8" s="163"/>
      <c r="U8" s="163"/>
      <c r="V8" s="163"/>
      <c r="W8" s="163"/>
      <c r="X8" s="163"/>
      <c r="Y8" s="163"/>
      <c r="Z8" s="163"/>
      <c r="AA8" s="163"/>
      <c r="AB8" s="163"/>
      <c r="AC8" s="163"/>
      <c r="AD8" s="163"/>
      <c r="AE8" s="163"/>
      <c r="AF8" s="163"/>
      <c r="AG8" s="163"/>
      <c r="AH8" s="163"/>
      <c r="AI8" s="887"/>
      <c r="AJ8" s="887"/>
      <c r="AK8" s="887"/>
      <c r="AL8" s="887"/>
      <c r="AM8" s="887"/>
      <c r="AN8" s="887"/>
      <c r="AO8" s="887"/>
      <c r="AP8" s="173"/>
    </row>
    <row r="9" spans="3:44" ht="14.65" customHeight="1" x14ac:dyDescent="0.25">
      <c r="C9" s="169"/>
      <c r="D9" s="224" t="s">
        <v>306</v>
      </c>
      <c r="E9" s="227"/>
      <c r="F9" s="227"/>
      <c r="G9" s="227"/>
      <c r="H9" s="227"/>
      <c r="I9" s="227"/>
      <c r="J9" s="227"/>
      <c r="K9" s="227"/>
      <c r="L9" s="227"/>
      <c r="M9" s="227"/>
      <c r="N9" s="163"/>
      <c r="O9" s="888" t="s">
        <v>304</v>
      </c>
      <c r="P9" s="888"/>
      <c r="Q9" s="888"/>
      <c r="R9" s="888"/>
      <c r="S9" s="888"/>
      <c r="T9" s="888"/>
      <c r="U9" s="888"/>
      <c r="V9" s="888"/>
      <c r="W9" s="888"/>
      <c r="X9" s="888"/>
      <c r="Y9" s="888"/>
      <c r="Z9" s="888"/>
      <c r="AA9" s="888"/>
      <c r="AB9" s="888"/>
      <c r="AC9" s="888"/>
      <c r="AD9" s="888"/>
      <c r="AE9" s="888"/>
      <c r="AF9" s="888"/>
      <c r="AG9" s="888"/>
      <c r="AH9" s="163"/>
      <c r="AI9" s="887"/>
      <c r="AJ9" s="887"/>
      <c r="AK9" s="887"/>
      <c r="AL9" s="887"/>
      <c r="AM9" s="887"/>
      <c r="AN9" s="887"/>
      <c r="AO9" s="887"/>
      <c r="AP9" s="173"/>
    </row>
    <row r="10" spans="3:44" ht="2.65" customHeight="1" x14ac:dyDescent="0.25">
      <c r="C10" s="169"/>
      <c r="D10" s="226"/>
      <c r="E10" s="227"/>
      <c r="F10" s="227"/>
      <c r="G10" s="227"/>
      <c r="H10" s="227"/>
      <c r="I10" s="227"/>
      <c r="J10" s="227"/>
      <c r="K10" s="227"/>
      <c r="L10" s="227"/>
      <c r="M10" s="227"/>
      <c r="N10" s="163"/>
      <c r="O10" s="888"/>
      <c r="P10" s="888"/>
      <c r="Q10" s="888"/>
      <c r="R10" s="888"/>
      <c r="S10" s="888"/>
      <c r="T10" s="888"/>
      <c r="U10" s="888"/>
      <c r="V10" s="888"/>
      <c r="W10" s="888"/>
      <c r="X10" s="888"/>
      <c r="Y10" s="888"/>
      <c r="Z10" s="888"/>
      <c r="AA10" s="888"/>
      <c r="AB10" s="888"/>
      <c r="AC10" s="888"/>
      <c r="AD10" s="888"/>
      <c r="AE10" s="888"/>
      <c r="AF10" s="888"/>
      <c r="AG10" s="888"/>
      <c r="AH10" s="163"/>
      <c r="AI10" s="228"/>
      <c r="AJ10" s="228"/>
      <c r="AK10" s="228"/>
      <c r="AL10" s="228"/>
      <c r="AM10" s="228"/>
      <c r="AN10" s="228"/>
      <c r="AO10" s="228"/>
      <c r="AP10" s="173"/>
    </row>
    <row r="11" spans="3:44" ht="14.65" customHeight="1" x14ac:dyDescent="0.25">
      <c r="C11" s="169"/>
      <c r="D11" s="224" t="s">
        <v>307</v>
      </c>
      <c r="E11" s="227"/>
      <c r="F11" s="227"/>
      <c r="G11" s="227"/>
      <c r="H11" s="227"/>
      <c r="I11" s="227"/>
      <c r="J11" s="227"/>
      <c r="K11" s="227"/>
      <c r="L11" s="227"/>
      <c r="M11" s="227"/>
      <c r="N11" s="163"/>
      <c r="O11" s="888"/>
      <c r="P11" s="888"/>
      <c r="Q11" s="888"/>
      <c r="R11" s="888"/>
      <c r="S11" s="888"/>
      <c r="T11" s="888"/>
      <c r="U11" s="888"/>
      <c r="V11" s="888"/>
      <c r="W11" s="888"/>
      <c r="X11" s="888"/>
      <c r="Y11" s="888"/>
      <c r="Z11" s="888"/>
      <c r="AA11" s="888"/>
      <c r="AB11" s="888"/>
      <c r="AC11" s="888"/>
      <c r="AD11" s="888"/>
      <c r="AE11" s="888"/>
      <c r="AF11" s="888"/>
      <c r="AG11" s="888"/>
      <c r="AH11" s="163"/>
      <c r="AI11" s="229"/>
      <c r="AJ11" s="229"/>
      <c r="AK11" s="229"/>
      <c r="AL11" s="229"/>
      <c r="AM11" s="229"/>
      <c r="AN11" s="229"/>
      <c r="AO11" s="229"/>
      <c r="AP11" s="173"/>
    </row>
    <row r="12" spans="3:44" ht="2.65" customHeight="1" x14ac:dyDescent="0.25">
      <c r="C12" s="169"/>
      <c r="D12" s="226"/>
      <c r="E12" s="227"/>
      <c r="F12" s="227"/>
      <c r="G12" s="227"/>
      <c r="H12" s="227"/>
      <c r="I12" s="227"/>
      <c r="J12" s="227"/>
      <c r="K12" s="227"/>
      <c r="L12" s="227"/>
      <c r="M12" s="227"/>
      <c r="N12" s="163"/>
      <c r="O12" s="171"/>
      <c r="P12" s="172"/>
      <c r="Q12" s="163"/>
      <c r="R12" s="163"/>
      <c r="S12" s="163"/>
      <c r="T12" s="163"/>
      <c r="U12" s="163"/>
      <c r="V12" s="163"/>
      <c r="W12" s="163"/>
      <c r="X12" s="163"/>
      <c r="Y12" s="163"/>
      <c r="Z12" s="163"/>
      <c r="AA12" s="163"/>
      <c r="AB12" s="163"/>
      <c r="AC12" s="163"/>
      <c r="AD12" s="163"/>
      <c r="AE12" s="163"/>
      <c r="AF12" s="163"/>
      <c r="AG12" s="163"/>
      <c r="AH12" s="163"/>
      <c r="AI12" s="196"/>
      <c r="AJ12" s="196"/>
      <c r="AK12" s="196"/>
      <c r="AL12" s="196"/>
      <c r="AM12" s="196"/>
      <c r="AN12" s="196"/>
      <c r="AO12" s="196"/>
      <c r="AP12" s="173"/>
    </row>
    <row r="13" spans="3:44" ht="16.5" customHeight="1" x14ac:dyDescent="0.25">
      <c r="C13" s="169"/>
      <c r="D13" s="224" t="s">
        <v>308</v>
      </c>
      <c r="E13" s="227"/>
      <c r="F13" s="227"/>
      <c r="G13" s="227"/>
      <c r="H13" s="227"/>
      <c r="I13" s="227"/>
      <c r="J13" s="227"/>
      <c r="K13" s="227"/>
      <c r="L13" s="227"/>
      <c r="M13" s="227"/>
      <c r="N13" s="230"/>
      <c r="O13" s="231" t="s">
        <v>36</v>
      </c>
      <c r="P13" s="176"/>
      <c r="Q13" s="45"/>
      <c r="R13" s="352"/>
      <c r="S13" s="352"/>
      <c r="T13" s="352"/>
      <c r="U13" s="352"/>
      <c r="V13" s="352"/>
      <c r="W13" s="352"/>
      <c r="X13" s="352"/>
      <c r="Y13" s="352"/>
      <c r="Z13" s="352"/>
      <c r="AA13" s="352"/>
      <c r="AB13" s="352"/>
      <c r="AC13" s="352"/>
      <c r="AD13" s="352"/>
      <c r="AE13" s="352"/>
      <c r="AF13" s="352"/>
      <c r="AG13" s="352"/>
      <c r="AH13" s="352"/>
      <c r="AI13" s="214" t="s">
        <v>11</v>
      </c>
      <c r="AJ13" s="163"/>
      <c r="AK13" s="163"/>
      <c r="AL13" s="152"/>
      <c r="AM13" s="152"/>
      <c r="AN13" s="152"/>
      <c r="AO13" s="152"/>
      <c r="AP13" s="173"/>
    </row>
    <row r="14" spans="3:44" ht="2.65" customHeight="1" x14ac:dyDescent="0.25">
      <c r="C14" s="169"/>
      <c r="D14" s="2"/>
      <c r="E14" s="175"/>
      <c r="F14" s="175"/>
      <c r="G14" s="175"/>
      <c r="H14" s="175"/>
      <c r="I14" s="175"/>
      <c r="J14" s="175"/>
      <c r="K14" s="175"/>
      <c r="L14" s="175"/>
      <c r="M14" s="175"/>
      <c r="N14" s="163"/>
      <c r="O14" s="176"/>
      <c r="P14" s="176"/>
      <c r="Q14" s="163"/>
      <c r="R14" s="163"/>
      <c r="S14" s="163"/>
      <c r="T14" s="163"/>
      <c r="U14" s="163"/>
      <c r="V14" s="163"/>
      <c r="W14" s="163"/>
      <c r="X14" s="163"/>
      <c r="Y14" s="163"/>
      <c r="Z14" s="163"/>
      <c r="AA14" s="163"/>
      <c r="AB14" s="163"/>
      <c r="AC14" s="163"/>
      <c r="AD14" s="163"/>
      <c r="AE14" s="163"/>
      <c r="AF14" s="163"/>
      <c r="AG14" s="163"/>
      <c r="AH14" s="163"/>
      <c r="AI14" s="163"/>
      <c r="AJ14" s="163"/>
      <c r="AK14" s="163"/>
      <c r="AL14" s="163"/>
      <c r="AM14" s="163"/>
      <c r="AN14" s="163"/>
      <c r="AO14" s="163"/>
      <c r="AP14" s="173"/>
    </row>
    <row r="15" spans="3:44" ht="11.65" customHeight="1" x14ac:dyDescent="0.25">
      <c r="C15" s="169"/>
      <c r="D15" s="174"/>
      <c r="E15" s="14"/>
      <c r="F15" s="14"/>
      <c r="G15" s="14"/>
      <c r="H15" s="14"/>
      <c r="I15" s="14"/>
      <c r="J15" s="14"/>
      <c r="K15" s="14"/>
      <c r="L15" s="14"/>
      <c r="M15" s="14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  <c r="AA15" s="163"/>
      <c r="AB15" s="163"/>
      <c r="AC15" s="163"/>
      <c r="AD15" s="163"/>
      <c r="AE15" s="163"/>
      <c r="AF15" s="163"/>
      <c r="AG15" s="163"/>
      <c r="AH15" s="163"/>
      <c r="AI15" s="163"/>
      <c r="AJ15" s="163"/>
      <c r="AK15" s="163"/>
      <c r="AL15" s="163"/>
      <c r="AM15" s="163"/>
      <c r="AN15" s="163"/>
      <c r="AO15" s="163"/>
      <c r="AP15" s="173"/>
    </row>
    <row r="16" spans="3:44" ht="2.65" customHeight="1" x14ac:dyDescent="0.25">
      <c r="C16" s="39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77"/>
      <c r="AQ16" s="115"/>
      <c r="AR16" s="115"/>
    </row>
    <row r="17" spans="3:54" ht="15.75" x14ac:dyDescent="0.25">
      <c r="C17" s="324" t="s">
        <v>313</v>
      </c>
      <c r="D17" s="325" t="s">
        <v>312</v>
      </c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178"/>
    </row>
    <row r="18" spans="3:54" ht="3.6" customHeight="1" x14ac:dyDescent="0.25">
      <c r="C18" s="53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179"/>
      <c r="AQ18" s="115"/>
      <c r="AR18" s="115"/>
      <c r="AS18" s="115"/>
      <c r="AT18" s="115"/>
      <c r="AU18" s="115"/>
      <c r="AV18" s="115"/>
      <c r="AW18" s="115"/>
      <c r="AX18" s="115"/>
      <c r="AY18" s="115"/>
      <c r="AZ18" s="115"/>
      <c r="BA18" s="115"/>
      <c r="BB18" s="116"/>
    </row>
    <row r="19" spans="3:54" ht="18.600000000000001" customHeight="1" x14ac:dyDescent="0.25">
      <c r="C19" s="793" t="s">
        <v>310</v>
      </c>
      <c r="D19" s="794"/>
      <c r="E19" s="691" t="s">
        <v>311</v>
      </c>
      <c r="F19" s="691"/>
      <c r="G19" s="691"/>
      <c r="H19" s="691"/>
      <c r="I19" s="691"/>
      <c r="J19" s="691"/>
      <c r="K19" s="691"/>
      <c r="L19" s="794" t="s">
        <v>314</v>
      </c>
      <c r="M19" s="794"/>
      <c r="N19" s="794"/>
      <c r="O19" s="889"/>
      <c r="P19" s="892" t="s">
        <v>315</v>
      </c>
      <c r="Q19" s="794"/>
      <c r="R19" s="889"/>
      <c r="S19" s="892" t="s">
        <v>316</v>
      </c>
      <c r="T19" s="794"/>
      <c r="U19" s="794"/>
      <c r="V19" s="889"/>
      <c r="W19" s="764" t="s">
        <v>317</v>
      </c>
      <c r="X19" s="764"/>
      <c r="Y19" s="764"/>
      <c r="Z19" s="764"/>
      <c r="AA19" s="764" t="s">
        <v>318</v>
      </c>
      <c r="AB19" s="764"/>
      <c r="AC19" s="764"/>
      <c r="AD19" s="764"/>
      <c r="AE19" s="892" t="s">
        <v>320</v>
      </c>
      <c r="AF19" s="794"/>
      <c r="AG19" s="794"/>
      <c r="AH19" s="889"/>
      <c r="AI19" s="764" t="s">
        <v>321</v>
      </c>
      <c r="AJ19" s="764"/>
      <c r="AK19" s="764"/>
      <c r="AL19" s="764"/>
      <c r="AM19" s="764" t="s">
        <v>319</v>
      </c>
      <c r="AN19" s="764"/>
      <c r="AO19" s="764"/>
      <c r="AP19" s="894"/>
      <c r="AQ19" s="153"/>
      <c r="AR19" s="153"/>
      <c r="AS19" s="153"/>
      <c r="AT19" s="153"/>
      <c r="AU19" s="153"/>
      <c r="AV19" s="153"/>
      <c r="AW19" s="153"/>
      <c r="AX19" s="153"/>
      <c r="AY19" s="153"/>
      <c r="AZ19" s="153"/>
      <c r="BA19" s="154"/>
      <c r="BB19" s="154"/>
    </row>
    <row r="20" spans="3:54" ht="3" customHeight="1" x14ac:dyDescent="0.25">
      <c r="C20" s="748"/>
      <c r="D20" s="749"/>
      <c r="E20" s="691"/>
      <c r="F20" s="691"/>
      <c r="G20" s="691"/>
      <c r="H20" s="691"/>
      <c r="I20" s="691"/>
      <c r="J20" s="691"/>
      <c r="K20" s="691"/>
      <c r="L20" s="749"/>
      <c r="M20" s="749"/>
      <c r="N20" s="749"/>
      <c r="O20" s="890"/>
      <c r="P20" s="744"/>
      <c r="Q20" s="749"/>
      <c r="R20" s="890"/>
      <c r="S20" s="744"/>
      <c r="T20" s="749"/>
      <c r="U20" s="749"/>
      <c r="V20" s="890"/>
      <c r="W20" s="764"/>
      <c r="X20" s="764"/>
      <c r="Y20" s="764"/>
      <c r="Z20" s="764"/>
      <c r="AA20" s="764"/>
      <c r="AB20" s="764"/>
      <c r="AC20" s="764"/>
      <c r="AD20" s="764"/>
      <c r="AE20" s="744"/>
      <c r="AF20" s="749"/>
      <c r="AG20" s="749"/>
      <c r="AH20" s="890"/>
      <c r="AI20" s="764"/>
      <c r="AJ20" s="764"/>
      <c r="AK20" s="764"/>
      <c r="AL20" s="764"/>
      <c r="AM20" s="764"/>
      <c r="AN20" s="764"/>
      <c r="AO20" s="764"/>
      <c r="AP20" s="894"/>
      <c r="AQ20" s="153"/>
      <c r="AR20" s="153"/>
      <c r="AS20" s="153"/>
      <c r="AT20" s="153"/>
      <c r="AU20" s="153"/>
      <c r="AV20" s="153"/>
      <c r="AW20" s="153"/>
      <c r="AX20" s="153"/>
      <c r="AY20" s="153"/>
      <c r="AZ20" s="153"/>
      <c r="BA20" s="153"/>
      <c r="BB20" s="154"/>
    </row>
    <row r="21" spans="3:54" ht="19.149999999999999" customHeight="1" x14ac:dyDescent="0.25">
      <c r="C21" s="795"/>
      <c r="D21" s="796"/>
      <c r="E21" s="691"/>
      <c r="F21" s="691"/>
      <c r="G21" s="691"/>
      <c r="H21" s="691"/>
      <c r="I21" s="691"/>
      <c r="J21" s="691"/>
      <c r="K21" s="691"/>
      <c r="L21" s="796"/>
      <c r="M21" s="796"/>
      <c r="N21" s="796"/>
      <c r="O21" s="891"/>
      <c r="P21" s="893"/>
      <c r="Q21" s="796"/>
      <c r="R21" s="891"/>
      <c r="S21" s="893"/>
      <c r="T21" s="796"/>
      <c r="U21" s="796"/>
      <c r="V21" s="891"/>
      <c r="W21" s="764"/>
      <c r="X21" s="764"/>
      <c r="Y21" s="764"/>
      <c r="Z21" s="764"/>
      <c r="AA21" s="764"/>
      <c r="AB21" s="764"/>
      <c r="AC21" s="764"/>
      <c r="AD21" s="764"/>
      <c r="AE21" s="893"/>
      <c r="AF21" s="796"/>
      <c r="AG21" s="796"/>
      <c r="AH21" s="891"/>
      <c r="AI21" s="764"/>
      <c r="AJ21" s="764"/>
      <c r="AK21" s="764"/>
      <c r="AL21" s="764"/>
      <c r="AM21" s="764"/>
      <c r="AN21" s="764"/>
      <c r="AO21" s="764"/>
      <c r="AP21" s="894"/>
    </row>
    <row r="22" spans="3:54" x14ac:dyDescent="0.25">
      <c r="C22" s="882" t="s">
        <v>213</v>
      </c>
      <c r="D22" s="863"/>
      <c r="E22" s="883" t="s">
        <v>214</v>
      </c>
      <c r="F22" s="884"/>
      <c r="G22" s="884"/>
      <c r="H22" s="884"/>
      <c r="I22" s="884"/>
      <c r="J22" s="884"/>
      <c r="K22" s="885"/>
      <c r="L22" s="861" t="s">
        <v>215</v>
      </c>
      <c r="M22" s="862"/>
      <c r="N22" s="862"/>
      <c r="O22" s="863"/>
      <c r="P22" s="861" t="s">
        <v>216</v>
      </c>
      <c r="Q22" s="862"/>
      <c r="R22" s="863"/>
      <c r="S22" s="861" t="s">
        <v>217</v>
      </c>
      <c r="T22" s="862"/>
      <c r="U22" s="862"/>
      <c r="V22" s="863"/>
      <c r="W22" s="755" t="s">
        <v>218</v>
      </c>
      <c r="X22" s="755"/>
      <c r="Y22" s="755"/>
      <c r="Z22" s="755"/>
      <c r="AA22" s="755" t="s">
        <v>219</v>
      </c>
      <c r="AB22" s="755"/>
      <c r="AC22" s="755"/>
      <c r="AD22" s="755"/>
      <c r="AE22" s="861" t="s">
        <v>220</v>
      </c>
      <c r="AF22" s="862"/>
      <c r="AG22" s="862"/>
      <c r="AH22" s="863"/>
      <c r="AI22" s="755" t="s">
        <v>223</v>
      </c>
      <c r="AJ22" s="755"/>
      <c r="AK22" s="755"/>
      <c r="AL22" s="755"/>
      <c r="AM22" s="755" t="s">
        <v>248</v>
      </c>
      <c r="AN22" s="755"/>
      <c r="AO22" s="755"/>
      <c r="AP22" s="843"/>
    </row>
    <row r="23" spans="3:54" x14ac:dyDescent="0.25">
      <c r="C23" s="877"/>
      <c r="D23" s="878"/>
      <c r="E23" s="879" t="s">
        <v>322</v>
      </c>
      <c r="F23" s="880"/>
      <c r="G23" s="880"/>
      <c r="H23" s="880"/>
      <c r="I23" s="880"/>
      <c r="J23" s="880"/>
      <c r="K23" s="881"/>
      <c r="L23" s="867"/>
      <c r="M23" s="868"/>
      <c r="N23" s="868"/>
      <c r="O23" s="869"/>
      <c r="P23" s="870"/>
      <c r="Q23" s="871"/>
      <c r="R23" s="872"/>
      <c r="S23" s="870"/>
      <c r="T23" s="871"/>
      <c r="U23" s="871"/>
      <c r="V23" s="872"/>
      <c r="W23" s="842"/>
      <c r="X23" s="842"/>
      <c r="Y23" s="842"/>
      <c r="Z23" s="842"/>
      <c r="AA23" s="842"/>
      <c r="AB23" s="842"/>
      <c r="AC23" s="842"/>
      <c r="AD23" s="842"/>
      <c r="AE23" s="870"/>
      <c r="AF23" s="871"/>
      <c r="AG23" s="871"/>
      <c r="AH23" s="872"/>
      <c r="AI23" s="842"/>
      <c r="AJ23" s="842"/>
      <c r="AK23" s="842"/>
      <c r="AL23" s="842"/>
      <c r="AM23" s="842"/>
      <c r="AN23" s="842"/>
      <c r="AO23" s="842"/>
      <c r="AP23" s="873"/>
    </row>
    <row r="24" spans="3:54" ht="16.5" customHeight="1" x14ac:dyDescent="0.25">
      <c r="C24" s="809">
        <v>4002</v>
      </c>
      <c r="D24" s="810"/>
      <c r="E24" s="864" t="s">
        <v>323</v>
      </c>
      <c r="F24" s="865"/>
      <c r="G24" s="865"/>
      <c r="H24" s="865"/>
      <c r="I24" s="865"/>
      <c r="J24" s="865"/>
      <c r="K24" s="866"/>
      <c r="L24" s="858"/>
      <c r="M24" s="859"/>
      <c r="N24" s="859"/>
      <c r="O24" s="860"/>
      <c r="P24" s="858"/>
      <c r="Q24" s="859"/>
      <c r="R24" s="860"/>
      <c r="S24" s="858"/>
      <c r="T24" s="859"/>
      <c r="U24" s="859"/>
      <c r="V24" s="860"/>
      <c r="W24" s="755"/>
      <c r="X24" s="755"/>
      <c r="Y24" s="755"/>
      <c r="Z24" s="755"/>
      <c r="AA24" s="755"/>
      <c r="AB24" s="755"/>
      <c r="AC24" s="755"/>
      <c r="AD24" s="755"/>
      <c r="AE24" s="861"/>
      <c r="AF24" s="862"/>
      <c r="AG24" s="862"/>
      <c r="AH24" s="863"/>
      <c r="AI24" s="755"/>
      <c r="AJ24" s="755"/>
      <c r="AK24" s="755"/>
      <c r="AL24" s="755"/>
      <c r="AM24" s="755"/>
      <c r="AN24" s="755"/>
      <c r="AO24" s="755"/>
      <c r="AP24" s="843"/>
    </row>
    <row r="25" spans="3:54" ht="16.5" customHeight="1" x14ac:dyDescent="0.25">
      <c r="C25" s="809">
        <v>4003</v>
      </c>
      <c r="D25" s="810"/>
      <c r="E25" s="864" t="s">
        <v>324</v>
      </c>
      <c r="F25" s="865"/>
      <c r="G25" s="865"/>
      <c r="H25" s="865"/>
      <c r="I25" s="865"/>
      <c r="J25" s="865"/>
      <c r="K25" s="866"/>
      <c r="L25" s="858"/>
      <c r="M25" s="859"/>
      <c r="N25" s="859"/>
      <c r="O25" s="860"/>
      <c r="P25" s="858"/>
      <c r="Q25" s="859"/>
      <c r="R25" s="860"/>
      <c r="S25" s="858"/>
      <c r="T25" s="859"/>
      <c r="U25" s="859"/>
      <c r="V25" s="860"/>
      <c r="W25" s="755"/>
      <c r="X25" s="755"/>
      <c r="Y25" s="755"/>
      <c r="Z25" s="755"/>
      <c r="AA25" s="755"/>
      <c r="AB25" s="755"/>
      <c r="AC25" s="755"/>
      <c r="AD25" s="755"/>
      <c r="AE25" s="861"/>
      <c r="AF25" s="862"/>
      <c r="AG25" s="862"/>
      <c r="AH25" s="863"/>
      <c r="AI25" s="755"/>
      <c r="AJ25" s="755"/>
      <c r="AK25" s="755"/>
      <c r="AL25" s="755"/>
      <c r="AM25" s="755"/>
      <c r="AN25" s="755"/>
      <c r="AO25" s="755"/>
      <c r="AP25" s="843"/>
    </row>
    <row r="26" spans="3:54" ht="16.5" customHeight="1" x14ac:dyDescent="0.25">
      <c r="C26" s="809">
        <v>4004</v>
      </c>
      <c r="D26" s="810"/>
      <c r="E26" s="864" t="s">
        <v>325</v>
      </c>
      <c r="F26" s="865"/>
      <c r="G26" s="865"/>
      <c r="H26" s="865"/>
      <c r="I26" s="865"/>
      <c r="J26" s="865"/>
      <c r="K26" s="866"/>
      <c r="L26" s="858"/>
      <c r="M26" s="859"/>
      <c r="N26" s="859"/>
      <c r="O26" s="860"/>
      <c r="P26" s="867"/>
      <c r="Q26" s="868"/>
      <c r="R26" s="869"/>
      <c r="S26" s="867"/>
      <c r="T26" s="868"/>
      <c r="U26" s="868"/>
      <c r="V26" s="869"/>
      <c r="W26" s="755"/>
      <c r="X26" s="755"/>
      <c r="Y26" s="755"/>
      <c r="Z26" s="755"/>
      <c r="AA26" s="842"/>
      <c r="AB26" s="842"/>
      <c r="AC26" s="842"/>
      <c r="AD26" s="842"/>
      <c r="AE26" s="870"/>
      <c r="AF26" s="871"/>
      <c r="AG26" s="871"/>
      <c r="AH26" s="872"/>
      <c r="AI26" s="842"/>
      <c r="AJ26" s="842"/>
      <c r="AK26" s="842"/>
      <c r="AL26" s="842"/>
      <c r="AM26" s="755"/>
      <c r="AN26" s="755"/>
      <c r="AO26" s="755"/>
      <c r="AP26" s="843"/>
    </row>
    <row r="27" spans="3:54" ht="10.15" customHeight="1" x14ac:dyDescent="0.25">
      <c r="C27" s="809"/>
      <c r="D27" s="810"/>
      <c r="E27" s="874" t="s">
        <v>326</v>
      </c>
      <c r="F27" s="875"/>
      <c r="G27" s="875"/>
      <c r="H27" s="875"/>
      <c r="I27" s="875"/>
      <c r="J27" s="875"/>
      <c r="K27" s="876"/>
      <c r="L27" s="867"/>
      <c r="M27" s="868"/>
      <c r="N27" s="868"/>
      <c r="O27" s="869"/>
      <c r="P27" s="867"/>
      <c r="Q27" s="868"/>
      <c r="R27" s="869"/>
      <c r="S27" s="867"/>
      <c r="T27" s="868"/>
      <c r="U27" s="868"/>
      <c r="V27" s="869"/>
      <c r="W27" s="842"/>
      <c r="X27" s="842"/>
      <c r="Y27" s="842"/>
      <c r="Z27" s="842"/>
      <c r="AA27" s="842"/>
      <c r="AB27" s="842"/>
      <c r="AC27" s="842"/>
      <c r="AD27" s="842"/>
      <c r="AE27" s="870"/>
      <c r="AF27" s="871"/>
      <c r="AG27" s="871"/>
      <c r="AH27" s="872"/>
      <c r="AI27" s="842"/>
      <c r="AJ27" s="842"/>
      <c r="AK27" s="842"/>
      <c r="AL27" s="842"/>
      <c r="AM27" s="842"/>
      <c r="AN27" s="842"/>
      <c r="AO27" s="842"/>
      <c r="AP27" s="873"/>
    </row>
    <row r="28" spans="3:54" ht="21" customHeight="1" x14ac:dyDescent="0.25">
      <c r="C28" s="809">
        <v>4011</v>
      </c>
      <c r="D28" s="810"/>
      <c r="E28" s="864" t="s">
        <v>327</v>
      </c>
      <c r="F28" s="865"/>
      <c r="G28" s="865"/>
      <c r="H28" s="865"/>
      <c r="I28" s="865"/>
      <c r="J28" s="865"/>
      <c r="K28" s="866"/>
      <c r="L28" s="858"/>
      <c r="M28" s="859"/>
      <c r="N28" s="859"/>
      <c r="O28" s="860"/>
      <c r="P28" s="867"/>
      <c r="Q28" s="868"/>
      <c r="R28" s="869"/>
      <c r="S28" s="867"/>
      <c r="T28" s="868"/>
      <c r="U28" s="868"/>
      <c r="V28" s="869"/>
      <c r="W28" s="755"/>
      <c r="X28" s="755"/>
      <c r="Y28" s="755"/>
      <c r="Z28" s="755"/>
      <c r="AA28" s="755"/>
      <c r="AB28" s="755"/>
      <c r="AC28" s="755"/>
      <c r="AD28" s="755"/>
      <c r="AE28" s="861"/>
      <c r="AF28" s="862"/>
      <c r="AG28" s="862"/>
      <c r="AH28" s="863"/>
      <c r="AI28" s="755"/>
      <c r="AJ28" s="755"/>
      <c r="AK28" s="755"/>
      <c r="AL28" s="755"/>
      <c r="AM28" s="755"/>
      <c r="AN28" s="755"/>
      <c r="AO28" s="755"/>
      <c r="AP28" s="843"/>
    </row>
    <row r="29" spans="3:54" ht="16.5" customHeight="1" x14ac:dyDescent="0.25">
      <c r="C29" s="809">
        <v>4012</v>
      </c>
      <c r="D29" s="810"/>
      <c r="E29" s="864" t="s">
        <v>328</v>
      </c>
      <c r="F29" s="865"/>
      <c r="G29" s="865"/>
      <c r="H29" s="865"/>
      <c r="I29" s="865"/>
      <c r="J29" s="865"/>
      <c r="K29" s="866"/>
      <c r="L29" s="858"/>
      <c r="M29" s="859"/>
      <c r="N29" s="859"/>
      <c r="O29" s="860"/>
      <c r="P29" s="867"/>
      <c r="Q29" s="868"/>
      <c r="R29" s="869"/>
      <c r="S29" s="867"/>
      <c r="T29" s="868"/>
      <c r="U29" s="868"/>
      <c r="V29" s="869"/>
      <c r="W29" s="755"/>
      <c r="X29" s="755"/>
      <c r="Y29" s="755"/>
      <c r="Z29" s="755"/>
      <c r="AA29" s="755"/>
      <c r="AB29" s="755"/>
      <c r="AC29" s="755"/>
      <c r="AD29" s="755"/>
      <c r="AE29" s="861"/>
      <c r="AF29" s="862"/>
      <c r="AG29" s="862"/>
      <c r="AH29" s="863"/>
      <c r="AI29" s="755"/>
      <c r="AJ29" s="755"/>
      <c r="AK29" s="755"/>
      <c r="AL29" s="755"/>
      <c r="AM29" s="755"/>
      <c r="AN29" s="755"/>
      <c r="AO29" s="755"/>
      <c r="AP29" s="843"/>
    </row>
    <row r="30" spans="3:54" ht="16.5" customHeight="1" x14ac:dyDescent="0.25">
      <c r="C30" s="809">
        <v>4020</v>
      </c>
      <c r="D30" s="810"/>
      <c r="E30" s="864" t="s">
        <v>329</v>
      </c>
      <c r="F30" s="865"/>
      <c r="G30" s="865"/>
      <c r="H30" s="865"/>
      <c r="I30" s="865"/>
      <c r="J30" s="865"/>
      <c r="K30" s="866"/>
      <c r="L30" s="858"/>
      <c r="M30" s="859"/>
      <c r="N30" s="859"/>
      <c r="O30" s="860"/>
      <c r="P30" s="867"/>
      <c r="Q30" s="868"/>
      <c r="R30" s="869"/>
      <c r="S30" s="867"/>
      <c r="T30" s="868"/>
      <c r="U30" s="868"/>
      <c r="V30" s="869"/>
      <c r="W30" s="755"/>
      <c r="X30" s="755"/>
      <c r="Y30" s="755"/>
      <c r="Z30" s="755"/>
      <c r="AA30" s="842"/>
      <c r="AB30" s="842"/>
      <c r="AC30" s="842"/>
      <c r="AD30" s="842"/>
      <c r="AE30" s="870"/>
      <c r="AF30" s="871"/>
      <c r="AG30" s="871"/>
      <c r="AH30" s="872"/>
      <c r="AI30" s="842"/>
      <c r="AJ30" s="842"/>
      <c r="AK30" s="842"/>
      <c r="AL30" s="842"/>
      <c r="AM30" s="755"/>
      <c r="AN30" s="755"/>
      <c r="AO30" s="755"/>
      <c r="AP30" s="843"/>
    </row>
    <row r="31" spans="3:54" x14ac:dyDescent="0.25">
      <c r="C31" s="825"/>
      <c r="D31" s="826"/>
      <c r="E31" s="855" t="s">
        <v>619</v>
      </c>
      <c r="F31" s="856"/>
      <c r="G31" s="856"/>
      <c r="H31" s="856"/>
      <c r="I31" s="856"/>
      <c r="J31" s="856"/>
      <c r="K31" s="857"/>
      <c r="L31" s="867"/>
      <c r="M31" s="868"/>
      <c r="N31" s="868"/>
      <c r="O31" s="869"/>
      <c r="P31" s="867"/>
      <c r="Q31" s="868"/>
      <c r="R31" s="869"/>
      <c r="S31" s="867"/>
      <c r="T31" s="868"/>
      <c r="U31" s="868"/>
      <c r="V31" s="869"/>
      <c r="W31" s="842"/>
      <c r="X31" s="842"/>
      <c r="Y31" s="842"/>
      <c r="Z31" s="842"/>
      <c r="AA31" s="842"/>
      <c r="AB31" s="842"/>
      <c r="AC31" s="842"/>
      <c r="AD31" s="842"/>
      <c r="AE31" s="870"/>
      <c r="AF31" s="871"/>
      <c r="AG31" s="871"/>
      <c r="AH31" s="872"/>
      <c r="AI31" s="842"/>
      <c r="AJ31" s="842"/>
      <c r="AK31" s="842"/>
      <c r="AL31" s="842"/>
      <c r="AM31" s="842"/>
      <c r="AN31" s="842"/>
      <c r="AO31" s="842"/>
      <c r="AP31" s="873"/>
    </row>
    <row r="32" spans="3:54" ht="16.5" customHeight="1" x14ac:dyDescent="0.25">
      <c r="C32" s="809">
        <v>5001</v>
      </c>
      <c r="D32" s="810"/>
      <c r="E32" s="864" t="s">
        <v>330</v>
      </c>
      <c r="F32" s="865"/>
      <c r="G32" s="865"/>
      <c r="H32" s="865"/>
      <c r="I32" s="865"/>
      <c r="J32" s="865"/>
      <c r="K32" s="866"/>
      <c r="L32" s="858"/>
      <c r="M32" s="859"/>
      <c r="N32" s="859"/>
      <c r="O32" s="860"/>
      <c r="P32" s="867"/>
      <c r="Q32" s="868"/>
      <c r="R32" s="869"/>
      <c r="S32" s="867"/>
      <c r="T32" s="868"/>
      <c r="U32" s="868"/>
      <c r="V32" s="869"/>
      <c r="W32" s="755"/>
      <c r="X32" s="755"/>
      <c r="Y32" s="755"/>
      <c r="Z32" s="755"/>
      <c r="AA32" s="755"/>
      <c r="AB32" s="755"/>
      <c r="AC32" s="755"/>
      <c r="AD32" s="755"/>
      <c r="AE32" s="861"/>
      <c r="AF32" s="862"/>
      <c r="AG32" s="862"/>
      <c r="AH32" s="863"/>
      <c r="AI32" s="755"/>
      <c r="AJ32" s="755"/>
      <c r="AK32" s="755"/>
      <c r="AL32" s="755"/>
      <c r="AM32" s="755"/>
      <c r="AN32" s="755"/>
      <c r="AO32" s="755"/>
      <c r="AP32" s="843"/>
    </row>
    <row r="33" spans="3:42" ht="16.5" customHeight="1" x14ac:dyDescent="0.25">
      <c r="C33" s="809">
        <v>5008</v>
      </c>
      <c r="D33" s="810"/>
      <c r="E33" s="864" t="s">
        <v>331</v>
      </c>
      <c r="F33" s="865"/>
      <c r="G33" s="865"/>
      <c r="H33" s="865"/>
      <c r="I33" s="865"/>
      <c r="J33" s="865"/>
      <c r="K33" s="866"/>
      <c r="L33" s="858"/>
      <c r="M33" s="859"/>
      <c r="N33" s="859"/>
      <c r="O33" s="860"/>
      <c r="P33" s="867"/>
      <c r="Q33" s="868"/>
      <c r="R33" s="869"/>
      <c r="S33" s="867"/>
      <c r="T33" s="868"/>
      <c r="U33" s="868"/>
      <c r="V33" s="869"/>
      <c r="W33" s="755"/>
      <c r="X33" s="755"/>
      <c r="Y33" s="755"/>
      <c r="Z33" s="755"/>
      <c r="AA33" s="755"/>
      <c r="AB33" s="755"/>
      <c r="AC33" s="755"/>
      <c r="AD33" s="755"/>
      <c r="AE33" s="861"/>
      <c r="AF33" s="862"/>
      <c r="AG33" s="862"/>
      <c r="AH33" s="863"/>
      <c r="AI33" s="755"/>
      <c r="AJ33" s="755"/>
      <c r="AK33" s="755"/>
      <c r="AL33" s="755"/>
      <c r="AM33" s="755"/>
      <c r="AN33" s="755"/>
      <c r="AO33" s="755"/>
      <c r="AP33" s="843"/>
    </row>
    <row r="34" spans="3:42" ht="21" customHeight="1" x14ac:dyDescent="0.25">
      <c r="C34" s="809">
        <v>5009</v>
      </c>
      <c r="D34" s="810"/>
      <c r="E34" s="864" t="s">
        <v>620</v>
      </c>
      <c r="F34" s="865"/>
      <c r="G34" s="865"/>
      <c r="H34" s="865"/>
      <c r="I34" s="865"/>
      <c r="J34" s="865"/>
      <c r="K34" s="866"/>
      <c r="L34" s="858"/>
      <c r="M34" s="859"/>
      <c r="N34" s="859"/>
      <c r="O34" s="860"/>
      <c r="P34" s="867"/>
      <c r="Q34" s="868"/>
      <c r="R34" s="869"/>
      <c r="S34" s="867"/>
      <c r="T34" s="868"/>
      <c r="U34" s="868"/>
      <c r="V34" s="869"/>
      <c r="W34" s="755"/>
      <c r="X34" s="755"/>
      <c r="Y34" s="755"/>
      <c r="Z34" s="755"/>
      <c r="AA34" s="755"/>
      <c r="AB34" s="755"/>
      <c r="AC34" s="755"/>
      <c r="AD34" s="755"/>
      <c r="AE34" s="861"/>
      <c r="AF34" s="862"/>
      <c r="AG34" s="862"/>
      <c r="AH34" s="863"/>
      <c r="AI34" s="755"/>
      <c r="AJ34" s="755"/>
      <c r="AK34" s="755"/>
      <c r="AL34" s="755"/>
      <c r="AM34" s="755"/>
      <c r="AN34" s="755"/>
      <c r="AO34" s="755"/>
      <c r="AP34" s="843"/>
    </row>
    <row r="35" spans="3:42" ht="27.6" customHeight="1" x14ac:dyDescent="0.25">
      <c r="C35" s="809">
        <v>5020</v>
      </c>
      <c r="D35" s="810"/>
      <c r="E35" s="864" t="s">
        <v>332</v>
      </c>
      <c r="F35" s="865"/>
      <c r="G35" s="865"/>
      <c r="H35" s="865"/>
      <c r="I35" s="865"/>
      <c r="J35" s="865"/>
      <c r="K35" s="866"/>
      <c r="L35" s="858"/>
      <c r="M35" s="859"/>
      <c r="N35" s="859"/>
      <c r="O35" s="860"/>
      <c r="P35" s="867"/>
      <c r="Q35" s="868"/>
      <c r="R35" s="869"/>
      <c r="S35" s="867"/>
      <c r="T35" s="868"/>
      <c r="U35" s="868"/>
      <c r="V35" s="869"/>
      <c r="W35" s="755"/>
      <c r="X35" s="755"/>
      <c r="Y35" s="755"/>
      <c r="Z35" s="755"/>
      <c r="AA35" s="842"/>
      <c r="AB35" s="842"/>
      <c r="AC35" s="842"/>
      <c r="AD35" s="842"/>
      <c r="AE35" s="870"/>
      <c r="AF35" s="871"/>
      <c r="AG35" s="871"/>
      <c r="AH35" s="872"/>
      <c r="AI35" s="842"/>
      <c r="AJ35" s="842"/>
      <c r="AK35" s="842"/>
      <c r="AL35" s="842"/>
      <c r="AM35" s="755"/>
      <c r="AN35" s="755"/>
      <c r="AO35" s="755"/>
      <c r="AP35" s="843"/>
    </row>
    <row r="36" spans="3:42" ht="16.5" customHeight="1" x14ac:dyDescent="0.25">
      <c r="C36" s="809">
        <v>4300</v>
      </c>
      <c r="D36" s="810"/>
      <c r="E36" s="864" t="s">
        <v>333</v>
      </c>
      <c r="F36" s="865"/>
      <c r="G36" s="865"/>
      <c r="H36" s="865"/>
      <c r="I36" s="865"/>
      <c r="J36" s="865"/>
      <c r="K36" s="866"/>
      <c r="L36" s="858"/>
      <c r="M36" s="859"/>
      <c r="N36" s="859"/>
      <c r="O36" s="860"/>
      <c r="P36" s="867"/>
      <c r="Q36" s="868"/>
      <c r="R36" s="869"/>
      <c r="S36" s="867"/>
      <c r="T36" s="868"/>
      <c r="U36" s="868"/>
      <c r="V36" s="869"/>
      <c r="W36" s="755"/>
      <c r="X36" s="755"/>
      <c r="Y36" s="755"/>
      <c r="Z36" s="755"/>
      <c r="AA36" s="842"/>
      <c r="AB36" s="842"/>
      <c r="AC36" s="842"/>
      <c r="AD36" s="842"/>
      <c r="AE36" s="870"/>
      <c r="AF36" s="871"/>
      <c r="AG36" s="871"/>
      <c r="AH36" s="872"/>
      <c r="AI36" s="842"/>
      <c r="AJ36" s="842"/>
      <c r="AK36" s="842"/>
      <c r="AL36" s="842"/>
      <c r="AM36" s="755"/>
      <c r="AN36" s="755"/>
      <c r="AO36" s="755"/>
      <c r="AP36" s="843"/>
    </row>
    <row r="37" spans="3:42" x14ac:dyDescent="0.25">
      <c r="C37" s="825"/>
      <c r="D37" s="826"/>
      <c r="E37" s="855" t="s">
        <v>334</v>
      </c>
      <c r="F37" s="856"/>
      <c r="G37" s="856"/>
      <c r="H37" s="856"/>
      <c r="I37" s="856"/>
      <c r="J37" s="856"/>
      <c r="K37" s="857"/>
      <c r="L37" s="867"/>
      <c r="M37" s="868"/>
      <c r="N37" s="868"/>
      <c r="O37" s="869"/>
      <c r="P37" s="867"/>
      <c r="Q37" s="868"/>
      <c r="R37" s="869"/>
      <c r="S37" s="867"/>
      <c r="T37" s="868"/>
      <c r="U37" s="868"/>
      <c r="V37" s="869"/>
      <c r="W37" s="842"/>
      <c r="X37" s="842"/>
      <c r="Y37" s="842"/>
      <c r="Z37" s="842"/>
      <c r="AA37" s="842"/>
      <c r="AB37" s="842"/>
      <c r="AC37" s="842"/>
      <c r="AD37" s="842"/>
      <c r="AE37" s="870"/>
      <c r="AF37" s="871"/>
      <c r="AG37" s="871"/>
      <c r="AH37" s="872"/>
      <c r="AI37" s="842"/>
      <c r="AJ37" s="842"/>
      <c r="AK37" s="842"/>
      <c r="AL37" s="842"/>
      <c r="AM37" s="842"/>
      <c r="AN37" s="842"/>
      <c r="AO37" s="842"/>
      <c r="AP37" s="873"/>
    </row>
    <row r="38" spans="3:42" ht="27.6" customHeight="1" x14ac:dyDescent="0.25">
      <c r="C38" s="809">
        <v>5311</v>
      </c>
      <c r="D38" s="810"/>
      <c r="E38" s="864" t="s">
        <v>335</v>
      </c>
      <c r="F38" s="865"/>
      <c r="G38" s="865"/>
      <c r="H38" s="865"/>
      <c r="I38" s="865"/>
      <c r="J38" s="865"/>
      <c r="K38" s="866"/>
      <c r="L38" s="858"/>
      <c r="M38" s="859"/>
      <c r="N38" s="859"/>
      <c r="O38" s="860"/>
      <c r="P38" s="867"/>
      <c r="Q38" s="868"/>
      <c r="R38" s="869"/>
      <c r="S38" s="867"/>
      <c r="T38" s="868"/>
      <c r="U38" s="868"/>
      <c r="V38" s="869"/>
      <c r="W38" s="755"/>
      <c r="X38" s="755"/>
      <c r="Y38" s="755"/>
      <c r="Z38" s="755"/>
      <c r="AA38" s="755"/>
      <c r="AB38" s="755"/>
      <c r="AC38" s="755"/>
      <c r="AD38" s="755"/>
      <c r="AE38" s="861"/>
      <c r="AF38" s="862"/>
      <c r="AG38" s="862"/>
      <c r="AH38" s="863"/>
      <c r="AI38" s="755"/>
      <c r="AJ38" s="755"/>
      <c r="AK38" s="755"/>
      <c r="AL38" s="755"/>
      <c r="AM38" s="755"/>
      <c r="AN38" s="755"/>
      <c r="AO38" s="755"/>
      <c r="AP38" s="843"/>
    </row>
    <row r="39" spans="3:42" ht="16.5" customHeight="1" x14ac:dyDescent="0.25">
      <c r="C39" s="809">
        <v>5313</v>
      </c>
      <c r="D39" s="810"/>
      <c r="E39" s="864" t="s">
        <v>336</v>
      </c>
      <c r="F39" s="865"/>
      <c r="G39" s="865"/>
      <c r="H39" s="865"/>
      <c r="I39" s="865"/>
      <c r="J39" s="865"/>
      <c r="K39" s="866"/>
      <c r="L39" s="858"/>
      <c r="M39" s="859"/>
      <c r="N39" s="859"/>
      <c r="O39" s="860"/>
      <c r="P39" s="867"/>
      <c r="Q39" s="868"/>
      <c r="R39" s="869"/>
      <c r="S39" s="867"/>
      <c r="T39" s="868"/>
      <c r="U39" s="868"/>
      <c r="V39" s="869"/>
      <c r="W39" s="755"/>
      <c r="X39" s="755"/>
      <c r="Y39" s="755"/>
      <c r="Z39" s="755"/>
      <c r="AA39" s="755"/>
      <c r="AB39" s="755"/>
      <c r="AC39" s="755"/>
      <c r="AD39" s="755"/>
      <c r="AE39" s="861"/>
      <c r="AF39" s="862"/>
      <c r="AG39" s="862"/>
      <c r="AH39" s="863"/>
      <c r="AI39" s="755"/>
      <c r="AJ39" s="755"/>
      <c r="AK39" s="755"/>
      <c r="AL39" s="755"/>
      <c r="AM39" s="755"/>
      <c r="AN39" s="755"/>
      <c r="AO39" s="755"/>
      <c r="AP39" s="843"/>
    </row>
    <row r="40" spans="3:42" ht="28.5" customHeight="1" x14ac:dyDescent="0.25">
      <c r="C40" s="809">
        <v>5314</v>
      </c>
      <c r="D40" s="810"/>
      <c r="E40" s="864" t="s">
        <v>337</v>
      </c>
      <c r="F40" s="865"/>
      <c r="G40" s="865"/>
      <c r="H40" s="865"/>
      <c r="I40" s="865"/>
      <c r="J40" s="865"/>
      <c r="K40" s="866"/>
      <c r="L40" s="858"/>
      <c r="M40" s="859"/>
      <c r="N40" s="859"/>
      <c r="O40" s="860"/>
      <c r="P40" s="867"/>
      <c r="Q40" s="868"/>
      <c r="R40" s="869"/>
      <c r="S40" s="867"/>
      <c r="T40" s="868"/>
      <c r="U40" s="868"/>
      <c r="V40" s="869"/>
      <c r="W40" s="755"/>
      <c r="X40" s="755"/>
      <c r="Y40" s="755"/>
      <c r="Z40" s="755"/>
      <c r="AA40" s="755"/>
      <c r="AB40" s="755"/>
      <c r="AC40" s="755"/>
      <c r="AD40" s="755"/>
      <c r="AE40" s="861"/>
      <c r="AF40" s="862"/>
      <c r="AG40" s="862"/>
      <c r="AH40" s="863"/>
      <c r="AI40" s="755"/>
      <c r="AJ40" s="755"/>
      <c r="AK40" s="755"/>
      <c r="AL40" s="755"/>
      <c r="AM40" s="755"/>
      <c r="AN40" s="755"/>
      <c r="AO40" s="755"/>
      <c r="AP40" s="843"/>
    </row>
    <row r="41" spans="3:42" ht="16.5" customHeight="1" x14ac:dyDescent="0.25">
      <c r="C41" s="809">
        <v>5315</v>
      </c>
      <c r="D41" s="810"/>
      <c r="E41" s="864" t="s">
        <v>338</v>
      </c>
      <c r="F41" s="865"/>
      <c r="G41" s="865"/>
      <c r="H41" s="865"/>
      <c r="I41" s="865"/>
      <c r="J41" s="865"/>
      <c r="K41" s="866"/>
      <c r="L41" s="858"/>
      <c r="M41" s="859"/>
      <c r="N41" s="859"/>
      <c r="O41" s="860"/>
      <c r="P41" s="867"/>
      <c r="Q41" s="868"/>
      <c r="R41" s="869"/>
      <c r="S41" s="867"/>
      <c r="T41" s="868"/>
      <c r="U41" s="868"/>
      <c r="V41" s="869"/>
      <c r="W41" s="755"/>
      <c r="X41" s="755"/>
      <c r="Y41" s="755"/>
      <c r="Z41" s="755"/>
      <c r="AA41" s="755"/>
      <c r="AB41" s="755"/>
      <c r="AC41" s="755"/>
      <c r="AD41" s="755"/>
      <c r="AE41" s="861"/>
      <c r="AF41" s="862"/>
      <c r="AG41" s="862"/>
      <c r="AH41" s="863"/>
      <c r="AI41" s="755"/>
      <c r="AJ41" s="755"/>
      <c r="AK41" s="755"/>
      <c r="AL41" s="755"/>
      <c r="AM41" s="755"/>
      <c r="AN41" s="755"/>
      <c r="AO41" s="755"/>
      <c r="AP41" s="843"/>
    </row>
    <row r="42" spans="3:42" ht="16.5" customHeight="1" x14ac:dyDescent="0.25">
      <c r="C42" s="809">
        <v>5316</v>
      </c>
      <c r="D42" s="810"/>
      <c r="E42" s="864" t="s">
        <v>339</v>
      </c>
      <c r="F42" s="865"/>
      <c r="G42" s="865"/>
      <c r="H42" s="865"/>
      <c r="I42" s="865"/>
      <c r="J42" s="865"/>
      <c r="K42" s="866"/>
      <c r="L42" s="858"/>
      <c r="M42" s="859"/>
      <c r="N42" s="859"/>
      <c r="O42" s="860"/>
      <c r="P42" s="867"/>
      <c r="Q42" s="868"/>
      <c r="R42" s="869"/>
      <c r="S42" s="867"/>
      <c r="T42" s="868"/>
      <c r="U42" s="868"/>
      <c r="V42" s="869"/>
      <c r="W42" s="755"/>
      <c r="X42" s="755"/>
      <c r="Y42" s="755"/>
      <c r="Z42" s="755"/>
      <c r="AA42" s="755"/>
      <c r="AB42" s="755"/>
      <c r="AC42" s="755"/>
      <c r="AD42" s="755"/>
      <c r="AE42" s="861"/>
      <c r="AF42" s="862"/>
      <c r="AG42" s="862"/>
      <c r="AH42" s="863"/>
      <c r="AI42" s="755"/>
      <c r="AJ42" s="755"/>
      <c r="AK42" s="755"/>
      <c r="AL42" s="755"/>
      <c r="AM42" s="755"/>
      <c r="AN42" s="755"/>
      <c r="AO42" s="755"/>
      <c r="AP42" s="843"/>
    </row>
    <row r="43" spans="3:42" ht="29.65" customHeight="1" x14ac:dyDescent="0.25">
      <c r="C43" s="809">
        <v>5317</v>
      </c>
      <c r="D43" s="810"/>
      <c r="E43" s="864" t="s">
        <v>340</v>
      </c>
      <c r="F43" s="865"/>
      <c r="G43" s="865"/>
      <c r="H43" s="865"/>
      <c r="I43" s="865"/>
      <c r="J43" s="865"/>
      <c r="K43" s="866"/>
      <c r="L43" s="858"/>
      <c r="M43" s="859"/>
      <c r="N43" s="859"/>
      <c r="O43" s="860"/>
      <c r="P43" s="867"/>
      <c r="Q43" s="868"/>
      <c r="R43" s="869"/>
      <c r="S43" s="867"/>
      <c r="T43" s="868"/>
      <c r="U43" s="868"/>
      <c r="V43" s="869"/>
      <c r="W43" s="755"/>
      <c r="X43" s="755"/>
      <c r="Y43" s="755"/>
      <c r="Z43" s="755"/>
      <c r="AA43" s="755"/>
      <c r="AB43" s="755"/>
      <c r="AC43" s="755"/>
      <c r="AD43" s="755"/>
      <c r="AE43" s="861"/>
      <c r="AF43" s="862"/>
      <c r="AG43" s="862"/>
      <c r="AH43" s="863"/>
      <c r="AI43" s="755"/>
      <c r="AJ43" s="755"/>
      <c r="AK43" s="755"/>
      <c r="AL43" s="755"/>
      <c r="AM43" s="755"/>
      <c r="AN43" s="755"/>
      <c r="AO43" s="755"/>
      <c r="AP43" s="843"/>
    </row>
    <row r="44" spans="3:42" ht="16.5" customHeight="1" x14ac:dyDescent="0.25">
      <c r="C44" s="809">
        <v>5318</v>
      </c>
      <c r="D44" s="810"/>
      <c r="E44" s="864" t="s">
        <v>341</v>
      </c>
      <c r="F44" s="865"/>
      <c r="G44" s="865"/>
      <c r="H44" s="865"/>
      <c r="I44" s="865"/>
      <c r="J44" s="865"/>
      <c r="K44" s="866"/>
      <c r="L44" s="858"/>
      <c r="M44" s="859"/>
      <c r="N44" s="859"/>
      <c r="O44" s="860"/>
      <c r="P44" s="867"/>
      <c r="Q44" s="868"/>
      <c r="R44" s="869"/>
      <c r="S44" s="867"/>
      <c r="T44" s="868"/>
      <c r="U44" s="868"/>
      <c r="V44" s="869"/>
      <c r="W44" s="755"/>
      <c r="X44" s="755"/>
      <c r="Y44" s="755"/>
      <c r="Z44" s="755"/>
      <c r="AA44" s="755"/>
      <c r="AB44" s="755"/>
      <c r="AC44" s="755"/>
      <c r="AD44" s="755"/>
      <c r="AE44" s="861"/>
      <c r="AF44" s="862"/>
      <c r="AG44" s="862"/>
      <c r="AH44" s="863"/>
      <c r="AI44" s="755"/>
      <c r="AJ44" s="755"/>
      <c r="AK44" s="755"/>
      <c r="AL44" s="755"/>
      <c r="AM44" s="755"/>
      <c r="AN44" s="755"/>
      <c r="AO44" s="755"/>
      <c r="AP44" s="843"/>
    </row>
    <row r="45" spans="3:42" ht="16.5" customHeight="1" x14ac:dyDescent="0.25">
      <c r="C45" s="809">
        <v>5320</v>
      </c>
      <c r="D45" s="810"/>
      <c r="E45" s="864" t="s">
        <v>342</v>
      </c>
      <c r="F45" s="865"/>
      <c r="G45" s="865"/>
      <c r="H45" s="865"/>
      <c r="I45" s="865"/>
      <c r="J45" s="865"/>
      <c r="K45" s="866"/>
      <c r="L45" s="858"/>
      <c r="M45" s="859"/>
      <c r="N45" s="859"/>
      <c r="O45" s="860"/>
      <c r="P45" s="867"/>
      <c r="Q45" s="868"/>
      <c r="R45" s="869"/>
      <c r="S45" s="867"/>
      <c r="T45" s="868"/>
      <c r="U45" s="868"/>
      <c r="V45" s="869"/>
      <c r="W45" s="755"/>
      <c r="X45" s="755"/>
      <c r="Y45" s="755"/>
      <c r="Z45" s="755"/>
      <c r="AA45" s="755"/>
      <c r="AB45" s="755"/>
      <c r="AC45" s="755"/>
      <c r="AD45" s="755"/>
      <c r="AE45" s="861"/>
      <c r="AF45" s="862"/>
      <c r="AG45" s="862"/>
      <c r="AH45" s="863"/>
      <c r="AI45" s="755"/>
      <c r="AJ45" s="755"/>
      <c r="AK45" s="755"/>
      <c r="AL45" s="755"/>
      <c r="AM45" s="755"/>
      <c r="AN45" s="755"/>
      <c r="AO45" s="755"/>
      <c r="AP45" s="843"/>
    </row>
    <row r="46" spans="3:42" ht="16.5" customHeight="1" x14ac:dyDescent="0.25">
      <c r="C46" s="809">
        <v>5321</v>
      </c>
      <c r="D46" s="810"/>
      <c r="E46" s="864" t="s">
        <v>621</v>
      </c>
      <c r="F46" s="865"/>
      <c r="G46" s="865"/>
      <c r="H46" s="865"/>
      <c r="I46" s="865"/>
      <c r="J46" s="865"/>
      <c r="K46" s="866"/>
      <c r="L46" s="858"/>
      <c r="M46" s="859"/>
      <c r="N46" s="859"/>
      <c r="O46" s="860"/>
      <c r="P46" s="867"/>
      <c r="Q46" s="868"/>
      <c r="R46" s="869"/>
      <c r="S46" s="867"/>
      <c r="T46" s="868"/>
      <c r="U46" s="868"/>
      <c r="V46" s="869"/>
      <c r="W46" s="755"/>
      <c r="X46" s="755"/>
      <c r="Y46" s="755"/>
      <c r="Z46" s="755"/>
      <c r="AA46" s="755"/>
      <c r="AB46" s="755"/>
      <c r="AC46" s="755"/>
      <c r="AD46" s="755"/>
      <c r="AE46" s="861"/>
      <c r="AF46" s="862"/>
      <c r="AG46" s="862"/>
      <c r="AH46" s="863"/>
      <c r="AI46" s="755"/>
      <c r="AJ46" s="755"/>
      <c r="AK46" s="755"/>
      <c r="AL46" s="755"/>
      <c r="AM46" s="755"/>
      <c r="AN46" s="755"/>
      <c r="AO46" s="755"/>
      <c r="AP46" s="843"/>
    </row>
    <row r="47" spans="3:42" ht="16.5" customHeight="1" x14ac:dyDescent="0.25">
      <c r="C47" s="809">
        <v>5322</v>
      </c>
      <c r="D47" s="810"/>
      <c r="E47" s="864" t="s">
        <v>343</v>
      </c>
      <c r="F47" s="865"/>
      <c r="G47" s="865"/>
      <c r="H47" s="865"/>
      <c r="I47" s="865"/>
      <c r="J47" s="865"/>
      <c r="K47" s="866"/>
      <c r="L47" s="858"/>
      <c r="M47" s="859"/>
      <c r="N47" s="859"/>
      <c r="O47" s="860"/>
      <c r="P47" s="867"/>
      <c r="Q47" s="868"/>
      <c r="R47" s="869"/>
      <c r="S47" s="867"/>
      <c r="T47" s="868"/>
      <c r="U47" s="868"/>
      <c r="V47" s="869"/>
      <c r="W47" s="755"/>
      <c r="X47" s="755"/>
      <c r="Y47" s="755"/>
      <c r="Z47" s="755"/>
      <c r="AA47" s="755"/>
      <c r="AB47" s="755"/>
      <c r="AC47" s="755"/>
      <c r="AD47" s="755"/>
      <c r="AE47" s="861"/>
      <c r="AF47" s="862"/>
      <c r="AG47" s="862"/>
      <c r="AH47" s="863"/>
      <c r="AI47" s="755"/>
      <c r="AJ47" s="755"/>
      <c r="AK47" s="755"/>
      <c r="AL47" s="755"/>
      <c r="AM47" s="755"/>
      <c r="AN47" s="755"/>
      <c r="AO47" s="755"/>
      <c r="AP47" s="843"/>
    </row>
    <row r="48" spans="3:42" ht="16.5" customHeight="1" x14ac:dyDescent="0.25">
      <c r="C48" s="809">
        <v>5399</v>
      </c>
      <c r="D48" s="810"/>
      <c r="E48" s="864" t="s">
        <v>344</v>
      </c>
      <c r="F48" s="865"/>
      <c r="G48" s="865"/>
      <c r="H48" s="865"/>
      <c r="I48" s="865"/>
      <c r="J48" s="865"/>
      <c r="K48" s="866"/>
      <c r="L48" s="858"/>
      <c r="M48" s="859"/>
      <c r="N48" s="859"/>
      <c r="O48" s="860"/>
      <c r="P48" s="867"/>
      <c r="Q48" s="868"/>
      <c r="R48" s="869"/>
      <c r="S48" s="867"/>
      <c r="T48" s="868"/>
      <c r="U48" s="868"/>
      <c r="V48" s="869"/>
      <c r="W48" s="755"/>
      <c r="X48" s="755"/>
      <c r="Y48" s="755"/>
      <c r="Z48" s="755"/>
      <c r="AA48" s="755"/>
      <c r="AB48" s="755"/>
      <c r="AC48" s="755"/>
      <c r="AD48" s="755"/>
      <c r="AE48" s="861"/>
      <c r="AF48" s="862"/>
      <c r="AG48" s="862"/>
      <c r="AH48" s="863"/>
      <c r="AI48" s="755"/>
      <c r="AJ48" s="755"/>
      <c r="AK48" s="755"/>
      <c r="AL48" s="755"/>
      <c r="AM48" s="755"/>
      <c r="AN48" s="755"/>
      <c r="AO48" s="755"/>
      <c r="AP48" s="843"/>
    </row>
    <row r="49" spans="3:44" ht="16.5" customHeight="1" x14ac:dyDescent="0.25">
      <c r="C49" s="809">
        <v>5400</v>
      </c>
      <c r="D49" s="810"/>
      <c r="E49" s="864" t="s">
        <v>345</v>
      </c>
      <c r="F49" s="865"/>
      <c r="G49" s="865"/>
      <c r="H49" s="865"/>
      <c r="I49" s="865"/>
      <c r="J49" s="865"/>
      <c r="K49" s="866"/>
      <c r="L49" s="858"/>
      <c r="M49" s="859"/>
      <c r="N49" s="859"/>
      <c r="O49" s="860"/>
      <c r="P49" s="867"/>
      <c r="Q49" s="868"/>
      <c r="R49" s="869"/>
      <c r="S49" s="867"/>
      <c r="T49" s="868"/>
      <c r="U49" s="868"/>
      <c r="V49" s="869"/>
      <c r="W49" s="755"/>
      <c r="X49" s="755"/>
      <c r="Y49" s="755"/>
      <c r="Z49" s="755"/>
      <c r="AA49" s="842"/>
      <c r="AB49" s="842"/>
      <c r="AC49" s="842"/>
      <c r="AD49" s="842"/>
      <c r="AE49" s="870"/>
      <c r="AF49" s="871"/>
      <c r="AG49" s="871"/>
      <c r="AH49" s="872"/>
      <c r="AI49" s="842"/>
      <c r="AJ49" s="842"/>
      <c r="AK49" s="842"/>
      <c r="AL49" s="842"/>
      <c r="AM49" s="755"/>
      <c r="AN49" s="755"/>
      <c r="AO49" s="755"/>
      <c r="AP49" s="843"/>
    </row>
    <row r="50" spans="3:44" ht="16.5" customHeight="1" x14ac:dyDescent="0.25">
      <c r="C50" s="853">
        <v>4800</v>
      </c>
      <c r="D50" s="854"/>
      <c r="E50" s="855" t="s">
        <v>346</v>
      </c>
      <c r="F50" s="856"/>
      <c r="G50" s="856"/>
      <c r="H50" s="856"/>
      <c r="I50" s="856"/>
      <c r="J50" s="856"/>
      <c r="K50" s="857"/>
      <c r="L50" s="858"/>
      <c r="M50" s="859"/>
      <c r="N50" s="859"/>
      <c r="O50" s="860"/>
      <c r="P50" s="858"/>
      <c r="Q50" s="859"/>
      <c r="R50" s="860"/>
      <c r="S50" s="858"/>
      <c r="T50" s="859"/>
      <c r="U50" s="859"/>
      <c r="V50" s="860"/>
      <c r="W50" s="755"/>
      <c r="X50" s="755"/>
      <c r="Y50" s="755"/>
      <c r="Z50" s="755"/>
      <c r="AA50" s="755"/>
      <c r="AB50" s="755"/>
      <c r="AC50" s="755"/>
      <c r="AD50" s="755"/>
      <c r="AE50" s="861"/>
      <c r="AF50" s="862"/>
      <c r="AG50" s="862"/>
      <c r="AH50" s="863"/>
      <c r="AI50" s="842"/>
      <c r="AJ50" s="842"/>
      <c r="AK50" s="842"/>
      <c r="AL50" s="842"/>
      <c r="AM50" s="755"/>
      <c r="AN50" s="755"/>
      <c r="AO50" s="755"/>
      <c r="AP50" s="843"/>
    </row>
    <row r="51" spans="3:44" x14ac:dyDescent="0.25">
      <c r="C51" s="155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246" t="s">
        <v>622</v>
      </c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57"/>
    </row>
    <row r="52" spans="3:44" ht="2.1" customHeight="1" x14ac:dyDescent="0.25">
      <c r="C52" s="39"/>
      <c r="D52" s="153"/>
      <c r="E52" s="153"/>
      <c r="F52" s="153"/>
      <c r="G52" s="153"/>
      <c r="H52" s="153"/>
      <c r="I52" s="153"/>
      <c r="J52" s="153"/>
      <c r="K52" s="153"/>
      <c r="L52" s="153"/>
      <c r="M52" s="153"/>
      <c r="N52" s="153"/>
      <c r="O52" s="153"/>
      <c r="P52" s="153"/>
      <c r="Q52" s="153"/>
      <c r="R52" s="153"/>
      <c r="S52" s="153"/>
      <c r="T52" s="153"/>
      <c r="U52" s="153"/>
      <c r="V52" s="115"/>
      <c r="W52" s="115"/>
      <c r="X52" s="115"/>
      <c r="Y52" s="115"/>
      <c r="Z52" s="115"/>
      <c r="AA52" s="115"/>
      <c r="AB52" s="115"/>
      <c r="AC52" s="115"/>
      <c r="AD52" s="115"/>
      <c r="AE52" s="115"/>
      <c r="AF52" s="115"/>
      <c r="AG52" s="115"/>
      <c r="AH52" s="115"/>
      <c r="AI52" s="115"/>
      <c r="AJ52" s="115"/>
      <c r="AK52" s="115"/>
      <c r="AL52" s="115"/>
      <c r="AM52" s="115"/>
      <c r="AN52" s="115"/>
      <c r="AO52" s="115"/>
      <c r="AP52" s="177"/>
      <c r="AQ52" s="115"/>
      <c r="AR52" s="115"/>
    </row>
    <row r="53" spans="3:44" ht="15.75" x14ac:dyDescent="0.25">
      <c r="C53" s="326" t="s">
        <v>348</v>
      </c>
      <c r="D53" s="279" t="s">
        <v>349</v>
      </c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178"/>
    </row>
    <row r="54" spans="3:44" ht="3" customHeight="1" x14ac:dyDescent="0.25">
      <c r="C54" s="240"/>
      <c r="D54" s="232"/>
      <c r="E54" s="232"/>
      <c r="F54" s="232"/>
      <c r="G54" s="232"/>
      <c r="H54" s="232"/>
      <c r="I54" s="232"/>
      <c r="J54" s="232"/>
      <c r="K54" s="232"/>
      <c r="L54" s="232"/>
      <c r="M54" s="232"/>
      <c r="N54" s="232"/>
      <c r="O54" s="232"/>
      <c r="P54" s="232"/>
      <c r="Q54" s="232"/>
      <c r="R54" s="232"/>
      <c r="S54" s="232"/>
      <c r="T54" s="232"/>
      <c r="U54" s="232"/>
      <c r="V54" s="54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179"/>
      <c r="AQ54" s="115"/>
      <c r="AR54" s="115"/>
    </row>
    <row r="55" spans="3:44" ht="14.65" customHeight="1" x14ac:dyDescent="0.25">
      <c r="C55" s="844" t="s">
        <v>310</v>
      </c>
      <c r="D55" s="845"/>
      <c r="E55" s="846" t="s">
        <v>350</v>
      </c>
      <c r="F55" s="847"/>
      <c r="G55" s="847"/>
      <c r="H55" s="847"/>
      <c r="I55" s="847"/>
      <c r="J55" s="847"/>
      <c r="K55" s="847"/>
      <c r="L55" s="847"/>
      <c r="M55" s="847"/>
      <c r="N55" s="847"/>
      <c r="O55" s="847"/>
      <c r="P55" s="847"/>
      <c r="Q55" s="847"/>
      <c r="R55" s="847"/>
      <c r="S55" s="847"/>
      <c r="T55" s="847"/>
      <c r="U55" s="845"/>
      <c r="V55" s="233"/>
      <c r="W55" s="849" t="s">
        <v>310</v>
      </c>
      <c r="X55" s="849"/>
      <c r="Y55" s="849" t="s">
        <v>350</v>
      </c>
      <c r="Z55" s="849"/>
      <c r="AA55" s="849"/>
      <c r="AB55" s="849"/>
      <c r="AC55" s="849"/>
      <c r="AD55" s="849"/>
      <c r="AE55" s="849"/>
      <c r="AF55" s="849"/>
      <c r="AG55" s="849"/>
      <c r="AH55" s="849"/>
      <c r="AI55" s="849"/>
      <c r="AJ55" s="849"/>
      <c r="AK55" s="849"/>
      <c r="AL55" s="849"/>
      <c r="AM55" s="849"/>
      <c r="AN55" s="849"/>
      <c r="AO55" s="849"/>
      <c r="AP55" s="851"/>
    </row>
    <row r="56" spans="3:44" x14ac:dyDescent="0.25">
      <c r="C56" s="560"/>
      <c r="D56" s="776"/>
      <c r="E56" s="848"/>
      <c r="F56" s="561"/>
      <c r="G56" s="561"/>
      <c r="H56" s="561"/>
      <c r="I56" s="561"/>
      <c r="J56" s="561"/>
      <c r="K56" s="561"/>
      <c r="L56" s="561"/>
      <c r="M56" s="561"/>
      <c r="N56" s="561"/>
      <c r="O56" s="561"/>
      <c r="P56" s="561"/>
      <c r="Q56" s="561"/>
      <c r="R56" s="561"/>
      <c r="S56" s="561"/>
      <c r="T56" s="561"/>
      <c r="U56" s="776"/>
      <c r="V56" s="233"/>
      <c r="W56" s="850"/>
      <c r="X56" s="850"/>
      <c r="Y56" s="850"/>
      <c r="Z56" s="850"/>
      <c r="AA56" s="850"/>
      <c r="AB56" s="850"/>
      <c r="AC56" s="850"/>
      <c r="AD56" s="850"/>
      <c r="AE56" s="850"/>
      <c r="AF56" s="850"/>
      <c r="AG56" s="850"/>
      <c r="AH56" s="850"/>
      <c r="AI56" s="850"/>
      <c r="AJ56" s="850"/>
      <c r="AK56" s="850"/>
      <c r="AL56" s="850"/>
      <c r="AM56" s="850"/>
      <c r="AN56" s="850"/>
      <c r="AO56" s="850"/>
      <c r="AP56" s="852"/>
    </row>
    <row r="57" spans="3:44" x14ac:dyDescent="0.25">
      <c r="C57" s="836" t="s">
        <v>213</v>
      </c>
      <c r="D57" s="836"/>
      <c r="E57" s="606" t="s">
        <v>214</v>
      </c>
      <c r="F57" s="606"/>
      <c r="G57" s="606"/>
      <c r="H57" s="606"/>
      <c r="I57" s="606"/>
      <c r="J57" s="606"/>
      <c r="K57" s="606"/>
      <c r="L57" s="606"/>
      <c r="M57" s="606"/>
      <c r="N57" s="606"/>
      <c r="O57" s="606"/>
      <c r="P57" s="606"/>
      <c r="Q57" s="606"/>
      <c r="R57" s="606"/>
      <c r="S57" s="606"/>
      <c r="T57" s="606"/>
      <c r="U57" s="606"/>
      <c r="W57" s="606" t="s">
        <v>213</v>
      </c>
      <c r="X57" s="592"/>
      <c r="Y57" s="606" t="s">
        <v>214</v>
      </c>
      <c r="Z57" s="606"/>
      <c r="AA57" s="606"/>
      <c r="AB57" s="606"/>
      <c r="AC57" s="606"/>
      <c r="AD57" s="606"/>
      <c r="AE57" s="606"/>
      <c r="AF57" s="606"/>
      <c r="AG57" s="606"/>
      <c r="AH57" s="606"/>
      <c r="AI57" s="606"/>
      <c r="AJ57" s="606"/>
      <c r="AK57" s="606"/>
      <c r="AL57" s="606"/>
      <c r="AM57" s="606"/>
      <c r="AN57" s="606"/>
      <c r="AO57" s="606"/>
      <c r="AP57" s="606"/>
    </row>
    <row r="58" spans="3:44" ht="20.100000000000001" customHeight="1" x14ac:dyDescent="0.25">
      <c r="C58" s="837"/>
      <c r="D58" s="837"/>
      <c r="E58" s="234" t="s">
        <v>351</v>
      </c>
      <c r="F58" s="235"/>
      <c r="G58" s="235"/>
      <c r="H58" s="235"/>
      <c r="I58" s="235"/>
      <c r="J58" s="235"/>
      <c r="K58" s="235"/>
      <c r="L58" s="235"/>
      <c r="M58" s="235"/>
      <c r="N58" s="235"/>
      <c r="O58" s="235"/>
      <c r="P58" s="327"/>
      <c r="Q58" s="218"/>
      <c r="R58" s="218"/>
      <c r="S58" s="218"/>
      <c r="T58" s="218"/>
      <c r="U58" s="218"/>
      <c r="V58" s="236"/>
      <c r="W58" s="838"/>
      <c r="X58" s="839"/>
      <c r="Y58" s="838" t="s">
        <v>352</v>
      </c>
      <c r="Z58" s="838"/>
      <c r="AA58" s="838"/>
      <c r="AB58" s="838"/>
      <c r="AC58" s="838"/>
      <c r="AD58" s="838"/>
      <c r="AE58" s="838"/>
      <c r="AF58" s="838"/>
      <c r="AG58" s="838"/>
      <c r="AH58" s="838"/>
      <c r="AI58" s="838"/>
      <c r="AJ58" s="838"/>
      <c r="AK58" s="838"/>
      <c r="AL58" s="838"/>
      <c r="AM58" s="840"/>
      <c r="AN58" s="840"/>
      <c r="AO58" s="840"/>
      <c r="AP58" s="841"/>
    </row>
    <row r="59" spans="3:44" ht="16.5" customHeight="1" x14ac:dyDescent="0.25">
      <c r="C59" s="809">
        <v>1101</v>
      </c>
      <c r="D59" s="810"/>
      <c r="E59" s="833" t="s">
        <v>192</v>
      </c>
      <c r="F59" s="834"/>
      <c r="G59" s="834"/>
      <c r="H59" s="834"/>
      <c r="I59" s="834"/>
      <c r="J59" s="834"/>
      <c r="K59" s="834"/>
      <c r="L59" s="834"/>
      <c r="M59" s="834"/>
      <c r="N59" s="834"/>
      <c r="O59" s="834"/>
      <c r="P59" s="835"/>
      <c r="Q59" s="814"/>
      <c r="R59" s="815"/>
      <c r="S59" s="815"/>
      <c r="T59" s="815"/>
      <c r="U59" s="816"/>
      <c r="W59" s="753">
        <v>2102</v>
      </c>
      <c r="X59" s="753"/>
      <c r="Y59" s="819" t="s">
        <v>373</v>
      </c>
      <c r="Z59" s="819"/>
      <c r="AA59" s="819"/>
      <c r="AB59" s="819"/>
      <c r="AC59" s="819"/>
      <c r="AD59" s="819"/>
      <c r="AE59" s="819"/>
      <c r="AF59" s="819"/>
      <c r="AG59" s="819"/>
      <c r="AH59" s="819"/>
      <c r="AI59" s="819"/>
      <c r="AJ59" s="819"/>
      <c r="AK59" s="819"/>
      <c r="AL59" s="819"/>
      <c r="AM59" s="754"/>
      <c r="AN59" s="754"/>
      <c r="AO59" s="754"/>
      <c r="AP59" s="818"/>
    </row>
    <row r="60" spans="3:44" ht="16.5" customHeight="1" x14ac:dyDescent="0.25">
      <c r="C60" s="809">
        <v>1200</v>
      </c>
      <c r="D60" s="810"/>
      <c r="E60" s="814" t="s">
        <v>354</v>
      </c>
      <c r="F60" s="815"/>
      <c r="G60" s="815"/>
      <c r="H60" s="815"/>
      <c r="I60" s="815"/>
      <c r="J60" s="815"/>
      <c r="K60" s="815"/>
      <c r="L60" s="815"/>
      <c r="M60" s="815"/>
      <c r="N60" s="815"/>
      <c r="O60" s="815"/>
      <c r="P60" s="816"/>
      <c r="Q60" s="814"/>
      <c r="R60" s="815"/>
      <c r="S60" s="815"/>
      <c r="T60" s="815"/>
      <c r="U60" s="816"/>
      <c r="W60" s="753">
        <v>2103</v>
      </c>
      <c r="X60" s="753"/>
      <c r="Y60" s="819" t="s">
        <v>374</v>
      </c>
      <c r="Z60" s="819"/>
      <c r="AA60" s="819"/>
      <c r="AB60" s="819"/>
      <c r="AC60" s="819"/>
      <c r="AD60" s="819"/>
      <c r="AE60" s="819"/>
      <c r="AF60" s="819"/>
      <c r="AG60" s="819"/>
      <c r="AH60" s="819"/>
      <c r="AI60" s="819"/>
      <c r="AJ60" s="819"/>
      <c r="AK60" s="819"/>
      <c r="AL60" s="819"/>
      <c r="AM60" s="754"/>
      <c r="AN60" s="754"/>
      <c r="AO60" s="754"/>
      <c r="AP60" s="818"/>
    </row>
    <row r="61" spans="3:44" ht="16.5" customHeight="1" x14ac:dyDescent="0.25">
      <c r="C61" s="809">
        <v>1122</v>
      </c>
      <c r="D61" s="810"/>
      <c r="E61" s="814" t="s">
        <v>355</v>
      </c>
      <c r="F61" s="815"/>
      <c r="G61" s="815"/>
      <c r="H61" s="815"/>
      <c r="I61" s="815"/>
      <c r="J61" s="815"/>
      <c r="K61" s="815"/>
      <c r="L61" s="815"/>
      <c r="M61" s="815"/>
      <c r="N61" s="815"/>
      <c r="O61" s="815"/>
      <c r="P61" s="816"/>
      <c r="Q61" s="814"/>
      <c r="R61" s="815"/>
      <c r="S61" s="815"/>
      <c r="T61" s="815"/>
      <c r="U61" s="816"/>
      <c r="W61" s="753">
        <v>2111</v>
      </c>
      <c r="X61" s="753"/>
      <c r="Y61" s="819" t="s">
        <v>375</v>
      </c>
      <c r="Z61" s="819"/>
      <c r="AA61" s="819"/>
      <c r="AB61" s="819"/>
      <c r="AC61" s="819"/>
      <c r="AD61" s="819"/>
      <c r="AE61" s="819"/>
      <c r="AF61" s="819"/>
      <c r="AG61" s="819"/>
      <c r="AH61" s="819"/>
      <c r="AI61" s="819"/>
      <c r="AJ61" s="819"/>
      <c r="AK61" s="819"/>
      <c r="AL61" s="819"/>
      <c r="AM61" s="754"/>
      <c r="AN61" s="754"/>
      <c r="AO61" s="754"/>
      <c r="AP61" s="818"/>
    </row>
    <row r="62" spans="3:44" ht="26.1" customHeight="1" x14ac:dyDescent="0.25">
      <c r="C62" s="809">
        <v>1123</v>
      </c>
      <c r="D62" s="810"/>
      <c r="E62" s="830" t="s">
        <v>356</v>
      </c>
      <c r="F62" s="831"/>
      <c r="G62" s="831"/>
      <c r="H62" s="831"/>
      <c r="I62" s="831"/>
      <c r="J62" s="831"/>
      <c r="K62" s="831"/>
      <c r="L62" s="831"/>
      <c r="M62" s="831"/>
      <c r="N62" s="831"/>
      <c r="O62" s="831"/>
      <c r="P62" s="832"/>
      <c r="Q62" s="814"/>
      <c r="R62" s="815"/>
      <c r="S62" s="815"/>
      <c r="T62" s="815"/>
      <c r="U62" s="816"/>
      <c r="W62" s="753">
        <v>2191</v>
      </c>
      <c r="X62" s="753"/>
      <c r="Y62" s="819" t="s">
        <v>376</v>
      </c>
      <c r="Z62" s="819"/>
      <c r="AA62" s="819"/>
      <c r="AB62" s="819"/>
      <c r="AC62" s="819"/>
      <c r="AD62" s="819"/>
      <c r="AE62" s="819"/>
      <c r="AF62" s="819"/>
      <c r="AG62" s="819"/>
      <c r="AH62" s="819"/>
      <c r="AI62" s="819"/>
      <c r="AJ62" s="819"/>
      <c r="AK62" s="819"/>
      <c r="AL62" s="819"/>
      <c r="AM62" s="754"/>
      <c r="AN62" s="754"/>
      <c r="AO62" s="754"/>
      <c r="AP62" s="818"/>
    </row>
    <row r="63" spans="3:44" ht="16.5" customHeight="1" x14ac:dyDescent="0.25">
      <c r="C63" s="809">
        <v>1124</v>
      </c>
      <c r="D63" s="810"/>
      <c r="E63" s="814" t="s">
        <v>357</v>
      </c>
      <c r="F63" s="815"/>
      <c r="G63" s="815"/>
      <c r="H63" s="815"/>
      <c r="I63" s="815"/>
      <c r="J63" s="815"/>
      <c r="K63" s="815"/>
      <c r="L63" s="815"/>
      <c r="M63" s="815"/>
      <c r="N63" s="815"/>
      <c r="O63" s="815"/>
      <c r="P63" s="816"/>
      <c r="Q63" s="814"/>
      <c r="R63" s="815"/>
      <c r="S63" s="815"/>
      <c r="T63" s="815"/>
      <c r="U63" s="816"/>
      <c r="W63" s="753">
        <v>2192</v>
      </c>
      <c r="X63" s="753"/>
      <c r="Y63" s="819" t="s">
        <v>377</v>
      </c>
      <c r="Z63" s="819"/>
      <c r="AA63" s="819"/>
      <c r="AB63" s="819"/>
      <c r="AC63" s="819"/>
      <c r="AD63" s="819"/>
      <c r="AE63" s="819"/>
      <c r="AF63" s="819"/>
      <c r="AG63" s="819"/>
      <c r="AH63" s="819"/>
      <c r="AI63" s="819"/>
      <c r="AJ63" s="819"/>
      <c r="AK63" s="819"/>
      <c r="AL63" s="819"/>
      <c r="AM63" s="754"/>
      <c r="AN63" s="754"/>
      <c r="AO63" s="754"/>
      <c r="AP63" s="818"/>
    </row>
    <row r="64" spans="3:44" ht="29.65" customHeight="1" x14ac:dyDescent="0.25">
      <c r="C64" s="809">
        <v>1125</v>
      </c>
      <c r="D64" s="810"/>
      <c r="E64" s="830" t="s">
        <v>358</v>
      </c>
      <c r="F64" s="831"/>
      <c r="G64" s="831"/>
      <c r="H64" s="831"/>
      <c r="I64" s="831"/>
      <c r="J64" s="831"/>
      <c r="K64" s="831"/>
      <c r="L64" s="831"/>
      <c r="M64" s="831"/>
      <c r="N64" s="831"/>
      <c r="O64" s="831"/>
      <c r="P64" s="832"/>
      <c r="Q64" s="814"/>
      <c r="R64" s="815"/>
      <c r="S64" s="815"/>
      <c r="T64" s="815"/>
      <c r="U64" s="816"/>
      <c r="W64" s="753">
        <v>2195</v>
      </c>
      <c r="X64" s="753"/>
      <c r="Y64" s="819" t="s">
        <v>623</v>
      </c>
      <c r="Z64" s="819"/>
      <c r="AA64" s="819"/>
      <c r="AB64" s="819"/>
      <c r="AC64" s="819"/>
      <c r="AD64" s="819"/>
      <c r="AE64" s="819"/>
      <c r="AF64" s="819"/>
      <c r="AG64" s="819"/>
      <c r="AH64" s="819"/>
      <c r="AI64" s="819"/>
      <c r="AJ64" s="819"/>
      <c r="AK64" s="819"/>
      <c r="AL64" s="819"/>
      <c r="AM64" s="754"/>
      <c r="AN64" s="754"/>
      <c r="AO64" s="754"/>
      <c r="AP64" s="818"/>
    </row>
    <row r="65" spans="3:42" ht="16.5" customHeight="1" x14ac:dyDescent="0.25">
      <c r="C65" s="809">
        <v>1131</v>
      </c>
      <c r="D65" s="810"/>
      <c r="E65" s="814" t="s">
        <v>421</v>
      </c>
      <c r="F65" s="815"/>
      <c r="G65" s="815"/>
      <c r="H65" s="815"/>
      <c r="I65" s="815"/>
      <c r="J65" s="815"/>
      <c r="K65" s="815"/>
      <c r="L65" s="815"/>
      <c r="M65" s="815"/>
      <c r="N65" s="815"/>
      <c r="O65" s="815"/>
      <c r="P65" s="816"/>
      <c r="Q65" s="814"/>
      <c r="R65" s="815"/>
      <c r="S65" s="815"/>
      <c r="T65" s="815"/>
      <c r="U65" s="816"/>
      <c r="W65" s="753">
        <v>2201</v>
      </c>
      <c r="X65" s="753"/>
      <c r="Y65" s="819" t="s">
        <v>378</v>
      </c>
      <c r="Z65" s="819"/>
      <c r="AA65" s="819"/>
      <c r="AB65" s="819"/>
      <c r="AC65" s="819"/>
      <c r="AD65" s="819"/>
      <c r="AE65" s="819"/>
      <c r="AF65" s="819"/>
      <c r="AG65" s="819"/>
      <c r="AH65" s="819"/>
      <c r="AI65" s="819"/>
      <c r="AJ65" s="819"/>
      <c r="AK65" s="819"/>
      <c r="AL65" s="819"/>
      <c r="AM65" s="754"/>
      <c r="AN65" s="754"/>
      <c r="AO65" s="754"/>
      <c r="AP65" s="818"/>
    </row>
    <row r="66" spans="3:42" ht="29.65" customHeight="1" x14ac:dyDescent="0.25">
      <c r="C66" s="809">
        <v>1401</v>
      </c>
      <c r="D66" s="810"/>
      <c r="E66" s="814" t="s">
        <v>359</v>
      </c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814"/>
      <c r="R66" s="815"/>
      <c r="S66" s="815"/>
      <c r="T66" s="815"/>
      <c r="U66" s="816"/>
      <c r="W66" s="753">
        <v>2202</v>
      </c>
      <c r="X66" s="753"/>
      <c r="Y66" s="824" t="s">
        <v>379</v>
      </c>
      <c r="Z66" s="824"/>
      <c r="AA66" s="824"/>
      <c r="AB66" s="824"/>
      <c r="AC66" s="824"/>
      <c r="AD66" s="824"/>
      <c r="AE66" s="824"/>
      <c r="AF66" s="824"/>
      <c r="AG66" s="824"/>
      <c r="AH66" s="824"/>
      <c r="AI66" s="824"/>
      <c r="AJ66" s="824"/>
      <c r="AK66" s="824"/>
      <c r="AL66" s="824"/>
      <c r="AM66" s="754"/>
      <c r="AN66" s="754"/>
      <c r="AO66" s="754"/>
      <c r="AP66" s="818"/>
    </row>
    <row r="67" spans="3:42" ht="16.5" customHeight="1" x14ac:dyDescent="0.25">
      <c r="C67" s="809">
        <v>1421</v>
      </c>
      <c r="D67" s="810"/>
      <c r="E67" s="814" t="s">
        <v>417</v>
      </c>
      <c r="F67" s="815"/>
      <c r="G67" s="815"/>
      <c r="H67" s="815"/>
      <c r="I67" s="815"/>
      <c r="J67" s="815"/>
      <c r="K67" s="815"/>
      <c r="L67" s="815"/>
      <c r="M67" s="815"/>
      <c r="N67" s="815"/>
      <c r="O67" s="815"/>
      <c r="P67" s="816"/>
      <c r="Q67" s="814"/>
      <c r="R67" s="815"/>
      <c r="S67" s="815"/>
      <c r="T67" s="815"/>
      <c r="U67" s="816"/>
      <c r="W67" s="753">
        <v>2203</v>
      </c>
      <c r="X67" s="753"/>
      <c r="Y67" s="819" t="s">
        <v>360</v>
      </c>
      <c r="Z67" s="819"/>
      <c r="AA67" s="819"/>
      <c r="AB67" s="819"/>
      <c r="AC67" s="819"/>
      <c r="AD67" s="819"/>
      <c r="AE67" s="819"/>
      <c r="AF67" s="819"/>
      <c r="AG67" s="819"/>
      <c r="AH67" s="819"/>
      <c r="AI67" s="819"/>
      <c r="AJ67" s="819"/>
      <c r="AK67" s="819"/>
      <c r="AL67" s="819"/>
      <c r="AM67" s="754"/>
      <c r="AN67" s="754"/>
      <c r="AO67" s="754"/>
      <c r="AP67" s="818"/>
    </row>
    <row r="68" spans="3:42" ht="16.5" customHeight="1" x14ac:dyDescent="0.25">
      <c r="C68" s="809">
        <v>1422</v>
      </c>
      <c r="D68" s="810"/>
      <c r="E68" s="814" t="s">
        <v>360</v>
      </c>
      <c r="F68" s="815"/>
      <c r="G68" s="815"/>
      <c r="H68" s="815"/>
      <c r="I68" s="815"/>
      <c r="J68" s="815"/>
      <c r="K68" s="815"/>
      <c r="L68" s="815"/>
      <c r="M68" s="815"/>
      <c r="N68" s="815"/>
      <c r="O68" s="815"/>
      <c r="P68" s="816"/>
      <c r="Q68" s="814"/>
      <c r="R68" s="815"/>
      <c r="S68" s="815"/>
      <c r="T68" s="815"/>
      <c r="U68" s="816"/>
      <c r="W68" s="753">
        <v>2228</v>
      </c>
      <c r="X68" s="753"/>
      <c r="Y68" s="819" t="s">
        <v>380</v>
      </c>
      <c r="Z68" s="819"/>
      <c r="AA68" s="819"/>
      <c r="AB68" s="819"/>
      <c r="AC68" s="819"/>
      <c r="AD68" s="819"/>
      <c r="AE68" s="819"/>
      <c r="AF68" s="819"/>
      <c r="AG68" s="819"/>
      <c r="AH68" s="819"/>
      <c r="AI68" s="819"/>
      <c r="AJ68" s="819"/>
      <c r="AK68" s="819"/>
      <c r="AL68" s="819"/>
      <c r="AM68" s="754"/>
      <c r="AN68" s="754"/>
      <c r="AO68" s="754"/>
      <c r="AP68" s="818"/>
    </row>
    <row r="69" spans="3:42" ht="16.5" customHeight="1" x14ac:dyDescent="0.25">
      <c r="C69" s="809">
        <v>1423</v>
      </c>
      <c r="D69" s="810"/>
      <c r="E69" s="814" t="s">
        <v>361</v>
      </c>
      <c r="F69" s="815"/>
      <c r="G69" s="815"/>
      <c r="H69" s="815"/>
      <c r="I69" s="815"/>
      <c r="J69" s="815"/>
      <c r="K69" s="815"/>
      <c r="L69" s="815"/>
      <c r="M69" s="815"/>
      <c r="N69" s="815"/>
      <c r="O69" s="815"/>
      <c r="P69" s="816"/>
      <c r="Q69" s="814"/>
      <c r="R69" s="815"/>
      <c r="S69" s="815"/>
      <c r="T69" s="815"/>
      <c r="U69" s="816"/>
      <c r="W69" s="820"/>
      <c r="X69" s="820"/>
      <c r="Y69" s="821" t="s">
        <v>372</v>
      </c>
      <c r="Z69" s="821"/>
      <c r="AA69" s="821"/>
      <c r="AB69" s="821"/>
      <c r="AC69" s="821"/>
      <c r="AD69" s="821"/>
      <c r="AE69" s="821"/>
      <c r="AF69" s="821"/>
      <c r="AG69" s="821"/>
      <c r="AH69" s="821"/>
      <c r="AI69" s="821"/>
      <c r="AJ69" s="821"/>
      <c r="AK69" s="821"/>
      <c r="AL69" s="821"/>
      <c r="AM69" s="822"/>
      <c r="AN69" s="822"/>
      <c r="AO69" s="822"/>
      <c r="AP69" s="823"/>
    </row>
    <row r="70" spans="3:42" ht="16.5" customHeight="1" x14ac:dyDescent="0.25">
      <c r="C70" s="809">
        <v>1499</v>
      </c>
      <c r="D70" s="810"/>
      <c r="E70" s="814" t="s">
        <v>362</v>
      </c>
      <c r="F70" s="815"/>
      <c r="G70" s="815"/>
      <c r="H70" s="815"/>
      <c r="I70" s="815"/>
      <c r="J70" s="815"/>
      <c r="K70" s="815"/>
      <c r="L70" s="815"/>
      <c r="M70" s="815"/>
      <c r="N70" s="815"/>
      <c r="O70" s="815"/>
      <c r="P70" s="816"/>
      <c r="Q70" s="814"/>
      <c r="R70" s="815"/>
      <c r="S70" s="815"/>
      <c r="T70" s="815"/>
      <c r="U70" s="816"/>
      <c r="W70" s="753">
        <v>2301</v>
      </c>
      <c r="X70" s="753"/>
      <c r="Y70" s="819" t="s">
        <v>382</v>
      </c>
      <c r="Z70" s="819"/>
      <c r="AA70" s="819"/>
      <c r="AB70" s="819"/>
      <c r="AC70" s="819"/>
      <c r="AD70" s="819"/>
      <c r="AE70" s="819"/>
      <c r="AF70" s="819"/>
      <c r="AG70" s="819"/>
      <c r="AH70" s="819"/>
      <c r="AI70" s="819"/>
      <c r="AJ70" s="819"/>
      <c r="AK70" s="819"/>
      <c r="AL70" s="819"/>
      <c r="AM70" s="754"/>
      <c r="AN70" s="754"/>
      <c r="AO70" s="754"/>
      <c r="AP70" s="818"/>
    </row>
    <row r="71" spans="3:42" ht="17.100000000000001" customHeight="1" x14ac:dyDescent="0.25">
      <c r="C71" s="825"/>
      <c r="D71" s="826"/>
      <c r="E71" s="827" t="s">
        <v>353</v>
      </c>
      <c r="F71" s="828"/>
      <c r="G71" s="828"/>
      <c r="H71" s="828"/>
      <c r="I71" s="828"/>
      <c r="J71" s="828"/>
      <c r="K71" s="828"/>
      <c r="L71" s="828"/>
      <c r="M71" s="828"/>
      <c r="N71" s="828"/>
      <c r="O71" s="828"/>
      <c r="P71" s="829"/>
      <c r="Q71" s="827"/>
      <c r="R71" s="828"/>
      <c r="S71" s="828"/>
      <c r="T71" s="828"/>
      <c r="U71" s="829"/>
      <c r="W71" s="753">
        <v>2303</v>
      </c>
      <c r="X71" s="753"/>
      <c r="Y71" s="819" t="s">
        <v>383</v>
      </c>
      <c r="Z71" s="819"/>
      <c r="AA71" s="819"/>
      <c r="AB71" s="819"/>
      <c r="AC71" s="819"/>
      <c r="AD71" s="819"/>
      <c r="AE71" s="819"/>
      <c r="AF71" s="819"/>
      <c r="AG71" s="819"/>
      <c r="AH71" s="819"/>
      <c r="AI71" s="819"/>
      <c r="AJ71" s="819"/>
      <c r="AK71" s="819"/>
      <c r="AL71" s="819"/>
      <c r="AM71" s="754"/>
      <c r="AN71" s="754"/>
      <c r="AO71" s="754"/>
      <c r="AP71" s="818"/>
    </row>
    <row r="72" spans="3:42" ht="27" customHeight="1" x14ac:dyDescent="0.25">
      <c r="C72" s="809">
        <v>1501</v>
      </c>
      <c r="D72" s="810"/>
      <c r="E72" s="814" t="s">
        <v>363</v>
      </c>
      <c r="F72" s="815"/>
      <c r="G72" s="815"/>
      <c r="H72" s="815"/>
      <c r="I72" s="815"/>
      <c r="J72" s="815"/>
      <c r="K72" s="815"/>
      <c r="L72" s="815"/>
      <c r="M72" s="815"/>
      <c r="N72" s="815"/>
      <c r="O72" s="815"/>
      <c r="P72" s="816"/>
      <c r="Q72" s="814"/>
      <c r="R72" s="815"/>
      <c r="S72" s="815"/>
      <c r="T72" s="815"/>
      <c r="U72" s="816"/>
      <c r="W72" s="753">
        <v>2304</v>
      </c>
      <c r="X72" s="753"/>
      <c r="Y72" s="824" t="s">
        <v>384</v>
      </c>
      <c r="Z72" s="824"/>
      <c r="AA72" s="824"/>
      <c r="AB72" s="824"/>
      <c r="AC72" s="824"/>
      <c r="AD72" s="824"/>
      <c r="AE72" s="824"/>
      <c r="AF72" s="824"/>
      <c r="AG72" s="824"/>
      <c r="AH72" s="824"/>
      <c r="AI72" s="824"/>
      <c r="AJ72" s="824"/>
      <c r="AK72" s="824"/>
      <c r="AL72" s="824"/>
      <c r="AM72" s="754"/>
      <c r="AN72" s="754"/>
      <c r="AO72" s="754"/>
      <c r="AP72" s="818"/>
    </row>
    <row r="73" spans="3:42" ht="16.5" customHeight="1" x14ac:dyDescent="0.25">
      <c r="C73" s="809">
        <v>1523</v>
      </c>
      <c r="D73" s="810"/>
      <c r="E73" s="814" t="s">
        <v>364</v>
      </c>
      <c r="F73" s="815"/>
      <c r="G73" s="815"/>
      <c r="H73" s="815"/>
      <c r="I73" s="815"/>
      <c r="J73" s="815"/>
      <c r="K73" s="815"/>
      <c r="L73" s="815"/>
      <c r="M73" s="815"/>
      <c r="N73" s="815"/>
      <c r="O73" s="815"/>
      <c r="P73" s="816"/>
      <c r="Q73" s="814"/>
      <c r="R73" s="815"/>
      <c r="S73" s="815"/>
      <c r="T73" s="815"/>
      <c r="U73" s="816"/>
      <c r="W73" s="753">
        <v>2121</v>
      </c>
      <c r="X73" s="753"/>
      <c r="Y73" s="819" t="s">
        <v>385</v>
      </c>
      <c r="Z73" s="819"/>
      <c r="AA73" s="819"/>
      <c r="AB73" s="819"/>
      <c r="AC73" s="819"/>
      <c r="AD73" s="819"/>
      <c r="AE73" s="819"/>
      <c r="AF73" s="819"/>
      <c r="AG73" s="819"/>
      <c r="AH73" s="819"/>
      <c r="AI73" s="819"/>
      <c r="AJ73" s="819"/>
      <c r="AK73" s="819"/>
      <c r="AL73" s="819"/>
      <c r="AM73" s="754"/>
      <c r="AN73" s="754"/>
      <c r="AO73" s="754"/>
      <c r="AP73" s="818"/>
    </row>
    <row r="74" spans="3:42" ht="16.5" customHeight="1" x14ac:dyDescent="0.25">
      <c r="C74" s="809">
        <v>1524</v>
      </c>
      <c r="D74" s="810"/>
      <c r="E74" s="814" t="s">
        <v>419</v>
      </c>
      <c r="F74" s="815"/>
      <c r="G74" s="815"/>
      <c r="H74" s="815"/>
      <c r="I74" s="815"/>
      <c r="J74" s="815"/>
      <c r="K74" s="815"/>
      <c r="L74" s="815"/>
      <c r="M74" s="815"/>
      <c r="N74" s="815"/>
      <c r="O74" s="815"/>
      <c r="P74" s="816"/>
      <c r="Q74" s="814"/>
      <c r="R74" s="815"/>
      <c r="S74" s="815"/>
      <c r="T74" s="815"/>
      <c r="U74" s="816"/>
      <c r="W74" s="753">
        <v>2998</v>
      </c>
      <c r="X74" s="753"/>
      <c r="Y74" s="819" t="s">
        <v>386</v>
      </c>
      <c r="Z74" s="819"/>
      <c r="AA74" s="819"/>
      <c r="AB74" s="819"/>
      <c r="AC74" s="819"/>
      <c r="AD74" s="819"/>
      <c r="AE74" s="819"/>
      <c r="AF74" s="819"/>
      <c r="AG74" s="819"/>
      <c r="AH74" s="819"/>
      <c r="AI74" s="819"/>
      <c r="AJ74" s="819"/>
      <c r="AK74" s="819"/>
      <c r="AL74" s="819"/>
      <c r="AM74" s="754"/>
      <c r="AN74" s="754"/>
      <c r="AO74" s="754"/>
      <c r="AP74" s="818"/>
    </row>
    <row r="75" spans="3:42" ht="16.5" customHeight="1" x14ac:dyDescent="0.25">
      <c r="C75" s="809">
        <v>1529</v>
      </c>
      <c r="D75" s="810"/>
      <c r="E75" s="814" t="s">
        <v>365</v>
      </c>
      <c r="F75" s="815"/>
      <c r="G75" s="815"/>
      <c r="H75" s="815"/>
      <c r="I75" s="815"/>
      <c r="J75" s="815"/>
      <c r="K75" s="815"/>
      <c r="L75" s="815"/>
      <c r="M75" s="815"/>
      <c r="N75" s="815"/>
      <c r="O75" s="815"/>
      <c r="P75" s="816"/>
      <c r="Q75" s="814"/>
      <c r="R75" s="815"/>
      <c r="S75" s="815"/>
      <c r="T75" s="815"/>
      <c r="U75" s="816"/>
      <c r="W75" s="753">
        <v>2999</v>
      </c>
      <c r="X75" s="753"/>
      <c r="Y75" s="819" t="s">
        <v>387</v>
      </c>
      <c r="Z75" s="819"/>
      <c r="AA75" s="819"/>
      <c r="AB75" s="819"/>
      <c r="AC75" s="819"/>
      <c r="AD75" s="819"/>
      <c r="AE75" s="819"/>
      <c r="AF75" s="819"/>
      <c r="AG75" s="819"/>
      <c r="AH75" s="819"/>
      <c r="AI75" s="819"/>
      <c r="AJ75" s="819"/>
      <c r="AK75" s="819"/>
      <c r="AL75" s="819"/>
      <c r="AM75" s="754"/>
      <c r="AN75" s="754"/>
      <c r="AO75" s="754"/>
      <c r="AP75" s="818"/>
    </row>
    <row r="76" spans="3:42" ht="16.5" customHeight="1" x14ac:dyDescent="0.25">
      <c r="C76" s="809">
        <v>1530</v>
      </c>
      <c r="D76" s="810"/>
      <c r="E76" s="814" t="s">
        <v>419</v>
      </c>
      <c r="F76" s="815"/>
      <c r="G76" s="815"/>
      <c r="H76" s="815"/>
      <c r="I76" s="815"/>
      <c r="J76" s="815"/>
      <c r="K76" s="815"/>
      <c r="L76" s="815"/>
      <c r="M76" s="815"/>
      <c r="N76" s="815"/>
      <c r="O76" s="815"/>
      <c r="P76" s="816"/>
      <c r="Q76" s="814"/>
      <c r="R76" s="815"/>
      <c r="S76" s="815"/>
      <c r="T76" s="815"/>
      <c r="U76" s="816"/>
      <c r="W76" s="820"/>
      <c r="X76" s="820"/>
      <c r="Y76" s="821" t="s">
        <v>381</v>
      </c>
      <c r="Z76" s="821"/>
      <c r="AA76" s="821"/>
      <c r="AB76" s="821"/>
      <c r="AC76" s="821"/>
      <c r="AD76" s="821"/>
      <c r="AE76" s="821"/>
      <c r="AF76" s="821"/>
      <c r="AG76" s="821"/>
      <c r="AH76" s="821"/>
      <c r="AI76" s="821"/>
      <c r="AJ76" s="821"/>
      <c r="AK76" s="821"/>
      <c r="AL76" s="821"/>
      <c r="AM76" s="822"/>
      <c r="AN76" s="822"/>
      <c r="AO76" s="822"/>
      <c r="AP76" s="823"/>
    </row>
    <row r="77" spans="3:42" ht="16.5" customHeight="1" x14ac:dyDescent="0.25">
      <c r="C77" s="809">
        <v>1541</v>
      </c>
      <c r="D77" s="810"/>
      <c r="E77" s="814" t="s">
        <v>366</v>
      </c>
      <c r="F77" s="815"/>
      <c r="G77" s="815"/>
      <c r="H77" s="815"/>
      <c r="I77" s="815"/>
      <c r="J77" s="815"/>
      <c r="K77" s="815"/>
      <c r="L77" s="815"/>
      <c r="M77" s="815"/>
      <c r="N77" s="815"/>
      <c r="O77" s="815"/>
      <c r="P77" s="816"/>
      <c r="Q77" s="814"/>
      <c r="R77" s="815"/>
      <c r="S77" s="815"/>
      <c r="T77" s="815"/>
      <c r="U77" s="816"/>
      <c r="W77" s="753">
        <v>3102</v>
      </c>
      <c r="X77" s="753"/>
      <c r="Y77" s="819" t="s">
        <v>388</v>
      </c>
      <c r="Z77" s="819"/>
      <c r="AA77" s="819"/>
      <c r="AB77" s="819"/>
      <c r="AC77" s="819"/>
      <c r="AD77" s="819"/>
      <c r="AE77" s="819"/>
      <c r="AF77" s="819"/>
      <c r="AG77" s="819"/>
      <c r="AH77" s="819"/>
      <c r="AI77" s="819"/>
      <c r="AJ77" s="819"/>
      <c r="AK77" s="819"/>
      <c r="AL77" s="819"/>
      <c r="AM77" s="754"/>
      <c r="AN77" s="754"/>
      <c r="AO77" s="754"/>
      <c r="AP77" s="818"/>
    </row>
    <row r="78" spans="3:42" ht="16.5" customHeight="1" x14ac:dyDescent="0.25">
      <c r="C78" s="809">
        <v>1590</v>
      </c>
      <c r="D78" s="810"/>
      <c r="E78" s="814" t="s">
        <v>367</v>
      </c>
      <c r="F78" s="815"/>
      <c r="G78" s="815"/>
      <c r="H78" s="815"/>
      <c r="I78" s="815"/>
      <c r="J78" s="815"/>
      <c r="K78" s="815"/>
      <c r="L78" s="815"/>
      <c r="M78" s="815"/>
      <c r="N78" s="815"/>
      <c r="O78" s="815"/>
      <c r="P78" s="816"/>
      <c r="Q78" s="814"/>
      <c r="R78" s="815"/>
      <c r="S78" s="815"/>
      <c r="T78" s="815"/>
      <c r="U78" s="816"/>
      <c r="W78" s="753">
        <v>3120</v>
      </c>
      <c r="X78" s="753"/>
      <c r="Y78" s="819" t="s">
        <v>389</v>
      </c>
      <c r="Z78" s="819"/>
      <c r="AA78" s="819"/>
      <c r="AB78" s="819"/>
      <c r="AC78" s="819"/>
      <c r="AD78" s="819"/>
      <c r="AE78" s="819"/>
      <c r="AF78" s="819"/>
      <c r="AG78" s="819"/>
      <c r="AH78" s="819"/>
      <c r="AI78" s="819"/>
      <c r="AJ78" s="819"/>
      <c r="AK78" s="819"/>
      <c r="AL78" s="819"/>
      <c r="AM78" s="754"/>
      <c r="AN78" s="754"/>
      <c r="AO78" s="754"/>
      <c r="AP78" s="818"/>
    </row>
    <row r="79" spans="3:42" ht="16.5" customHeight="1" x14ac:dyDescent="0.25">
      <c r="C79" s="809">
        <v>1600</v>
      </c>
      <c r="D79" s="810"/>
      <c r="E79" s="814" t="s">
        <v>368</v>
      </c>
      <c r="F79" s="815"/>
      <c r="G79" s="815"/>
      <c r="H79" s="815"/>
      <c r="I79" s="815"/>
      <c r="J79" s="815"/>
      <c r="K79" s="815"/>
      <c r="L79" s="815"/>
      <c r="M79" s="815"/>
      <c r="N79" s="815"/>
      <c r="O79" s="815"/>
      <c r="P79" s="816"/>
      <c r="Q79" s="814"/>
      <c r="R79" s="815"/>
      <c r="S79" s="815"/>
      <c r="T79" s="815"/>
      <c r="U79" s="816"/>
      <c r="W79" s="753">
        <v>3200</v>
      </c>
      <c r="X79" s="753"/>
      <c r="Y79" s="819" t="s">
        <v>390</v>
      </c>
      <c r="Z79" s="819"/>
      <c r="AA79" s="819"/>
      <c r="AB79" s="819"/>
      <c r="AC79" s="819"/>
      <c r="AD79" s="819"/>
      <c r="AE79" s="819"/>
      <c r="AF79" s="819"/>
      <c r="AG79" s="819"/>
      <c r="AH79" s="819"/>
      <c r="AI79" s="819"/>
      <c r="AJ79" s="819"/>
      <c r="AK79" s="819"/>
      <c r="AL79" s="819"/>
      <c r="AM79" s="754"/>
      <c r="AN79" s="754"/>
      <c r="AO79" s="754"/>
      <c r="AP79" s="818"/>
    </row>
    <row r="80" spans="3:42" ht="16.5" customHeight="1" x14ac:dyDescent="0.25">
      <c r="C80" s="809">
        <v>1611</v>
      </c>
      <c r="D80" s="810"/>
      <c r="E80" s="814" t="s">
        <v>369</v>
      </c>
      <c r="F80" s="815"/>
      <c r="G80" s="815"/>
      <c r="H80" s="815"/>
      <c r="I80" s="815"/>
      <c r="J80" s="815"/>
      <c r="K80" s="815"/>
      <c r="L80" s="815"/>
      <c r="M80" s="815"/>
      <c r="N80" s="815"/>
      <c r="O80" s="815"/>
      <c r="P80" s="816"/>
      <c r="Q80" s="814"/>
      <c r="R80" s="815"/>
      <c r="S80" s="815"/>
      <c r="T80" s="815"/>
      <c r="U80" s="816"/>
      <c r="W80" s="753">
        <v>3208</v>
      </c>
      <c r="X80" s="753"/>
      <c r="Y80" s="819" t="s">
        <v>391</v>
      </c>
      <c r="Z80" s="819"/>
      <c r="AA80" s="819"/>
      <c r="AB80" s="819"/>
      <c r="AC80" s="819"/>
      <c r="AD80" s="819"/>
      <c r="AE80" s="819"/>
      <c r="AF80" s="819"/>
      <c r="AG80" s="819"/>
      <c r="AH80" s="819"/>
      <c r="AI80" s="819"/>
      <c r="AJ80" s="819"/>
      <c r="AK80" s="819"/>
      <c r="AL80" s="819"/>
      <c r="AM80" s="754"/>
      <c r="AN80" s="754"/>
      <c r="AO80" s="754"/>
      <c r="AP80" s="818"/>
    </row>
    <row r="81" spans="3:42" ht="16.5" customHeight="1" x14ac:dyDescent="0.25">
      <c r="C81" s="809">
        <v>1699</v>
      </c>
      <c r="D81" s="810"/>
      <c r="E81" s="814" t="s">
        <v>370</v>
      </c>
      <c r="F81" s="815"/>
      <c r="G81" s="815"/>
      <c r="H81" s="815"/>
      <c r="I81" s="815"/>
      <c r="J81" s="815"/>
      <c r="K81" s="815"/>
      <c r="L81" s="815"/>
      <c r="M81" s="815"/>
      <c r="N81" s="815"/>
      <c r="O81" s="815"/>
      <c r="P81" s="816"/>
      <c r="Q81" s="814"/>
      <c r="R81" s="815"/>
      <c r="S81" s="815"/>
      <c r="T81" s="815"/>
      <c r="U81" s="816"/>
      <c r="W81" s="753">
        <v>3209</v>
      </c>
      <c r="X81" s="753"/>
      <c r="Y81" s="819" t="s">
        <v>392</v>
      </c>
      <c r="Z81" s="819"/>
      <c r="AA81" s="819"/>
      <c r="AB81" s="819"/>
      <c r="AC81" s="819"/>
      <c r="AD81" s="819"/>
      <c r="AE81" s="819"/>
      <c r="AF81" s="819"/>
      <c r="AG81" s="819"/>
      <c r="AH81" s="819"/>
      <c r="AI81" s="819"/>
      <c r="AJ81" s="819"/>
      <c r="AK81" s="819"/>
      <c r="AL81" s="819"/>
      <c r="AM81" s="754"/>
      <c r="AN81" s="754"/>
      <c r="AO81" s="754"/>
      <c r="AP81" s="818"/>
    </row>
    <row r="82" spans="3:42" ht="16.5" customHeight="1" x14ac:dyDescent="0.25">
      <c r="C82" s="809">
        <v>1700</v>
      </c>
      <c r="D82" s="810"/>
      <c r="E82" s="811" t="s">
        <v>371</v>
      </c>
      <c r="F82" s="812"/>
      <c r="G82" s="812"/>
      <c r="H82" s="812"/>
      <c r="I82" s="812"/>
      <c r="J82" s="812"/>
      <c r="K82" s="812"/>
      <c r="L82" s="812"/>
      <c r="M82" s="812"/>
      <c r="N82" s="812"/>
      <c r="O82" s="812"/>
      <c r="P82" s="813"/>
      <c r="Q82" s="814"/>
      <c r="R82" s="815"/>
      <c r="S82" s="815"/>
      <c r="T82" s="815"/>
      <c r="U82" s="816"/>
      <c r="W82" s="753">
        <v>3300</v>
      </c>
      <c r="X82" s="753"/>
      <c r="Y82" s="817" t="s">
        <v>393</v>
      </c>
      <c r="Z82" s="817"/>
      <c r="AA82" s="817"/>
      <c r="AB82" s="817"/>
      <c r="AC82" s="817"/>
      <c r="AD82" s="817"/>
      <c r="AE82" s="817"/>
      <c r="AF82" s="817"/>
      <c r="AG82" s="817"/>
      <c r="AH82" s="817"/>
      <c r="AI82" s="817"/>
      <c r="AJ82" s="817"/>
      <c r="AK82" s="817"/>
      <c r="AL82" s="817"/>
      <c r="AM82" s="754"/>
      <c r="AN82" s="754"/>
      <c r="AO82" s="754"/>
      <c r="AP82" s="818"/>
    </row>
    <row r="83" spans="3:42" ht="3" customHeight="1" x14ac:dyDescent="0.25">
      <c r="C83" s="241"/>
      <c r="D83" s="216"/>
      <c r="E83" s="212"/>
      <c r="F83" s="212"/>
      <c r="G83" s="212"/>
      <c r="H83" s="212"/>
      <c r="I83" s="212"/>
      <c r="J83" s="212"/>
      <c r="K83" s="212"/>
      <c r="L83" s="212"/>
      <c r="M83" s="212"/>
      <c r="N83" s="212"/>
      <c r="O83" s="212"/>
      <c r="P83" s="212"/>
      <c r="Q83" s="216"/>
      <c r="R83" s="216"/>
      <c r="S83" s="216"/>
      <c r="T83" s="216"/>
      <c r="U83" s="216"/>
      <c r="V83" s="1"/>
      <c r="W83" s="216"/>
      <c r="X83" s="216"/>
      <c r="Y83" s="212"/>
      <c r="Z83" s="212"/>
      <c r="AA83" s="212"/>
      <c r="AB83" s="212"/>
      <c r="AC83" s="212"/>
      <c r="AD83" s="212"/>
      <c r="AE83" s="212"/>
      <c r="AF83" s="212"/>
      <c r="AG83" s="212"/>
      <c r="AH83" s="212"/>
      <c r="AI83" s="212"/>
      <c r="AJ83" s="212"/>
      <c r="AK83" s="212"/>
      <c r="AL83" s="212"/>
      <c r="AM83" s="188"/>
      <c r="AN83" s="188"/>
      <c r="AO83" s="188"/>
      <c r="AP83" s="242"/>
    </row>
    <row r="84" spans="3:42" ht="6" customHeight="1" x14ac:dyDescent="0.25">
      <c r="C84" s="804"/>
      <c r="D84" s="805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43"/>
    </row>
    <row r="85" spans="3:42" ht="17.649999999999999" customHeight="1" x14ac:dyDescent="0.25">
      <c r="C85" s="806"/>
      <c r="D85" s="651"/>
      <c r="E85" s="237" t="s">
        <v>394</v>
      </c>
      <c r="F85" s="219"/>
      <c r="G85" s="219"/>
      <c r="H85" s="219"/>
      <c r="I85" s="219"/>
      <c r="J85" s="219"/>
      <c r="K85" s="219"/>
      <c r="L85" s="219"/>
      <c r="M85" s="217"/>
      <c r="N85" s="238" t="s">
        <v>395</v>
      </c>
      <c r="O85" s="219"/>
      <c r="P85" s="219"/>
      <c r="Q85" s="219"/>
      <c r="R85" s="217"/>
      <c r="S85" s="238" t="s">
        <v>396</v>
      </c>
      <c r="T85" s="219"/>
      <c r="U85" s="219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43"/>
    </row>
    <row r="86" spans="3:42" ht="6" customHeight="1" x14ac:dyDescent="0.25">
      <c r="C86" s="804"/>
      <c r="D86" s="805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43"/>
    </row>
    <row r="87" spans="3:42" ht="3" customHeight="1" x14ac:dyDescent="0.25">
      <c r="C87" s="807"/>
      <c r="D87" s="808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57"/>
    </row>
    <row r="88" spans="3:42" x14ac:dyDescent="0.25">
      <c r="C88" s="799"/>
      <c r="D88" s="800"/>
      <c r="E88" s="163"/>
      <c r="F88" s="163"/>
      <c r="G88" s="163"/>
      <c r="H88" s="163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3"/>
      <c r="V88" s="163"/>
      <c r="W88" s="163"/>
      <c r="X88" s="163"/>
      <c r="Y88" s="163"/>
      <c r="Z88" s="163"/>
      <c r="AA88" s="163"/>
      <c r="AB88" s="163"/>
      <c r="AC88" s="163"/>
      <c r="AD88" s="163"/>
      <c r="AE88" s="163"/>
      <c r="AF88" s="163"/>
      <c r="AG88" s="163"/>
      <c r="AH88" s="163"/>
      <c r="AI88" s="163"/>
      <c r="AJ88" s="163"/>
      <c r="AK88" s="163"/>
      <c r="AL88" s="163"/>
      <c r="AM88" s="163"/>
      <c r="AN88" s="163"/>
      <c r="AO88" s="163"/>
      <c r="AP88" s="173"/>
    </row>
    <row r="89" spans="3:42" x14ac:dyDescent="0.25">
      <c r="C89" s="799"/>
      <c r="D89" s="800"/>
      <c r="E89" s="172" t="s">
        <v>397</v>
      </c>
      <c r="F89" s="163"/>
      <c r="G89" s="163"/>
      <c r="H89" s="163"/>
      <c r="I89" s="163"/>
      <c r="J89" s="163"/>
      <c r="K89" s="163"/>
      <c r="L89" s="163"/>
      <c r="M89" s="163"/>
      <c r="N89" s="163"/>
      <c r="O89" s="163"/>
      <c r="P89" s="163"/>
      <c r="Q89" s="163"/>
      <c r="R89" s="163"/>
      <c r="S89" s="163"/>
      <c r="T89" s="163"/>
      <c r="U89" s="163"/>
      <c r="V89" s="222"/>
      <c r="W89" s="163"/>
      <c r="X89" s="163"/>
      <c r="Y89" s="172" t="s">
        <v>399</v>
      </c>
      <c r="Z89" s="163"/>
      <c r="AA89" s="163"/>
      <c r="AB89" s="163"/>
      <c r="AC89" s="163"/>
      <c r="AD89" s="163"/>
      <c r="AE89" s="163"/>
      <c r="AF89" s="163"/>
      <c r="AG89" s="163"/>
      <c r="AH89" s="163"/>
      <c r="AI89" s="163"/>
      <c r="AJ89" s="163"/>
      <c r="AK89" s="163"/>
      <c r="AL89" s="163"/>
      <c r="AM89" s="163"/>
      <c r="AN89" s="163"/>
      <c r="AO89" s="163"/>
      <c r="AP89" s="173"/>
    </row>
    <row r="90" spans="3:42" x14ac:dyDescent="0.25">
      <c r="C90" s="799"/>
      <c r="D90" s="800"/>
      <c r="E90" s="151"/>
      <c r="F90" s="151"/>
      <c r="G90" s="151"/>
      <c r="H90" s="151"/>
      <c r="I90" s="151"/>
      <c r="J90" s="151"/>
      <c r="K90" s="151"/>
      <c r="L90" s="151"/>
      <c r="M90" s="151"/>
      <c r="N90" s="151"/>
      <c r="O90" s="151"/>
      <c r="P90" s="151"/>
      <c r="Q90" s="151"/>
      <c r="R90" s="151"/>
      <c r="S90" s="151"/>
      <c r="T90" s="151"/>
      <c r="U90" s="163"/>
      <c r="V90" s="222"/>
      <c r="W90" s="163"/>
      <c r="X90" s="163"/>
      <c r="Y90" s="151"/>
      <c r="Z90" s="151"/>
      <c r="AA90" s="151"/>
      <c r="AB90" s="151"/>
      <c r="AC90" s="151"/>
      <c r="AD90" s="151"/>
      <c r="AE90" s="151"/>
      <c r="AF90" s="151"/>
      <c r="AG90" s="151"/>
      <c r="AH90" s="151"/>
      <c r="AI90" s="151"/>
      <c r="AJ90" s="151"/>
      <c r="AK90" s="151"/>
      <c r="AL90" s="151"/>
      <c r="AM90" s="151"/>
      <c r="AN90" s="151"/>
      <c r="AO90" s="163"/>
      <c r="AP90" s="173"/>
    </row>
    <row r="91" spans="3:42" x14ac:dyDescent="0.25">
      <c r="C91" s="799"/>
      <c r="D91" s="800"/>
      <c r="E91" s="163"/>
      <c r="F91" s="163"/>
      <c r="G91" s="163"/>
      <c r="H91" s="163"/>
      <c r="I91" s="163"/>
      <c r="J91" s="163"/>
      <c r="K91" s="163"/>
      <c r="L91" s="163"/>
      <c r="M91" s="163"/>
      <c r="N91" s="163"/>
      <c r="O91" s="163"/>
      <c r="P91" s="163"/>
      <c r="Q91" s="163"/>
      <c r="R91" s="163"/>
      <c r="S91" s="163"/>
      <c r="T91" s="163"/>
      <c r="U91" s="163"/>
      <c r="V91" s="222"/>
      <c r="W91" s="163"/>
      <c r="X91" s="163"/>
      <c r="Y91" s="163"/>
      <c r="Z91" s="163"/>
      <c r="AA91" s="163"/>
      <c r="AB91" s="163"/>
      <c r="AC91" s="163"/>
      <c r="AD91" s="163"/>
      <c r="AE91" s="163"/>
      <c r="AF91" s="163"/>
      <c r="AG91" s="163"/>
      <c r="AH91" s="163"/>
      <c r="AI91" s="163"/>
      <c r="AJ91" s="163"/>
      <c r="AK91" s="163"/>
      <c r="AL91" s="163"/>
      <c r="AM91" s="163"/>
      <c r="AN91" s="163"/>
      <c r="AO91" s="163"/>
      <c r="AP91" s="173"/>
    </row>
    <row r="92" spans="3:42" x14ac:dyDescent="0.25">
      <c r="C92" s="799"/>
      <c r="D92" s="800"/>
      <c r="E92" s="172" t="s">
        <v>398</v>
      </c>
      <c r="F92" s="163"/>
      <c r="G92" s="163"/>
      <c r="H92" s="163"/>
      <c r="I92" s="163"/>
      <c r="J92" s="163"/>
      <c r="K92" s="163"/>
      <c r="L92" s="163"/>
      <c r="M92" s="163"/>
      <c r="N92" s="163"/>
      <c r="O92" s="163"/>
      <c r="P92" s="163"/>
      <c r="Q92" s="163"/>
      <c r="R92" s="163"/>
      <c r="S92" s="163"/>
      <c r="T92" s="163"/>
      <c r="U92" s="163"/>
      <c r="V92" s="222"/>
      <c r="W92" s="163"/>
      <c r="X92" s="163"/>
      <c r="Y92" s="172" t="s">
        <v>400</v>
      </c>
      <c r="Z92" s="163"/>
      <c r="AA92" s="163"/>
      <c r="AB92" s="163"/>
      <c r="AC92" s="163"/>
      <c r="AD92" s="163"/>
      <c r="AE92" s="163"/>
      <c r="AF92" s="163"/>
      <c r="AG92" s="163"/>
      <c r="AH92" s="163"/>
      <c r="AI92" s="163"/>
      <c r="AJ92" s="163"/>
      <c r="AK92" s="163"/>
      <c r="AL92" s="163"/>
      <c r="AM92" s="163"/>
      <c r="AN92" s="163"/>
      <c r="AO92" s="163"/>
      <c r="AP92" s="173"/>
    </row>
    <row r="93" spans="3:42" x14ac:dyDescent="0.25">
      <c r="C93" s="799"/>
      <c r="D93" s="800"/>
      <c r="E93" s="801"/>
      <c r="F93" s="802"/>
      <c r="G93" s="802"/>
      <c r="H93" s="802"/>
      <c r="I93" s="802"/>
      <c r="J93" s="802"/>
      <c r="K93" s="802"/>
      <c r="L93" s="802"/>
      <c r="M93" s="802"/>
      <c r="N93" s="802"/>
      <c r="O93" s="802"/>
      <c r="P93" s="802"/>
      <c r="Q93" s="802"/>
      <c r="R93" s="802"/>
      <c r="S93" s="802"/>
      <c r="T93" s="803"/>
      <c r="U93" s="163"/>
      <c r="V93" s="222"/>
      <c r="W93" s="223"/>
      <c r="X93" s="163"/>
      <c r="Y93" s="801"/>
      <c r="Z93" s="802"/>
      <c r="AA93" s="802"/>
      <c r="AB93" s="802"/>
      <c r="AC93" s="802"/>
      <c r="AD93" s="802"/>
      <c r="AE93" s="802"/>
      <c r="AF93" s="802"/>
      <c r="AG93" s="802"/>
      <c r="AH93" s="802"/>
      <c r="AI93" s="802"/>
      <c r="AJ93" s="802"/>
      <c r="AK93" s="802"/>
      <c r="AL93" s="802"/>
      <c r="AM93" s="802"/>
      <c r="AN93" s="803"/>
      <c r="AO93" s="163"/>
      <c r="AP93" s="173"/>
    </row>
    <row r="94" spans="3:42" x14ac:dyDescent="0.25">
      <c r="C94" s="797"/>
      <c r="D94" s="798"/>
      <c r="E94" s="244"/>
      <c r="F94" s="244"/>
      <c r="G94" s="244"/>
      <c r="H94" s="244"/>
      <c r="I94" s="244"/>
      <c r="J94" s="244"/>
      <c r="K94" s="244"/>
      <c r="L94" s="244"/>
      <c r="M94" s="244"/>
      <c r="N94" s="244"/>
      <c r="O94" s="244"/>
      <c r="P94" s="244"/>
      <c r="Q94" s="244"/>
      <c r="R94" s="244"/>
      <c r="S94" s="244"/>
      <c r="T94" s="244"/>
      <c r="U94" s="244"/>
      <c r="V94" s="244"/>
      <c r="W94" s="244"/>
      <c r="X94" s="244"/>
      <c r="Y94" s="244"/>
      <c r="Z94" s="244"/>
      <c r="AA94" s="244"/>
      <c r="AB94" s="244"/>
      <c r="AC94" s="244"/>
      <c r="AD94" s="244"/>
      <c r="AE94" s="244"/>
      <c r="AF94" s="244"/>
      <c r="AG94" s="244"/>
      <c r="AH94" s="244"/>
      <c r="AI94" s="244"/>
      <c r="AJ94" s="244"/>
      <c r="AK94" s="244"/>
      <c r="AL94" s="244"/>
      <c r="AM94" s="244"/>
      <c r="AN94" s="244"/>
      <c r="AO94" s="244"/>
      <c r="AP94" s="245"/>
    </row>
    <row r="95" spans="3:42" x14ac:dyDescent="0.25">
      <c r="C95" s="792"/>
      <c r="D95" s="568"/>
    </row>
    <row r="96" spans="3:42" x14ac:dyDescent="0.25">
      <c r="C96" s="792"/>
      <c r="D96" s="568"/>
    </row>
    <row r="97" spans="3:4" x14ac:dyDescent="0.25">
      <c r="C97" s="792"/>
      <c r="D97" s="568"/>
    </row>
    <row r="98" spans="3:4" x14ac:dyDescent="0.25">
      <c r="C98" s="792"/>
      <c r="D98" s="568"/>
    </row>
    <row r="99" spans="3:4" x14ac:dyDescent="0.25">
      <c r="C99" s="792"/>
      <c r="D99" s="568"/>
    </row>
    <row r="100" spans="3:4" x14ac:dyDescent="0.25">
      <c r="C100" s="792"/>
      <c r="D100" s="568"/>
    </row>
    <row r="101" spans="3:4" x14ac:dyDescent="0.25">
      <c r="C101" s="792"/>
      <c r="D101" s="568"/>
    </row>
    <row r="102" spans="3:4" x14ac:dyDescent="0.25">
      <c r="C102" s="792"/>
      <c r="D102" s="568"/>
    </row>
    <row r="103" spans="3:4" x14ac:dyDescent="0.25">
      <c r="C103" s="792"/>
      <c r="D103" s="568"/>
    </row>
    <row r="104" spans="3:4" x14ac:dyDescent="0.25">
      <c r="C104" s="792"/>
      <c r="D104" s="568"/>
    </row>
    <row r="105" spans="3:4" x14ac:dyDescent="0.25">
      <c r="C105" s="792"/>
      <c r="D105" s="568"/>
    </row>
    <row r="106" spans="3:4" x14ac:dyDescent="0.25">
      <c r="C106" s="792"/>
      <c r="D106" s="568"/>
    </row>
    <row r="107" spans="3:4" x14ac:dyDescent="0.25">
      <c r="C107" s="792"/>
      <c r="D107" s="568"/>
    </row>
    <row r="108" spans="3:4" x14ac:dyDescent="0.25">
      <c r="C108" s="792"/>
      <c r="D108" s="568"/>
    </row>
    <row r="109" spans="3:4" x14ac:dyDescent="0.25">
      <c r="C109" s="792"/>
      <c r="D109" s="568"/>
    </row>
    <row r="110" spans="3:4" x14ac:dyDescent="0.25">
      <c r="C110" s="792"/>
      <c r="D110" s="568"/>
    </row>
    <row r="111" spans="3:4" x14ac:dyDescent="0.25">
      <c r="C111" s="792"/>
      <c r="D111" s="568"/>
    </row>
    <row r="112" spans="3:4" x14ac:dyDescent="0.25">
      <c r="C112" s="792"/>
      <c r="D112" s="568"/>
    </row>
  </sheetData>
  <mergeCells count="490">
    <mergeCell ref="O5:AG7"/>
    <mergeCell ref="AI5:AO9"/>
    <mergeCell ref="O9:AG11"/>
    <mergeCell ref="E19:K21"/>
    <mergeCell ref="L19:O21"/>
    <mergeCell ref="P19:R21"/>
    <mergeCell ref="S19:V21"/>
    <mergeCell ref="W19:Z21"/>
    <mergeCell ref="AA19:AD21"/>
    <mergeCell ref="AE19:AH21"/>
    <mergeCell ref="AI19:AL21"/>
    <mergeCell ref="AM19:AP21"/>
    <mergeCell ref="AM22:AP22"/>
    <mergeCell ref="C23:D23"/>
    <mergeCell ref="E23:K23"/>
    <mergeCell ref="L23:O23"/>
    <mergeCell ref="P23:R23"/>
    <mergeCell ref="S23:V23"/>
    <mergeCell ref="W23:Z23"/>
    <mergeCell ref="AA23:AD23"/>
    <mergeCell ref="AE23:AH23"/>
    <mergeCell ref="AI23:AL23"/>
    <mergeCell ref="AM23:AP23"/>
    <mergeCell ref="C22:D22"/>
    <mergeCell ref="E22:K22"/>
    <mergeCell ref="L22:O22"/>
    <mergeCell ref="P22:R22"/>
    <mergeCell ref="S22:V22"/>
    <mergeCell ref="W22:Z22"/>
    <mergeCell ref="AA22:AD22"/>
    <mergeCell ref="AE22:AH22"/>
    <mergeCell ref="AI22:AL22"/>
    <mergeCell ref="AM24:AP24"/>
    <mergeCell ref="C25:D25"/>
    <mergeCell ref="E25:K25"/>
    <mergeCell ref="L25:O25"/>
    <mergeCell ref="P25:R25"/>
    <mergeCell ref="S25:V25"/>
    <mergeCell ref="W25:Z25"/>
    <mergeCell ref="AA25:AD25"/>
    <mergeCell ref="AE25:AH25"/>
    <mergeCell ref="AI25:AL25"/>
    <mergeCell ref="AM25:AP25"/>
    <mergeCell ref="C24:D24"/>
    <mergeCell ref="E24:K24"/>
    <mergeCell ref="L24:O24"/>
    <mergeCell ref="P24:R24"/>
    <mergeCell ref="S24:V24"/>
    <mergeCell ref="W24:Z24"/>
    <mergeCell ref="AA24:AD24"/>
    <mergeCell ref="AE24:AH24"/>
    <mergeCell ref="AI24:AL24"/>
    <mergeCell ref="AM26:AP26"/>
    <mergeCell ref="C27:D27"/>
    <mergeCell ref="E27:K27"/>
    <mergeCell ref="L27:O27"/>
    <mergeCell ref="P27:R27"/>
    <mergeCell ref="S27:V27"/>
    <mergeCell ref="W27:Z27"/>
    <mergeCell ref="AA27:AD27"/>
    <mergeCell ref="AE27:AH27"/>
    <mergeCell ref="AI27:AL27"/>
    <mergeCell ref="AM27:AP27"/>
    <mergeCell ref="C26:D26"/>
    <mergeCell ref="E26:K26"/>
    <mergeCell ref="L26:O26"/>
    <mergeCell ref="P26:R26"/>
    <mergeCell ref="S26:V26"/>
    <mergeCell ref="W26:Z26"/>
    <mergeCell ref="AA26:AD26"/>
    <mergeCell ref="AE26:AH26"/>
    <mergeCell ref="AI26:AL26"/>
    <mergeCell ref="AM28:AP28"/>
    <mergeCell ref="C29:D29"/>
    <mergeCell ref="E29:K29"/>
    <mergeCell ref="L29:O29"/>
    <mergeCell ref="P29:R29"/>
    <mergeCell ref="S29:V29"/>
    <mergeCell ref="W29:Z29"/>
    <mergeCell ref="AA29:AD29"/>
    <mergeCell ref="AE29:AH29"/>
    <mergeCell ref="AI29:AL29"/>
    <mergeCell ref="AM29:AP29"/>
    <mergeCell ref="C28:D28"/>
    <mergeCell ref="E28:K28"/>
    <mergeCell ref="L28:O28"/>
    <mergeCell ref="P28:R28"/>
    <mergeCell ref="S28:V28"/>
    <mergeCell ref="W28:Z28"/>
    <mergeCell ref="AA28:AD28"/>
    <mergeCell ref="AE28:AH28"/>
    <mergeCell ref="AI28:AL28"/>
    <mergeCell ref="AM30:AP30"/>
    <mergeCell ref="C31:D31"/>
    <mergeCell ref="E31:K31"/>
    <mergeCell ref="L31:O31"/>
    <mergeCell ref="P31:R31"/>
    <mergeCell ref="S31:V31"/>
    <mergeCell ref="W31:Z31"/>
    <mergeCell ref="AA31:AD31"/>
    <mergeCell ref="AE31:AH31"/>
    <mergeCell ref="AI31:AL31"/>
    <mergeCell ref="AM31:AP31"/>
    <mergeCell ref="C30:D30"/>
    <mergeCell ref="E30:K30"/>
    <mergeCell ref="L30:O30"/>
    <mergeCell ref="P30:R30"/>
    <mergeCell ref="S30:V30"/>
    <mergeCell ref="W30:Z30"/>
    <mergeCell ref="AA30:AD30"/>
    <mergeCell ref="AE30:AH30"/>
    <mergeCell ref="AI30:AL30"/>
    <mergeCell ref="AM32:AP32"/>
    <mergeCell ref="C33:D33"/>
    <mergeCell ref="E33:K33"/>
    <mergeCell ref="L33:O33"/>
    <mergeCell ref="P33:R33"/>
    <mergeCell ref="S33:V33"/>
    <mergeCell ref="W33:Z33"/>
    <mergeCell ref="AA33:AD33"/>
    <mergeCell ref="AE33:AH33"/>
    <mergeCell ref="AI33:AL33"/>
    <mergeCell ref="AM33:AP33"/>
    <mergeCell ref="C32:D32"/>
    <mergeCell ref="E32:K32"/>
    <mergeCell ref="L32:O32"/>
    <mergeCell ref="P32:R32"/>
    <mergeCell ref="S32:V32"/>
    <mergeCell ref="W32:Z32"/>
    <mergeCell ref="AA32:AD32"/>
    <mergeCell ref="AE32:AH32"/>
    <mergeCell ref="AI32:AL32"/>
    <mergeCell ref="AM34:AP34"/>
    <mergeCell ref="C35:D35"/>
    <mergeCell ref="E35:K35"/>
    <mergeCell ref="L35:O35"/>
    <mergeCell ref="P35:R35"/>
    <mergeCell ref="S35:V35"/>
    <mergeCell ref="W35:Z35"/>
    <mergeCell ref="AA35:AD35"/>
    <mergeCell ref="AE35:AH35"/>
    <mergeCell ref="AI35:AL35"/>
    <mergeCell ref="AM35:AP35"/>
    <mergeCell ref="C34:D34"/>
    <mergeCell ref="E34:K34"/>
    <mergeCell ref="L34:O34"/>
    <mergeCell ref="P34:R34"/>
    <mergeCell ref="S34:V34"/>
    <mergeCell ref="W34:Z34"/>
    <mergeCell ref="AA34:AD34"/>
    <mergeCell ref="AE34:AH34"/>
    <mergeCell ref="AI34:AL34"/>
    <mergeCell ref="AM36:AP36"/>
    <mergeCell ref="C37:D37"/>
    <mergeCell ref="E37:K37"/>
    <mergeCell ref="L37:O37"/>
    <mergeCell ref="P37:R37"/>
    <mergeCell ref="S37:V37"/>
    <mergeCell ref="W37:Z37"/>
    <mergeCell ref="AA37:AD37"/>
    <mergeCell ref="AE37:AH37"/>
    <mergeCell ref="AI37:AL37"/>
    <mergeCell ref="AM37:AP37"/>
    <mergeCell ref="C36:D36"/>
    <mergeCell ref="E36:K36"/>
    <mergeCell ref="L36:O36"/>
    <mergeCell ref="P36:R36"/>
    <mergeCell ref="S36:V36"/>
    <mergeCell ref="W36:Z36"/>
    <mergeCell ref="AA36:AD36"/>
    <mergeCell ref="AE36:AH36"/>
    <mergeCell ref="AI36:AL36"/>
    <mergeCell ref="AM38:AP38"/>
    <mergeCell ref="C39:D39"/>
    <mergeCell ref="E39:K39"/>
    <mergeCell ref="L39:O39"/>
    <mergeCell ref="P39:R39"/>
    <mergeCell ref="S39:V39"/>
    <mergeCell ref="W39:Z39"/>
    <mergeCell ref="AA39:AD39"/>
    <mergeCell ref="AE39:AH39"/>
    <mergeCell ref="AI39:AL39"/>
    <mergeCell ref="AM39:AP39"/>
    <mergeCell ref="C38:D38"/>
    <mergeCell ref="E38:K38"/>
    <mergeCell ref="L38:O38"/>
    <mergeCell ref="P38:R38"/>
    <mergeCell ref="S38:V38"/>
    <mergeCell ref="W38:Z38"/>
    <mergeCell ref="AA38:AD38"/>
    <mergeCell ref="AE38:AH38"/>
    <mergeCell ref="AI38:AL38"/>
    <mergeCell ref="AM40:AP40"/>
    <mergeCell ref="C41:D41"/>
    <mergeCell ref="E41:K41"/>
    <mergeCell ref="L41:O41"/>
    <mergeCell ref="P41:R41"/>
    <mergeCell ref="S41:V41"/>
    <mergeCell ref="W41:Z41"/>
    <mergeCell ref="AA41:AD41"/>
    <mergeCell ref="AE41:AH41"/>
    <mergeCell ref="AI41:AL41"/>
    <mergeCell ref="AM41:AP41"/>
    <mergeCell ref="C40:D40"/>
    <mergeCell ref="E40:K40"/>
    <mergeCell ref="L40:O40"/>
    <mergeCell ref="P40:R40"/>
    <mergeCell ref="S40:V40"/>
    <mergeCell ref="W40:Z40"/>
    <mergeCell ref="AA40:AD40"/>
    <mergeCell ref="AE40:AH40"/>
    <mergeCell ref="AI40:AL40"/>
    <mergeCell ref="AM42:AP42"/>
    <mergeCell ref="C43:D43"/>
    <mergeCell ref="E43:K43"/>
    <mergeCell ref="L43:O43"/>
    <mergeCell ref="P43:R43"/>
    <mergeCell ref="S43:V43"/>
    <mergeCell ref="W43:Z43"/>
    <mergeCell ref="AA43:AD43"/>
    <mergeCell ref="AE43:AH43"/>
    <mergeCell ref="AI43:AL43"/>
    <mergeCell ref="AM43:AP43"/>
    <mergeCell ref="C42:D42"/>
    <mergeCell ref="E42:K42"/>
    <mergeCell ref="L42:O42"/>
    <mergeCell ref="P42:R42"/>
    <mergeCell ref="S42:V42"/>
    <mergeCell ref="W42:Z42"/>
    <mergeCell ref="AA42:AD42"/>
    <mergeCell ref="AE42:AH42"/>
    <mergeCell ref="AI42:AL42"/>
    <mergeCell ref="AM44:AP44"/>
    <mergeCell ref="C45:D45"/>
    <mergeCell ref="E45:K45"/>
    <mergeCell ref="L45:O45"/>
    <mergeCell ref="P45:R45"/>
    <mergeCell ref="S45:V45"/>
    <mergeCell ref="W45:Z45"/>
    <mergeCell ref="AA45:AD45"/>
    <mergeCell ref="AE45:AH45"/>
    <mergeCell ref="AI45:AL45"/>
    <mergeCell ref="AM45:AP45"/>
    <mergeCell ref="C44:D44"/>
    <mergeCell ref="E44:K44"/>
    <mergeCell ref="L44:O44"/>
    <mergeCell ref="P44:R44"/>
    <mergeCell ref="S44:V44"/>
    <mergeCell ref="W44:Z44"/>
    <mergeCell ref="AA44:AD44"/>
    <mergeCell ref="AE44:AH44"/>
    <mergeCell ref="AI44:AL44"/>
    <mergeCell ref="AM46:AP46"/>
    <mergeCell ref="C47:D47"/>
    <mergeCell ref="E47:K47"/>
    <mergeCell ref="L47:O47"/>
    <mergeCell ref="P47:R47"/>
    <mergeCell ref="S47:V47"/>
    <mergeCell ref="W47:Z47"/>
    <mergeCell ref="AA47:AD47"/>
    <mergeCell ref="AE47:AH47"/>
    <mergeCell ref="AI47:AL47"/>
    <mergeCell ref="AM47:AP47"/>
    <mergeCell ref="C46:D46"/>
    <mergeCell ref="E46:K46"/>
    <mergeCell ref="L46:O46"/>
    <mergeCell ref="P46:R46"/>
    <mergeCell ref="S46:V46"/>
    <mergeCell ref="W46:Z46"/>
    <mergeCell ref="AA46:AD46"/>
    <mergeCell ref="AE46:AH46"/>
    <mergeCell ref="AI46:AL46"/>
    <mergeCell ref="AM48:AP48"/>
    <mergeCell ref="C49:D49"/>
    <mergeCell ref="E49:K49"/>
    <mergeCell ref="L49:O49"/>
    <mergeCell ref="P49:R49"/>
    <mergeCell ref="S49:V49"/>
    <mergeCell ref="W49:Z49"/>
    <mergeCell ref="AA49:AD49"/>
    <mergeCell ref="AE49:AH49"/>
    <mergeCell ref="C48:D48"/>
    <mergeCell ref="E48:K48"/>
    <mergeCell ref="L48:O48"/>
    <mergeCell ref="P48:R48"/>
    <mergeCell ref="S48:V48"/>
    <mergeCell ref="W48:Z48"/>
    <mergeCell ref="AA48:AD48"/>
    <mergeCell ref="AE48:AH48"/>
    <mergeCell ref="AI48:AL48"/>
    <mergeCell ref="AI50:AL50"/>
    <mergeCell ref="AM50:AP50"/>
    <mergeCell ref="C55:D56"/>
    <mergeCell ref="E55:U56"/>
    <mergeCell ref="W55:X56"/>
    <mergeCell ref="Y55:AP56"/>
    <mergeCell ref="AI49:AL49"/>
    <mergeCell ref="AM49:AP49"/>
    <mergeCell ref="C50:D50"/>
    <mergeCell ref="E50:K50"/>
    <mergeCell ref="L50:O50"/>
    <mergeCell ref="P50:R50"/>
    <mergeCell ref="S50:V50"/>
    <mergeCell ref="W50:Z50"/>
    <mergeCell ref="AA50:AD50"/>
    <mergeCell ref="AE50:AH50"/>
    <mergeCell ref="C59:D59"/>
    <mergeCell ref="E59:P59"/>
    <mergeCell ref="Q59:U59"/>
    <mergeCell ref="W59:X59"/>
    <mergeCell ref="Y59:AL59"/>
    <mergeCell ref="AM59:AP59"/>
    <mergeCell ref="C57:D57"/>
    <mergeCell ref="E57:U57"/>
    <mergeCell ref="W57:X57"/>
    <mergeCell ref="Y57:AP57"/>
    <mergeCell ref="C58:D58"/>
    <mergeCell ref="W58:X58"/>
    <mergeCell ref="Y58:AL58"/>
    <mergeCell ref="AM58:AP58"/>
    <mergeCell ref="C61:D61"/>
    <mergeCell ref="E61:P61"/>
    <mergeCell ref="Q61:U61"/>
    <mergeCell ref="W61:X61"/>
    <mergeCell ref="Y61:AL61"/>
    <mergeCell ref="AM61:AP61"/>
    <mergeCell ref="C60:D60"/>
    <mergeCell ref="E60:P60"/>
    <mergeCell ref="Q60:U60"/>
    <mergeCell ref="W60:X60"/>
    <mergeCell ref="Y60:AL60"/>
    <mergeCell ref="AM60:AP60"/>
    <mergeCell ref="C63:D63"/>
    <mergeCell ref="E63:P63"/>
    <mergeCell ref="Q63:U63"/>
    <mergeCell ref="W63:X63"/>
    <mergeCell ref="Y63:AL63"/>
    <mergeCell ref="AM63:AP63"/>
    <mergeCell ref="C62:D62"/>
    <mergeCell ref="E62:P62"/>
    <mergeCell ref="Q62:U62"/>
    <mergeCell ref="W62:X62"/>
    <mergeCell ref="Y62:AL62"/>
    <mergeCell ref="AM62:AP62"/>
    <mergeCell ref="C65:D65"/>
    <mergeCell ref="E65:P65"/>
    <mergeCell ref="Q65:U65"/>
    <mergeCell ref="W65:X65"/>
    <mergeCell ref="Y65:AL65"/>
    <mergeCell ref="AM65:AP65"/>
    <mergeCell ref="C64:D64"/>
    <mergeCell ref="E64:P64"/>
    <mergeCell ref="Q64:U64"/>
    <mergeCell ref="W64:X64"/>
    <mergeCell ref="Y64:AL64"/>
    <mergeCell ref="AM64:AP64"/>
    <mergeCell ref="C67:D67"/>
    <mergeCell ref="E67:P67"/>
    <mergeCell ref="Q67:U67"/>
    <mergeCell ref="W67:X67"/>
    <mergeCell ref="Y67:AL67"/>
    <mergeCell ref="AM67:AP67"/>
    <mergeCell ref="C66:D66"/>
    <mergeCell ref="E66:P66"/>
    <mergeCell ref="Q66:U66"/>
    <mergeCell ref="W66:X66"/>
    <mergeCell ref="Y66:AL66"/>
    <mergeCell ref="AM66:AP66"/>
    <mergeCell ref="C69:D69"/>
    <mergeCell ref="E69:P69"/>
    <mergeCell ref="Q69:U69"/>
    <mergeCell ref="W69:X69"/>
    <mergeCell ref="Y69:AL69"/>
    <mergeCell ref="AM69:AP69"/>
    <mergeCell ref="C68:D68"/>
    <mergeCell ref="E68:P68"/>
    <mergeCell ref="Q68:U68"/>
    <mergeCell ref="W68:X68"/>
    <mergeCell ref="Y68:AL68"/>
    <mergeCell ref="AM68:AP68"/>
    <mergeCell ref="C71:D71"/>
    <mergeCell ref="E71:P71"/>
    <mergeCell ref="Q71:U71"/>
    <mergeCell ref="W71:X71"/>
    <mergeCell ref="Y71:AL71"/>
    <mergeCell ref="AM71:AP71"/>
    <mergeCell ref="C70:D70"/>
    <mergeCell ref="E70:P70"/>
    <mergeCell ref="Q70:U70"/>
    <mergeCell ref="W70:X70"/>
    <mergeCell ref="Y70:AL70"/>
    <mergeCell ref="AM70:AP70"/>
    <mergeCell ref="C73:D73"/>
    <mergeCell ref="E73:P73"/>
    <mergeCell ref="Q73:U73"/>
    <mergeCell ref="W73:X73"/>
    <mergeCell ref="Y73:AL73"/>
    <mergeCell ref="AM73:AP73"/>
    <mergeCell ref="C72:D72"/>
    <mergeCell ref="E72:P72"/>
    <mergeCell ref="Q72:U72"/>
    <mergeCell ref="W72:X72"/>
    <mergeCell ref="Y72:AL72"/>
    <mergeCell ref="AM72:AP72"/>
    <mergeCell ref="C75:D75"/>
    <mergeCell ref="E75:P75"/>
    <mergeCell ref="Q75:U75"/>
    <mergeCell ref="W75:X75"/>
    <mergeCell ref="Y75:AL75"/>
    <mergeCell ref="AM75:AP75"/>
    <mergeCell ref="C74:D74"/>
    <mergeCell ref="E74:P74"/>
    <mergeCell ref="Q74:U74"/>
    <mergeCell ref="W74:X74"/>
    <mergeCell ref="Y74:AL74"/>
    <mergeCell ref="AM74:AP74"/>
    <mergeCell ref="C77:D77"/>
    <mergeCell ref="E77:P77"/>
    <mergeCell ref="Q77:U77"/>
    <mergeCell ref="W77:X77"/>
    <mergeCell ref="Y77:AL77"/>
    <mergeCell ref="AM77:AP77"/>
    <mergeCell ref="C76:D76"/>
    <mergeCell ref="E76:P76"/>
    <mergeCell ref="Q76:U76"/>
    <mergeCell ref="W76:X76"/>
    <mergeCell ref="Y76:AL76"/>
    <mergeCell ref="AM76:AP76"/>
    <mergeCell ref="C79:D79"/>
    <mergeCell ref="E79:P79"/>
    <mergeCell ref="Q79:U79"/>
    <mergeCell ref="W79:X79"/>
    <mergeCell ref="Y79:AL79"/>
    <mergeCell ref="AM79:AP79"/>
    <mergeCell ref="C78:D78"/>
    <mergeCell ref="E78:P78"/>
    <mergeCell ref="Q78:U78"/>
    <mergeCell ref="W78:X78"/>
    <mergeCell ref="Y78:AL78"/>
    <mergeCell ref="AM78:AP78"/>
    <mergeCell ref="C81:D81"/>
    <mergeCell ref="E81:P81"/>
    <mergeCell ref="Q81:U81"/>
    <mergeCell ref="W81:X81"/>
    <mergeCell ref="Y81:AL81"/>
    <mergeCell ref="AM81:AP81"/>
    <mergeCell ref="C80:D80"/>
    <mergeCell ref="E80:P80"/>
    <mergeCell ref="Q80:U80"/>
    <mergeCell ref="W80:X80"/>
    <mergeCell ref="Y80:AL80"/>
    <mergeCell ref="AM80:AP80"/>
    <mergeCell ref="E93:T93"/>
    <mergeCell ref="Y93:AN93"/>
    <mergeCell ref="C84:D84"/>
    <mergeCell ref="C85:D85"/>
    <mergeCell ref="C86:D86"/>
    <mergeCell ref="C87:D87"/>
    <mergeCell ref="C88:D88"/>
    <mergeCell ref="C89:D89"/>
    <mergeCell ref="C82:D82"/>
    <mergeCell ref="E82:P82"/>
    <mergeCell ref="Q82:U82"/>
    <mergeCell ref="W82:X82"/>
    <mergeCell ref="Y82:AL82"/>
    <mergeCell ref="AM82:AP82"/>
    <mergeCell ref="C112:D112"/>
    <mergeCell ref="C19:D21"/>
    <mergeCell ref="C106:D106"/>
    <mergeCell ref="C107:D107"/>
    <mergeCell ref="C108:D108"/>
    <mergeCell ref="C109:D109"/>
    <mergeCell ref="C110:D110"/>
    <mergeCell ref="C111:D111"/>
    <mergeCell ref="C100:D100"/>
    <mergeCell ref="C101:D101"/>
    <mergeCell ref="C102:D102"/>
    <mergeCell ref="C103:D103"/>
    <mergeCell ref="C104:D104"/>
    <mergeCell ref="C105:D105"/>
    <mergeCell ref="C94:D94"/>
    <mergeCell ref="C95:D95"/>
    <mergeCell ref="C96:D96"/>
    <mergeCell ref="C97:D97"/>
    <mergeCell ref="C98:D98"/>
    <mergeCell ref="C99:D99"/>
    <mergeCell ref="C90:D90"/>
    <mergeCell ref="C91:D91"/>
    <mergeCell ref="C92:D92"/>
    <mergeCell ref="C93:D9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00F8A-10F9-4D81-892C-5C888BEA3AC2}">
  <dimension ref="C4:BB102"/>
  <sheetViews>
    <sheetView showGridLines="0" zoomScale="90" zoomScaleNormal="90" workbookViewId="0">
      <selection activeCell="C54" sqref="C54:AP55"/>
    </sheetView>
  </sheetViews>
  <sheetFormatPr defaultRowHeight="15" x14ac:dyDescent="0.25"/>
  <cols>
    <col min="1" max="2" width="3.7109375" customWidth="1"/>
    <col min="3" max="3" width="4.28515625" customWidth="1"/>
    <col min="4" max="4" width="5.28515625" customWidth="1"/>
    <col min="5" max="5" width="4.42578125" customWidth="1"/>
    <col min="6" max="6" width="4.28515625" customWidth="1"/>
    <col min="7" max="7" width="4.42578125" customWidth="1"/>
    <col min="8" max="9" width="4.5703125" customWidth="1"/>
    <col min="10" max="10" width="4.28515625" customWidth="1"/>
    <col min="11" max="11" width="4.7109375" customWidth="1"/>
    <col min="12" max="13" width="4.28515625" customWidth="1"/>
    <col min="14" max="15" width="3.42578125" customWidth="1"/>
    <col min="16" max="20" width="4.28515625" customWidth="1"/>
    <col min="21" max="21" width="4" customWidth="1"/>
    <col min="22" max="34" width="4.28515625" customWidth="1"/>
    <col min="35" max="35" width="5.28515625" customWidth="1"/>
    <col min="36" max="36" width="4.28515625" customWidth="1"/>
    <col min="37" max="37" width="4.7109375" customWidth="1"/>
    <col min="38" max="45" width="4.28515625" customWidth="1"/>
  </cols>
  <sheetData>
    <row r="4" spans="3:44" x14ac:dyDescent="0.25">
      <c r="C4" s="165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8"/>
    </row>
    <row r="5" spans="3:44" ht="15.6" customHeight="1" x14ac:dyDescent="0.25">
      <c r="C5" s="169"/>
      <c r="D5" s="170" t="s">
        <v>202</v>
      </c>
      <c r="E5" s="14"/>
      <c r="F5" s="14"/>
      <c r="G5" s="14"/>
      <c r="H5" s="14"/>
      <c r="I5" s="14"/>
      <c r="J5" s="14"/>
      <c r="K5" s="14"/>
      <c r="L5" s="14"/>
      <c r="M5" s="14"/>
      <c r="N5" s="163"/>
      <c r="O5" s="886" t="s">
        <v>303</v>
      </c>
      <c r="P5" s="886"/>
      <c r="Q5" s="886"/>
      <c r="R5" s="886"/>
      <c r="S5" s="886"/>
      <c r="T5" s="886"/>
      <c r="U5" s="886"/>
      <c r="V5" s="886"/>
      <c r="W5" s="886"/>
      <c r="X5" s="886"/>
      <c r="Y5" s="886"/>
      <c r="Z5" s="886"/>
      <c r="AA5" s="886"/>
      <c r="AB5" s="886"/>
      <c r="AC5" s="886"/>
      <c r="AD5" s="886"/>
      <c r="AE5" s="886"/>
      <c r="AF5" s="886"/>
      <c r="AG5" s="886"/>
      <c r="AH5" s="163"/>
      <c r="AI5" s="887" t="s">
        <v>626</v>
      </c>
      <c r="AJ5" s="887"/>
      <c r="AK5" s="887"/>
      <c r="AL5" s="887"/>
      <c r="AM5" s="887"/>
      <c r="AN5" s="887"/>
      <c r="AO5" s="887"/>
      <c r="AP5" s="173"/>
    </row>
    <row r="6" spans="3:44" ht="2.65" customHeight="1" x14ac:dyDescent="0.25">
      <c r="C6" s="169"/>
      <c r="D6" s="14"/>
      <c r="E6" s="14"/>
      <c r="F6" s="14"/>
      <c r="G6" s="14"/>
      <c r="H6" s="14"/>
      <c r="I6" s="14"/>
      <c r="J6" s="14"/>
      <c r="K6" s="14"/>
      <c r="L6" s="14"/>
      <c r="M6" s="14"/>
      <c r="N6" s="163"/>
      <c r="O6" s="886"/>
      <c r="P6" s="886"/>
      <c r="Q6" s="886"/>
      <c r="R6" s="886"/>
      <c r="S6" s="886"/>
      <c r="T6" s="886"/>
      <c r="U6" s="886"/>
      <c r="V6" s="886"/>
      <c r="W6" s="886"/>
      <c r="X6" s="886"/>
      <c r="Y6" s="886"/>
      <c r="Z6" s="886"/>
      <c r="AA6" s="886"/>
      <c r="AB6" s="886"/>
      <c r="AC6" s="886"/>
      <c r="AD6" s="886"/>
      <c r="AE6" s="886"/>
      <c r="AF6" s="886"/>
      <c r="AG6" s="886"/>
      <c r="AH6" s="163"/>
      <c r="AI6" s="887"/>
      <c r="AJ6" s="887"/>
      <c r="AK6" s="887"/>
      <c r="AL6" s="887"/>
      <c r="AM6" s="887"/>
      <c r="AN6" s="887"/>
      <c r="AO6" s="887"/>
      <c r="AP6" s="173"/>
    </row>
    <row r="7" spans="3:44" ht="14.65" customHeight="1" x14ac:dyDescent="0.35">
      <c r="C7" s="169"/>
      <c r="D7" s="224" t="s">
        <v>305</v>
      </c>
      <c r="E7" s="225"/>
      <c r="F7" s="225"/>
      <c r="G7" s="225"/>
      <c r="H7" s="225"/>
      <c r="I7" s="225"/>
      <c r="J7" s="225"/>
      <c r="K7" s="225"/>
      <c r="L7" s="225"/>
      <c r="M7" s="225"/>
      <c r="N7" s="163"/>
      <c r="O7" s="886"/>
      <c r="P7" s="886"/>
      <c r="Q7" s="886"/>
      <c r="R7" s="886"/>
      <c r="S7" s="886"/>
      <c r="T7" s="886"/>
      <c r="U7" s="886"/>
      <c r="V7" s="886"/>
      <c r="W7" s="886"/>
      <c r="X7" s="886"/>
      <c r="Y7" s="886"/>
      <c r="Z7" s="886"/>
      <c r="AA7" s="886"/>
      <c r="AB7" s="886"/>
      <c r="AC7" s="886"/>
      <c r="AD7" s="886"/>
      <c r="AE7" s="886"/>
      <c r="AF7" s="886"/>
      <c r="AG7" s="886"/>
      <c r="AH7" s="163"/>
      <c r="AI7" s="887"/>
      <c r="AJ7" s="887"/>
      <c r="AK7" s="887"/>
      <c r="AL7" s="887"/>
      <c r="AM7" s="887"/>
      <c r="AN7" s="887"/>
      <c r="AO7" s="887"/>
      <c r="AP7" s="173"/>
    </row>
    <row r="8" spans="3:44" ht="2.65" customHeight="1" x14ac:dyDescent="0.35">
      <c r="C8" s="169"/>
      <c r="D8" s="226"/>
      <c r="E8" s="225"/>
      <c r="F8" s="225"/>
      <c r="G8" s="225"/>
      <c r="H8" s="225"/>
      <c r="I8" s="225"/>
      <c r="J8" s="225"/>
      <c r="K8" s="225"/>
      <c r="L8" s="225"/>
      <c r="M8" s="225"/>
      <c r="N8" s="163"/>
      <c r="O8" s="171"/>
      <c r="P8" s="172"/>
      <c r="Q8" s="163"/>
      <c r="R8" s="163"/>
      <c r="S8" s="163"/>
      <c r="T8" s="163"/>
      <c r="U8" s="163"/>
      <c r="V8" s="163"/>
      <c r="W8" s="163"/>
      <c r="X8" s="163"/>
      <c r="Y8" s="163"/>
      <c r="Z8" s="163"/>
      <c r="AA8" s="163"/>
      <c r="AB8" s="163"/>
      <c r="AC8" s="163"/>
      <c r="AD8" s="163"/>
      <c r="AE8" s="163"/>
      <c r="AF8" s="163"/>
      <c r="AG8" s="163"/>
      <c r="AH8" s="163"/>
      <c r="AI8" s="887"/>
      <c r="AJ8" s="887"/>
      <c r="AK8" s="887"/>
      <c r="AL8" s="887"/>
      <c r="AM8" s="887"/>
      <c r="AN8" s="887"/>
      <c r="AO8" s="887"/>
      <c r="AP8" s="173"/>
    </row>
    <row r="9" spans="3:44" ht="14.65" customHeight="1" x14ac:dyDescent="0.25">
      <c r="C9" s="169"/>
      <c r="D9" s="224" t="s">
        <v>306</v>
      </c>
      <c r="E9" s="227"/>
      <c r="F9" s="227"/>
      <c r="G9" s="227"/>
      <c r="H9" s="227"/>
      <c r="I9" s="227"/>
      <c r="J9" s="227"/>
      <c r="K9" s="227"/>
      <c r="L9" s="227"/>
      <c r="M9" s="227"/>
      <c r="N9" s="163"/>
      <c r="O9" s="888" t="s">
        <v>625</v>
      </c>
      <c r="P9" s="888"/>
      <c r="Q9" s="888"/>
      <c r="R9" s="888"/>
      <c r="S9" s="888"/>
      <c r="T9" s="888"/>
      <c r="U9" s="888"/>
      <c r="V9" s="888"/>
      <c r="W9" s="888"/>
      <c r="X9" s="888"/>
      <c r="Y9" s="888"/>
      <c r="Z9" s="888"/>
      <c r="AA9" s="888"/>
      <c r="AB9" s="888"/>
      <c r="AC9" s="888"/>
      <c r="AD9" s="888"/>
      <c r="AE9" s="888"/>
      <c r="AF9" s="888"/>
      <c r="AG9" s="888"/>
      <c r="AH9" s="163"/>
      <c r="AI9" s="887"/>
      <c r="AJ9" s="887"/>
      <c r="AK9" s="887"/>
      <c r="AL9" s="887"/>
      <c r="AM9" s="887"/>
      <c r="AN9" s="887"/>
      <c r="AO9" s="887"/>
      <c r="AP9" s="173"/>
    </row>
    <row r="10" spans="3:44" ht="2.65" customHeight="1" x14ac:dyDescent="0.25">
      <c r="C10" s="169"/>
      <c r="D10" s="226"/>
      <c r="E10" s="227"/>
      <c r="F10" s="227"/>
      <c r="G10" s="227"/>
      <c r="H10" s="227"/>
      <c r="I10" s="227"/>
      <c r="J10" s="227"/>
      <c r="K10" s="227"/>
      <c r="L10" s="227"/>
      <c r="M10" s="227"/>
      <c r="N10" s="163"/>
      <c r="O10" s="888"/>
      <c r="P10" s="888"/>
      <c r="Q10" s="888"/>
      <c r="R10" s="888"/>
      <c r="S10" s="888"/>
      <c r="T10" s="888"/>
      <c r="U10" s="888"/>
      <c r="V10" s="888"/>
      <c r="W10" s="888"/>
      <c r="X10" s="888"/>
      <c r="Y10" s="888"/>
      <c r="Z10" s="888"/>
      <c r="AA10" s="888"/>
      <c r="AB10" s="888"/>
      <c r="AC10" s="888"/>
      <c r="AD10" s="888"/>
      <c r="AE10" s="888"/>
      <c r="AF10" s="888"/>
      <c r="AG10" s="888"/>
      <c r="AH10" s="163"/>
      <c r="AI10" s="228"/>
      <c r="AJ10" s="228"/>
      <c r="AK10" s="228"/>
      <c r="AL10" s="228"/>
      <c r="AM10" s="228"/>
      <c r="AN10" s="228"/>
      <c r="AO10" s="228"/>
      <c r="AP10" s="173"/>
    </row>
    <row r="11" spans="3:44" ht="14.65" customHeight="1" x14ac:dyDescent="0.25">
      <c r="C11" s="169"/>
      <c r="D11" s="224" t="s">
        <v>307</v>
      </c>
      <c r="E11" s="227"/>
      <c r="F11" s="227"/>
      <c r="G11" s="227"/>
      <c r="H11" s="227"/>
      <c r="I11" s="227"/>
      <c r="J11" s="227"/>
      <c r="K11" s="227"/>
      <c r="L11" s="227"/>
      <c r="M11" s="227"/>
      <c r="N11" s="163"/>
      <c r="O11" s="888"/>
      <c r="P11" s="888"/>
      <c r="Q11" s="888"/>
      <c r="R11" s="888"/>
      <c r="S11" s="888"/>
      <c r="T11" s="888"/>
      <c r="U11" s="888"/>
      <c r="V11" s="888"/>
      <c r="W11" s="888"/>
      <c r="X11" s="888"/>
      <c r="Y11" s="888"/>
      <c r="Z11" s="888"/>
      <c r="AA11" s="888"/>
      <c r="AB11" s="888"/>
      <c r="AC11" s="888"/>
      <c r="AD11" s="888"/>
      <c r="AE11" s="888"/>
      <c r="AF11" s="888"/>
      <c r="AG11" s="888"/>
      <c r="AH11" s="163"/>
      <c r="AI11" s="229"/>
      <c r="AJ11" s="229"/>
      <c r="AK11" s="229"/>
      <c r="AL11" s="229"/>
      <c r="AM11" s="229"/>
      <c r="AN11" s="229"/>
      <c r="AO11" s="229"/>
      <c r="AP11" s="173"/>
    </row>
    <row r="12" spans="3:44" ht="2.65" customHeight="1" x14ac:dyDescent="0.25">
      <c r="C12" s="169"/>
      <c r="D12" s="226"/>
      <c r="E12" s="227"/>
      <c r="F12" s="227"/>
      <c r="G12" s="227"/>
      <c r="H12" s="227"/>
      <c r="I12" s="227"/>
      <c r="J12" s="227"/>
      <c r="K12" s="227"/>
      <c r="L12" s="227"/>
      <c r="M12" s="227"/>
      <c r="N12" s="163"/>
      <c r="O12" s="171"/>
      <c r="P12" s="172"/>
      <c r="Q12" s="163"/>
      <c r="R12" s="163"/>
      <c r="S12" s="163"/>
      <c r="T12" s="163"/>
      <c r="U12" s="163"/>
      <c r="V12" s="163"/>
      <c r="W12" s="163"/>
      <c r="X12" s="163"/>
      <c r="Y12" s="163"/>
      <c r="Z12" s="163"/>
      <c r="AA12" s="163"/>
      <c r="AB12" s="163"/>
      <c r="AC12" s="163"/>
      <c r="AD12" s="163"/>
      <c r="AE12" s="163"/>
      <c r="AF12" s="163"/>
      <c r="AG12" s="163"/>
      <c r="AH12" s="163"/>
      <c r="AI12" s="196"/>
      <c r="AJ12" s="196"/>
      <c r="AK12" s="196"/>
      <c r="AL12" s="196"/>
      <c r="AM12" s="196"/>
      <c r="AN12" s="196"/>
      <c r="AO12" s="196"/>
      <c r="AP12" s="173"/>
    </row>
    <row r="13" spans="3:44" ht="16.5" customHeight="1" x14ac:dyDescent="0.25">
      <c r="C13" s="169"/>
      <c r="D13" s="224" t="s">
        <v>624</v>
      </c>
      <c r="E13" s="227"/>
      <c r="F13" s="227"/>
      <c r="G13" s="227"/>
      <c r="H13" s="227"/>
      <c r="I13" s="227"/>
      <c r="J13" s="227"/>
      <c r="K13" s="227"/>
      <c r="L13" s="227"/>
      <c r="M13" s="227"/>
      <c r="N13" s="230"/>
      <c r="O13" s="231" t="s">
        <v>36</v>
      </c>
      <c r="P13" s="176"/>
      <c r="Q13" s="45"/>
      <c r="R13" s="221"/>
      <c r="S13" s="220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63"/>
      <c r="AI13" s="214" t="s">
        <v>11</v>
      </c>
      <c r="AJ13" s="163"/>
      <c r="AK13" s="163"/>
      <c r="AL13" s="152"/>
      <c r="AM13" s="152"/>
      <c r="AN13" s="152"/>
      <c r="AO13" s="152"/>
      <c r="AP13" s="173"/>
    </row>
    <row r="14" spans="3:44" ht="2.65" customHeight="1" x14ac:dyDescent="0.25">
      <c r="C14" s="169"/>
      <c r="D14" s="2"/>
      <c r="E14" s="175"/>
      <c r="F14" s="175"/>
      <c r="G14" s="175"/>
      <c r="H14" s="175"/>
      <c r="I14" s="175"/>
      <c r="J14" s="175"/>
      <c r="K14" s="175"/>
      <c r="L14" s="175"/>
      <c r="M14" s="175"/>
      <c r="N14" s="163"/>
      <c r="O14" s="176"/>
      <c r="P14" s="176"/>
      <c r="Q14" s="163"/>
      <c r="R14" s="163"/>
      <c r="S14" s="163"/>
      <c r="T14" s="163"/>
      <c r="U14" s="163"/>
      <c r="V14" s="163"/>
      <c r="W14" s="163"/>
      <c r="X14" s="163"/>
      <c r="Y14" s="163"/>
      <c r="Z14" s="163"/>
      <c r="AA14" s="163"/>
      <c r="AB14" s="163"/>
      <c r="AC14" s="163"/>
      <c r="AD14" s="163"/>
      <c r="AE14" s="163"/>
      <c r="AF14" s="163"/>
      <c r="AG14" s="163"/>
      <c r="AH14" s="163"/>
      <c r="AI14" s="163"/>
      <c r="AJ14" s="163"/>
      <c r="AK14" s="163"/>
      <c r="AL14" s="163"/>
      <c r="AM14" s="163"/>
      <c r="AN14" s="163"/>
      <c r="AO14" s="163"/>
      <c r="AP14" s="173"/>
    </row>
    <row r="15" spans="3:44" ht="11.65" customHeight="1" x14ac:dyDescent="0.25">
      <c r="C15" s="169"/>
      <c r="D15" s="174"/>
      <c r="E15" s="14"/>
      <c r="F15" s="14"/>
      <c r="G15" s="14"/>
      <c r="H15" s="14"/>
      <c r="I15" s="14"/>
      <c r="J15" s="14"/>
      <c r="K15" s="14"/>
      <c r="L15" s="14"/>
      <c r="M15" s="14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  <c r="AA15" s="163"/>
      <c r="AB15" s="163"/>
      <c r="AC15" s="163"/>
      <c r="AD15" s="163"/>
      <c r="AE15" s="163"/>
      <c r="AF15" s="163"/>
      <c r="AG15" s="163"/>
      <c r="AH15" s="163"/>
      <c r="AI15" s="163"/>
      <c r="AJ15" s="163"/>
      <c r="AK15" s="163"/>
      <c r="AL15" s="163"/>
      <c r="AM15" s="163"/>
      <c r="AN15" s="163"/>
      <c r="AO15" s="163"/>
      <c r="AP15" s="173"/>
    </row>
    <row r="16" spans="3:44" ht="2.65" customHeight="1" x14ac:dyDescent="0.25">
      <c r="C16" s="39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77"/>
      <c r="AQ16" s="115"/>
      <c r="AR16" s="115"/>
    </row>
    <row r="17" spans="3:54" ht="15.75" x14ac:dyDescent="0.25">
      <c r="C17" s="324" t="s">
        <v>313</v>
      </c>
      <c r="D17" s="325" t="s">
        <v>312</v>
      </c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178"/>
    </row>
    <row r="18" spans="3:54" ht="3.6" customHeight="1" x14ac:dyDescent="0.25">
      <c r="C18" s="53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179"/>
      <c r="AQ18" s="115"/>
      <c r="AR18" s="115"/>
      <c r="AS18" s="115"/>
      <c r="AT18" s="115"/>
      <c r="AU18" s="115"/>
      <c r="AV18" s="115"/>
      <c r="AW18" s="115"/>
      <c r="AX18" s="115"/>
      <c r="AY18" s="115"/>
      <c r="AZ18" s="115"/>
      <c r="BA18" s="115"/>
      <c r="BB18" s="116"/>
    </row>
    <row r="19" spans="3:54" ht="18.600000000000001" customHeight="1" x14ac:dyDescent="0.25">
      <c r="C19" s="793" t="s">
        <v>310</v>
      </c>
      <c r="D19" s="794"/>
      <c r="E19" s="691" t="s">
        <v>311</v>
      </c>
      <c r="F19" s="691"/>
      <c r="G19" s="691"/>
      <c r="H19" s="691"/>
      <c r="I19" s="691"/>
      <c r="J19" s="691"/>
      <c r="K19" s="691"/>
      <c r="L19" s="794" t="s">
        <v>314</v>
      </c>
      <c r="M19" s="794"/>
      <c r="N19" s="794"/>
      <c r="O19" s="889"/>
      <c r="P19" s="892" t="s">
        <v>315</v>
      </c>
      <c r="Q19" s="794"/>
      <c r="R19" s="889"/>
      <c r="S19" s="892" t="s">
        <v>316</v>
      </c>
      <c r="T19" s="794"/>
      <c r="U19" s="794"/>
      <c r="V19" s="889"/>
      <c r="W19" s="764" t="s">
        <v>317</v>
      </c>
      <c r="X19" s="764"/>
      <c r="Y19" s="764"/>
      <c r="Z19" s="764"/>
      <c r="AA19" s="764" t="s">
        <v>318</v>
      </c>
      <c r="AB19" s="764"/>
      <c r="AC19" s="764"/>
      <c r="AD19" s="764"/>
      <c r="AE19" s="892" t="s">
        <v>320</v>
      </c>
      <c r="AF19" s="794"/>
      <c r="AG19" s="794"/>
      <c r="AH19" s="889"/>
      <c r="AI19" s="764" t="s">
        <v>321</v>
      </c>
      <c r="AJ19" s="764"/>
      <c r="AK19" s="764"/>
      <c r="AL19" s="764"/>
      <c r="AM19" s="764" t="s">
        <v>319</v>
      </c>
      <c r="AN19" s="764"/>
      <c r="AO19" s="764"/>
      <c r="AP19" s="894"/>
      <c r="AQ19" s="153"/>
      <c r="AR19" s="153"/>
      <c r="AS19" s="153"/>
      <c r="AT19" s="153"/>
      <c r="AU19" s="153"/>
      <c r="AV19" s="153"/>
      <c r="AW19" s="153"/>
      <c r="AX19" s="153"/>
      <c r="AY19" s="153"/>
      <c r="AZ19" s="153"/>
      <c r="BA19" s="154"/>
      <c r="BB19" s="154"/>
    </row>
    <row r="20" spans="3:54" ht="3" customHeight="1" x14ac:dyDescent="0.25">
      <c r="C20" s="748"/>
      <c r="D20" s="749"/>
      <c r="E20" s="691"/>
      <c r="F20" s="691"/>
      <c r="G20" s="691"/>
      <c r="H20" s="691"/>
      <c r="I20" s="691"/>
      <c r="J20" s="691"/>
      <c r="K20" s="691"/>
      <c r="L20" s="749"/>
      <c r="M20" s="749"/>
      <c r="N20" s="749"/>
      <c r="O20" s="890"/>
      <c r="P20" s="744"/>
      <c r="Q20" s="749"/>
      <c r="R20" s="890"/>
      <c r="S20" s="744"/>
      <c r="T20" s="749"/>
      <c r="U20" s="749"/>
      <c r="V20" s="890"/>
      <c r="W20" s="764"/>
      <c r="X20" s="764"/>
      <c r="Y20" s="764"/>
      <c r="Z20" s="764"/>
      <c r="AA20" s="764"/>
      <c r="AB20" s="764"/>
      <c r="AC20" s="764"/>
      <c r="AD20" s="764"/>
      <c r="AE20" s="744"/>
      <c r="AF20" s="749"/>
      <c r="AG20" s="749"/>
      <c r="AH20" s="890"/>
      <c r="AI20" s="764"/>
      <c r="AJ20" s="764"/>
      <c r="AK20" s="764"/>
      <c r="AL20" s="764"/>
      <c r="AM20" s="764"/>
      <c r="AN20" s="764"/>
      <c r="AO20" s="764"/>
      <c r="AP20" s="894"/>
      <c r="AQ20" s="153"/>
      <c r="AR20" s="153"/>
      <c r="AS20" s="153"/>
      <c r="AT20" s="153"/>
      <c r="AU20" s="153"/>
      <c r="AV20" s="153"/>
      <c r="AW20" s="153"/>
      <c r="AX20" s="153"/>
      <c r="AY20" s="153"/>
      <c r="AZ20" s="153"/>
      <c r="BA20" s="153"/>
      <c r="BB20" s="154"/>
    </row>
    <row r="21" spans="3:54" ht="19.149999999999999" customHeight="1" x14ac:dyDescent="0.25">
      <c r="C21" s="795"/>
      <c r="D21" s="796"/>
      <c r="E21" s="691"/>
      <c r="F21" s="691"/>
      <c r="G21" s="691"/>
      <c r="H21" s="691"/>
      <c r="I21" s="691"/>
      <c r="J21" s="691"/>
      <c r="K21" s="691"/>
      <c r="L21" s="796"/>
      <c r="M21" s="796"/>
      <c r="N21" s="796"/>
      <c r="O21" s="891"/>
      <c r="P21" s="893"/>
      <c r="Q21" s="796"/>
      <c r="R21" s="891"/>
      <c r="S21" s="893"/>
      <c r="T21" s="796"/>
      <c r="U21" s="796"/>
      <c r="V21" s="891"/>
      <c r="W21" s="764"/>
      <c r="X21" s="764"/>
      <c r="Y21" s="764"/>
      <c r="Z21" s="764"/>
      <c r="AA21" s="764"/>
      <c r="AB21" s="764"/>
      <c r="AC21" s="764"/>
      <c r="AD21" s="764"/>
      <c r="AE21" s="893"/>
      <c r="AF21" s="796"/>
      <c r="AG21" s="796"/>
      <c r="AH21" s="891"/>
      <c r="AI21" s="764"/>
      <c r="AJ21" s="764"/>
      <c r="AK21" s="764"/>
      <c r="AL21" s="764"/>
      <c r="AM21" s="764"/>
      <c r="AN21" s="764"/>
      <c r="AO21" s="764"/>
      <c r="AP21" s="894"/>
    </row>
    <row r="22" spans="3:54" x14ac:dyDescent="0.25">
      <c r="C22" s="882" t="s">
        <v>213</v>
      </c>
      <c r="D22" s="863"/>
      <c r="E22" s="883" t="s">
        <v>214</v>
      </c>
      <c r="F22" s="884"/>
      <c r="G22" s="884"/>
      <c r="H22" s="884"/>
      <c r="I22" s="884"/>
      <c r="J22" s="884"/>
      <c r="K22" s="885"/>
      <c r="L22" s="861" t="s">
        <v>215</v>
      </c>
      <c r="M22" s="862"/>
      <c r="N22" s="862"/>
      <c r="O22" s="863"/>
      <c r="P22" s="861" t="s">
        <v>216</v>
      </c>
      <c r="Q22" s="862"/>
      <c r="R22" s="863"/>
      <c r="S22" s="861" t="s">
        <v>217</v>
      </c>
      <c r="T22" s="862"/>
      <c r="U22" s="862"/>
      <c r="V22" s="863"/>
      <c r="W22" s="755" t="s">
        <v>218</v>
      </c>
      <c r="X22" s="755"/>
      <c r="Y22" s="755"/>
      <c r="Z22" s="755"/>
      <c r="AA22" s="755" t="s">
        <v>219</v>
      </c>
      <c r="AB22" s="755"/>
      <c r="AC22" s="755"/>
      <c r="AD22" s="755"/>
      <c r="AE22" s="861" t="s">
        <v>220</v>
      </c>
      <c r="AF22" s="862"/>
      <c r="AG22" s="862"/>
      <c r="AH22" s="863"/>
      <c r="AI22" s="755" t="s">
        <v>223</v>
      </c>
      <c r="AJ22" s="755"/>
      <c r="AK22" s="755"/>
      <c r="AL22" s="755"/>
      <c r="AM22" s="755" t="s">
        <v>248</v>
      </c>
      <c r="AN22" s="755"/>
      <c r="AO22" s="755"/>
      <c r="AP22" s="843"/>
    </row>
    <row r="23" spans="3:54" x14ac:dyDescent="0.25">
      <c r="C23" s="877"/>
      <c r="D23" s="878"/>
      <c r="E23" s="879" t="s">
        <v>401</v>
      </c>
      <c r="F23" s="880"/>
      <c r="G23" s="880"/>
      <c r="H23" s="880"/>
      <c r="I23" s="880"/>
      <c r="J23" s="880"/>
      <c r="K23" s="881"/>
      <c r="L23" s="867"/>
      <c r="M23" s="868"/>
      <c r="N23" s="868"/>
      <c r="O23" s="869"/>
      <c r="P23" s="870"/>
      <c r="Q23" s="871"/>
      <c r="R23" s="872"/>
      <c r="S23" s="870"/>
      <c r="T23" s="871"/>
      <c r="U23" s="871"/>
      <c r="V23" s="872"/>
      <c r="W23" s="842"/>
      <c r="X23" s="842"/>
      <c r="Y23" s="842"/>
      <c r="Z23" s="842"/>
      <c r="AA23" s="842"/>
      <c r="AB23" s="842"/>
      <c r="AC23" s="842"/>
      <c r="AD23" s="842"/>
      <c r="AE23" s="870"/>
      <c r="AF23" s="871"/>
      <c r="AG23" s="871"/>
      <c r="AH23" s="872"/>
      <c r="AI23" s="842"/>
      <c r="AJ23" s="842"/>
      <c r="AK23" s="842"/>
      <c r="AL23" s="842"/>
      <c r="AM23" s="842"/>
      <c r="AN23" s="842"/>
      <c r="AO23" s="842"/>
      <c r="AP23" s="873"/>
    </row>
    <row r="24" spans="3:54" ht="16.5" customHeight="1" x14ac:dyDescent="0.25">
      <c r="C24" s="809">
        <v>4021</v>
      </c>
      <c r="D24" s="810"/>
      <c r="E24" s="864" t="s">
        <v>402</v>
      </c>
      <c r="F24" s="865"/>
      <c r="G24" s="865"/>
      <c r="H24" s="865"/>
      <c r="I24" s="865"/>
      <c r="J24" s="865"/>
      <c r="K24" s="866"/>
      <c r="L24" s="858"/>
      <c r="M24" s="859"/>
      <c r="N24" s="859"/>
      <c r="O24" s="860"/>
      <c r="P24" s="858"/>
      <c r="Q24" s="859"/>
      <c r="R24" s="860"/>
      <c r="S24" s="858"/>
      <c r="T24" s="859"/>
      <c r="U24" s="859"/>
      <c r="V24" s="860"/>
      <c r="W24" s="755"/>
      <c r="X24" s="755"/>
      <c r="Y24" s="755"/>
      <c r="Z24" s="755"/>
      <c r="AA24" s="755"/>
      <c r="AB24" s="755"/>
      <c r="AC24" s="755"/>
      <c r="AD24" s="755"/>
      <c r="AE24" s="861"/>
      <c r="AF24" s="862"/>
      <c r="AG24" s="862"/>
      <c r="AH24" s="863"/>
      <c r="AI24" s="755"/>
      <c r="AJ24" s="755"/>
      <c r="AK24" s="755"/>
      <c r="AL24" s="755"/>
      <c r="AM24" s="755"/>
      <c r="AN24" s="755"/>
      <c r="AO24" s="755"/>
      <c r="AP24" s="843"/>
    </row>
    <row r="25" spans="3:54" ht="16.5" customHeight="1" x14ac:dyDescent="0.25">
      <c r="C25" s="809">
        <v>5020</v>
      </c>
      <c r="D25" s="810"/>
      <c r="E25" s="864" t="s">
        <v>403</v>
      </c>
      <c r="F25" s="865"/>
      <c r="G25" s="865"/>
      <c r="H25" s="865"/>
      <c r="I25" s="865"/>
      <c r="J25" s="865"/>
      <c r="K25" s="866"/>
      <c r="L25" s="858"/>
      <c r="M25" s="859"/>
      <c r="N25" s="859"/>
      <c r="O25" s="860"/>
      <c r="P25" s="867"/>
      <c r="Q25" s="868"/>
      <c r="R25" s="869"/>
      <c r="S25" s="867"/>
      <c r="T25" s="868"/>
      <c r="U25" s="868"/>
      <c r="V25" s="869"/>
      <c r="W25" s="755"/>
      <c r="X25" s="755"/>
      <c r="Y25" s="755"/>
      <c r="Z25" s="755"/>
      <c r="AA25" s="755"/>
      <c r="AB25" s="755"/>
      <c r="AC25" s="755"/>
      <c r="AD25" s="755"/>
      <c r="AE25" s="861"/>
      <c r="AF25" s="862"/>
      <c r="AG25" s="862"/>
      <c r="AH25" s="863"/>
      <c r="AI25" s="755"/>
      <c r="AJ25" s="755"/>
      <c r="AK25" s="755"/>
      <c r="AL25" s="755"/>
      <c r="AM25" s="755"/>
      <c r="AN25" s="755"/>
      <c r="AO25" s="755"/>
      <c r="AP25" s="843"/>
    </row>
    <row r="26" spans="3:54" ht="16.5" customHeight="1" x14ac:dyDescent="0.25">
      <c r="C26" s="809">
        <v>4300</v>
      </c>
      <c r="D26" s="810"/>
      <c r="E26" s="864" t="s">
        <v>333</v>
      </c>
      <c r="F26" s="865"/>
      <c r="G26" s="865"/>
      <c r="H26" s="865"/>
      <c r="I26" s="865"/>
      <c r="J26" s="865"/>
      <c r="K26" s="866"/>
      <c r="L26" s="858"/>
      <c r="M26" s="859"/>
      <c r="N26" s="859"/>
      <c r="O26" s="860"/>
      <c r="P26" s="867"/>
      <c r="Q26" s="868"/>
      <c r="R26" s="869"/>
      <c r="S26" s="867"/>
      <c r="T26" s="868"/>
      <c r="U26" s="868"/>
      <c r="V26" s="869"/>
      <c r="W26" s="755"/>
      <c r="X26" s="755"/>
      <c r="Y26" s="755"/>
      <c r="Z26" s="755"/>
      <c r="AA26" s="842"/>
      <c r="AB26" s="842"/>
      <c r="AC26" s="842"/>
      <c r="AD26" s="842"/>
      <c r="AE26" s="870"/>
      <c r="AF26" s="871"/>
      <c r="AG26" s="871"/>
      <c r="AH26" s="872"/>
      <c r="AI26" s="842"/>
      <c r="AJ26" s="842"/>
      <c r="AK26" s="842"/>
      <c r="AL26" s="842"/>
      <c r="AM26" s="755"/>
      <c r="AN26" s="755"/>
      <c r="AO26" s="755"/>
      <c r="AP26" s="843"/>
    </row>
    <row r="27" spans="3:54" ht="15" customHeight="1" x14ac:dyDescent="0.25">
      <c r="C27" s="825"/>
      <c r="D27" s="826"/>
      <c r="E27" s="908" t="s">
        <v>334</v>
      </c>
      <c r="F27" s="909"/>
      <c r="G27" s="909"/>
      <c r="H27" s="909"/>
      <c r="I27" s="909"/>
      <c r="J27" s="909"/>
      <c r="K27" s="910"/>
      <c r="L27" s="867"/>
      <c r="M27" s="868"/>
      <c r="N27" s="868"/>
      <c r="O27" s="869"/>
      <c r="P27" s="867"/>
      <c r="Q27" s="868"/>
      <c r="R27" s="869"/>
      <c r="S27" s="867"/>
      <c r="T27" s="868"/>
      <c r="U27" s="868"/>
      <c r="V27" s="869"/>
      <c r="W27" s="842"/>
      <c r="X27" s="842"/>
      <c r="Y27" s="842"/>
      <c r="Z27" s="842"/>
      <c r="AA27" s="842"/>
      <c r="AB27" s="842"/>
      <c r="AC27" s="842"/>
      <c r="AD27" s="842"/>
      <c r="AE27" s="870"/>
      <c r="AF27" s="871"/>
      <c r="AG27" s="871"/>
      <c r="AH27" s="872"/>
      <c r="AI27" s="842"/>
      <c r="AJ27" s="842"/>
      <c r="AK27" s="842"/>
      <c r="AL27" s="842"/>
      <c r="AM27" s="842"/>
      <c r="AN27" s="842"/>
      <c r="AO27" s="842"/>
      <c r="AP27" s="873"/>
    </row>
    <row r="28" spans="3:54" ht="29.65" customHeight="1" x14ac:dyDescent="0.25">
      <c r="C28" s="809">
        <v>5311</v>
      </c>
      <c r="D28" s="810"/>
      <c r="E28" s="864" t="s">
        <v>335</v>
      </c>
      <c r="F28" s="865"/>
      <c r="G28" s="865"/>
      <c r="H28" s="865"/>
      <c r="I28" s="865"/>
      <c r="J28" s="865"/>
      <c r="K28" s="866"/>
      <c r="L28" s="858"/>
      <c r="M28" s="859"/>
      <c r="N28" s="859"/>
      <c r="O28" s="860"/>
      <c r="P28" s="867"/>
      <c r="Q28" s="868"/>
      <c r="R28" s="869"/>
      <c r="S28" s="867"/>
      <c r="T28" s="868"/>
      <c r="U28" s="868"/>
      <c r="V28" s="869"/>
      <c r="W28" s="755"/>
      <c r="X28" s="755"/>
      <c r="Y28" s="755"/>
      <c r="Z28" s="755"/>
      <c r="AA28" s="755"/>
      <c r="AB28" s="755"/>
      <c r="AC28" s="755"/>
      <c r="AD28" s="755"/>
      <c r="AE28" s="861"/>
      <c r="AF28" s="862"/>
      <c r="AG28" s="862"/>
      <c r="AH28" s="863"/>
      <c r="AI28" s="755"/>
      <c r="AJ28" s="755"/>
      <c r="AK28" s="755"/>
      <c r="AL28" s="755"/>
      <c r="AM28" s="755"/>
      <c r="AN28" s="755"/>
      <c r="AO28" s="755"/>
      <c r="AP28" s="843"/>
    </row>
    <row r="29" spans="3:54" ht="16.5" customHeight="1" x14ac:dyDescent="0.25">
      <c r="C29" s="809">
        <v>5313</v>
      </c>
      <c r="D29" s="810"/>
      <c r="E29" s="864" t="s">
        <v>336</v>
      </c>
      <c r="F29" s="865"/>
      <c r="G29" s="865"/>
      <c r="H29" s="865"/>
      <c r="I29" s="865"/>
      <c r="J29" s="865"/>
      <c r="K29" s="866"/>
      <c r="L29" s="858"/>
      <c r="M29" s="859"/>
      <c r="N29" s="859"/>
      <c r="O29" s="860"/>
      <c r="P29" s="867"/>
      <c r="Q29" s="868"/>
      <c r="R29" s="869"/>
      <c r="S29" s="867"/>
      <c r="T29" s="868"/>
      <c r="U29" s="868"/>
      <c r="V29" s="869"/>
      <c r="W29" s="897"/>
      <c r="X29" s="897"/>
      <c r="Y29" s="897"/>
      <c r="Z29" s="897"/>
      <c r="AA29" s="897"/>
      <c r="AB29" s="897"/>
      <c r="AC29" s="897"/>
      <c r="AD29" s="897"/>
      <c r="AE29" s="905"/>
      <c r="AF29" s="906"/>
      <c r="AG29" s="906"/>
      <c r="AH29" s="907"/>
      <c r="AI29" s="897"/>
      <c r="AJ29" s="897"/>
      <c r="AK29" s="897"/>
      <c r="AL29" s="897"/>
      <c r="AM29" s="897"/>
      <c r="AN29" s="897"/>
      <c r="AO29" s="897"/>
      <c r="AP29" s="898"/>
    </row>
    <row r="30" spans="3:54" ht="26.1" customHeight="1" x14ac:dyDescent="0.25">
      <c r="C30" s="809">
        <v>5314</v>
      </c>
      <c r="D30" s="810"/>
      <c r="E30" s="864" t="s">
        <v>337</v>
      </c>
      <c r="F30" s="865"/>
      <c r="G30" s="865"/>
      <c r="H30" s="865"/>
      <c r="I30" s="865"/>
      <c r="J30" s="865"/>
      <c r="K30" s="866"/>
      <c r="L30" s="858"/>
      <c r="M30" s="859"/>
      <c r="N30" s="859"/>
      <c r="O30" s="860"/>
      <c r="P30" s="867"/>
      <c r="Q30" s="868"/>
      <c r="R30" s="869"/>
      <c r="S30" s="867"/>
      <c r="T30" s="868"/>
      <c r="U30" s="868"/>
      <c r="V30" s="869"/>
      <c r="W30" s="897"/>
      <c r="X30" s="897"/>
      <c r="Y30" s="897"/>
      <c r="Z30" s="897"/>
      <c r="AA30" s="897"/>
      <c r="AB30" s="897"/>
      <c r="AC30" s="897"/>
      <c r="AD30" s="897"/>
      <c r="AE30" s="905"/>
      <c r="AF30" s="906"/>
      <c r="AG30" s="906"/>
      <c r="AH30" s="907"/>
      <c r="AI30" s="897"/>
      <c r="AJ30" s="897"/>
      <c r="AK30" s="897"/>
      <c r="AL30" s="897"/>
      <c r="AM30" s="897"/>
      <c r="AN30" s="897"/>
      <c r="AO30" s="897"/>
      <c r="AP30" s="898"/>
    </row>
    <row r="31" spans="3:54" x14ac:dyDescent="0.25">
      <c r="C31" s="809">
        <v>5315</v>
      </c>
      <c r="D31" s="810"/>
      <c r="E31" s="899" t="s">
        <v>338</v>
      </c>
      <c r="F31" s="900"/>
      <c r="G31" s="900"/>
      <c r="H31" s="900"/>
      <c r="I31" s="900"/>
      <c r="J31" s="900"/>
      <c r="K31" s="901"/>
      <c r="L31" s="902"/>
      <c r="M31" s="903"/>
      <c r="N31" s="903"/>
      <c r="O31" s="904"/>
      <c r="P31" s="867"/>
      <c r="Q31" s="868"/>
      <c r="R31" s="869"/>
      <c r="S31" s="867"/>
      <c r="T31" s="868"/>
      <c r="U31" s="868"/>
      <c r="V31" s="869"/>
      <c r="W31" s="897"/>
      <c r="X31" s="897"/>
      <c r="Y31" s="897"/>
      <c r="Z31" s="897"/>
      <c r="AA31" s="897"/>
      <c r="AB31" s="897"/>
      <c r="AC31" s="897"/>
      <c r="AD31" s="897"/>
      <c r="AE31" s="905"/>
      <c r="AF31" s="906"/>
      <c r="AG31" s="906"/>
      <c r="AH31" s="907"/>
      <c r="AI31" s="897"/>
      <c r="AJ31" s="897"/>
      <c r="AK31" s="897"/>
      <c r="AL31" s="897"/>
      <c r="AM31" s="897"/>
      <c r="AN31" s="897"/>
      <c r="AO31" s="897"/>
      <c r="AP31" s="898"/>
    </row>
    <row r="32" spans="3:54" ht="16.5" customHeight="1" x14ac:dyDescent="0.25">
      <c r="C32" s="809">
        <v>5316</v>
      </c>
      <c r="D32" s="810"/>
      <c r="E32" s="864" t="s">
        <v>339</v>
      </c>
      <c r="F32" s="865"/>
      <c r="G32" s="865"/>
      <c r="H32" s="865"/>
      <c r="I32" s="865"/>
      <c r="J32" s="865"/>
      <c r="K32" s="866"/>
      <c r="L32" s="858"/>
      <c r="M32" s="859"/>
      <c r="N32" s="859"/>
      <c r="O32" s="860"/>
      <c r="P32" s="867"/>
      <c r="Q32" s="868"/>
      <c r="R32" s="869"/>
      <c r="S32" s="867"/>
      <c r="T32" s="868"/>
      <c r="U32" s="868"/>
      <c r="V32" s="869"/>
      <c r="W32" s="897"/>
      <c r="X32" s="897"/>
      <c r="Y32" s="897"/>
      <c r="Z32" s="897"/>
      <c r="AA32" s="897"/>
      <c r="AB32" s="897"/>
      <c r="AC32" s="897"/>
      <c r="AD32" s="897"/>
      <c r="AE32" s="905"/>
      <c r="AF32" s="906"/>
      <c r="AG32" s="906"/>
      <c r="AH32" s="907"/>
      <c r="AI32" s="897"/>
      <c r="AJ32" s="897"/>
      <c r="AK32" s="897"/>
      <c r="AL32" s="897"/>
      <c r="AM32" s="897"/>
      <c r="AN32" s="897"/>
      <c r="AO32" s="897"/>
      <c r="AP32" s="898"/>
    </row>
    <row r="33" spans="3:44" ht="29.1" customHeight="1" x14ac:dyDescent="0.25">
      <c r="C33" s="809">
        <v>5317</v>
      </c>
      <c r="D33" s="810"/>
      <c r="E33" s="864" t="s">
        <v>340</v>
      </c>
      <c r="F33" s="865"/>
      <c r="G33" s="865"/>
      <c r="H33" s="865"/>
      <c r="I33" s="865"/>
      <c r="J33" s="865"/>
      <c r="K33" s="866"/>
      <c r="L33" s="858"/>
      <c r="M33" s="859"/>
      <c r="N33" s="859"/>
      <c r="O33" s="860"/>
      <c r="P33" s="867"/>
      <c r="Q33" s="868"/>
      <c r="R33" s="869"/>
      <c r="S33" s="867"/>
      <c r="T33" s="868"/>
      <c r="U33" s="868"/>
      <c r="V33" s="869"/>
      <c r="W33" s="897"/>
      <c r="X33" s="897"/>
      <c r="Y33" s="897"/>
      <c r="Z33" s="897"/>
      <c r="AA33" s="897"/>
      <c r="AB33" s="897"/>
      <c r="AC33" s="897"/>
      <c r="AD33" s="897"/>
      <c r="AE33" s="905"/>
      <c r="AF33" s="906"/>
      <c r="AG33" s="906"/>
      <c r="AH33" s="907"/>
      <c r="AI33" s="897"/>
      <c r="AJ33" s="897"/>
      <c r="AK33" s="897"/>
      <c r="AL33" s="897"/>
      <c r="AM33" s="897"/>
      <c r="AN33" s="897"/>
      <c r="AO33" s="897"/>
      <c r="AP33" s="898"/>
    </row>
    <row r="34" spans="3:44" ht="28.5" customHeight="1" x14ac:dyDescent="0.25">
      <c r="C34" s="809">
        <v>5318</v>
      </c>
      <c r="D34" s="810"/>
      <c r="E34" s="864" t="s">
        <v>341</v>
      </c>
      <c r="F34" s="865"/>
      <c r="G34" s="865"/>
      <c r="H34" s="865"/>
      <c r="I34" s="865"/>
      <c r="J34" s="865"/>
      <c r="K34" s="866"/>
      <c r="L34" s="858"/>
      <c r="M34" s="859"/>
      <c r="N34" s="859"/>
      <c r="O34" s="860"/>
      <c r="P34" s="867"/>
      <c r="Q34" s="868"/>
      <c r="R34" s="869"/>
      <c r="S34" s="867"/>
      <c r="T34" s="868"/>
      <c r="U34" s="868"/>
      <c r="V34" s="869"/>
      <c r="W34" s="897"/>
      <c r="X34" s="897"/>
      <c r="Y34" s="897"/>
      <c r="Z34" s="897"/>
      <c r="AA34" s="897"/>
      <c r="AB34" s="897"/>
      <c r="AC34" s="897"/>
      <c r="AD34" s="897"/>
      <c r="AE34" s="905"/>
      <c r="AF34" s="906"/>
      <c r="AG34" s="906"/>
      <c r="AH34" s="907"/>
      <c r="AI34" s="897"/>
      <c r="AJ34" s="897"/>
      <c r="AK34" s="897"/>
      <c r="AL34" s="897"/>
      <c r="AM34" s="897"/>
      <c r="AN34" s="897"/>
      <c r="AO34" s="897"/>
      <c r="AP34" s="898"/>
    </row>
    <row r="35" spans="3:44" ht="16.149999999999999" customHeight="1" x14ac:dyDescent="0.25">
      <c r="C35" s="809">
        <v>5320</v>
      </c>
      <c r="D35" s="810"/>
      <c r="E35" s="864" t="s">
        <v>342</v>
      </c>
      <c r="F35" s="865"/>
      <c r="G35" s="865"/>
      <c r="H35" s="865"/>
      <c r="I35" s="865"/>
      <c r="J35" s="865"/>
      <c r="K35" s="866"/>
      <c r="L35" s="858"/>
      <c r="M35" s="859"/>
      <c r="N35" s="859"/>
      <c r="O35" s="860"/>
      <c r="P35" s="867"/>
      <c r="Q35" s="868"/>
      <c r="R35" s="869"/>
      <c r="S35" s="867"/>
      <c r="T35" s="868"/>
      <c r="U35" s="868"/>
      <c r="V35" s="869"/>
      <c r="W35" s="897"/>
      <c r="X35" s="897"/>
      <c r="Y35" s="897"/>
      <c r="Z35" s="897"/>
      <c r="AA35" s="897"/>
      <c r="AB35" s="897"/>
      <c r="AC35" s="897"/>
      <c r="AD35" s="897"/>
      <c r="AE35" s="905"/>
      <c r="AF35" s="906"/>
      <c r="AG35" s="906"/>
      <c r="AH35" s="907"/>
      <c r="AI35" s="897"/>
      <c r="AJ35" s="897"/>
      <c r="AK35" s="897"/>
      <c r="AL35" s="897"/>
      <c r="AM35" s="897"/>
      <c r="AN35" s="897"/>
      <c r="AO35" s="897"/>
      <c r="AP35" s="898"/>
    </row>
    <row r="36" spans="3:44" ht="16.5" customHeight="1" x14ac:dyDescent="0.25">
      <c r="C36" s="809">
        <v>5321</v>
      </c>
      <c r="D36" s="810"/>
      <c r="E36" s="864" t="s">
        <v>621</v>
      </c>
      <c r="F36" s="865"/>
      <c r="G36" s="865"/>
      <c r="H36" s="865"/>
      <c r="I36" s="865"/>
      <c r="J36" s="865"/>
      <c r="K36" s="866"/>
      <c r="L36" s="858"/>
      <c r="M36" s="859"/>
      <c r="N36" s="859"/>
      <c r="O36" s="860"/>
      <c r="P36" s="867"/>
      <c r="Q36" s="868"/>
      <c r="R36" s="869"/>
      <c r="S36" s="867"/>
      <c r="T36" s="868"/>
      <c r="U36" s="868"/>
      <c r="V36" s="869"/>
      <c r="W36" s="897"/>
      <c r="X36" s="897"/>
      <c r="Y36" s="897"/>
      <c r="Z36" s="897"/>
      <c r="AA36" s="897"/>
      <c r="AB36" s="897"/>
      <c r="AC36" s="897"/>
      <c r="AD36" s="897"/>
      <c r="AE36" s="905"/>
      <c r="AF36" s="906"/>
      <c r="AG36" s="906"/>
      <c r="AH36" s="907"/>
      <c r="AI36" s="897"/>
      <c r="AJ36" s="897"/>
      <c r="AK36" s="897"/>
      <c r="AL36" s="897"/>
      <c r="AM36" s="897"/>
      <c r="AN36" s="897"/>
      <c r="AO36" s="897"/>
      <c r="AP36" s="898"/>
    </row>
    <row r="37" spans="3:44" ht="29.1" customHeight="1" x14ac:dyDescent="0.25">
      <c r="C37" s="809">
        <v>5322</v>
      </c>
      <c r="D37" s="810"/>
      <c r="E37" s="899" t="s">
        <v>343</v>
      </c>
      <c r="F37" s="900"/>
      <c r="G37" s="900"/>
      <c r="H37" s="900"/>
      <c r="I37" s="900"/>
      <c r="J37" s="900"/>
      <c r="K37" s="901"/>
      <c r="L37" s="902"/>
      <c r="M37" s="903"/>
      <c r="N37" s="903"/>
      <c r="O37" s="904"/>
      <c r="P37" s="867"/>
      <c r="Q37" s="868"/>
      <c r="R37" s="869"/>
      <c r="S37" s="867"/>
      <c r="T37" s="868"/>
      <c r="U37" s="868"/>
      <c r="V37" s="869"/>
      <c r="W37" s="897"/>
      <c r="X37" s="897"/>
      <c r="Y37" s="897"/>
      <c r="Z37" s="897"/>
      <c r="AA37" s="897"/>
      <c r="AB37" s="897"/>
      <c r="AC37" s="897"/>
      <c r="AD37" s="897"/>
      <c r="AE37" s="905"/>
      <c r="AF37" s="906"/>
      <c r="AG37" s="906"/>
      <c r="AH37" s="907"/>
      <c r="AI37" s="897"/>
      <c r="AJ37" s="897"/>
      <c r="AK37" s="897"/>
      <c r="AL37" s="897"/>
      <c r="AM37" s="897"/>
      <c r="AN37" s="897"/>
      <c r="AO37" s="897"/>
      <c r="AP37" s="898"/>
    </row>
    <row r="38" spans="3:44" ht="16.149999999999999" customHeight="1" x14ac:dyDescent="0.25">
      <c r="C38" s="809">
        <v>5399</v>
      </c>
      <c r="D38" s="810"/>
      <c r="E38" s="833" t="s">
        <v>344</v>
      </c>
      <c r="F38" s="834"/>
      <c r="G38" s="834"/>
      <c r="H38" s="834"/>
      <c r="I38" s="834"/>
      <c r="J38" s="834"/>
      <c r="K38" s="835"/>
      <c r="L38" s="858"/>
      <c r="M38" s="859"/>
      <c r="N38" s="859"/>
      <c r="O38" s="860"/>
      <c r="P38" s="867"/>
      <c r="Q38" s="868"/>
      <c r="R38" s="869"/>
      <c r="S38" s="867"/>
      <c r="T38" s="868"/>
      <c r="U38" s="868"/>
      <c r="V38" s="869"/>
      <c r="W38" s="755"/>
      <c r="X38" s="755"/>
      <c r="Y38" s="755"/>
      <c r="Z38" s="755"/>
      <c r="AA38" s="755"/>
      <c r="AB38" s="755"/>
      <c r="AC38" s="755"/>
      <c r="AD38" s="755"/>
      <c r="AE38" s="861"/>
      <c r="AF38" s="862"/>
      <c r="AG38" s="862"/>
      <c r="AH38" s="863"/>
      <c r="AI38" s="755"/>
      <c r="AJ38" s="755"/>
      <c r="AK38" s="755"/>
      <c r="AL38" s="755"/>
      <c r="AM38" s="755"/>
      <c r="AN38" s="755"/>
      <c r="AO38" s="755"/>
      <c r="AP38" s="843"/>
    </row>
    <row r="39" spans="3:44" ht="16.5" customHeight="1" x14ac:dyDescent="0.25">
      <c r="C39" s="809">
        <v>5400</v>
      </c>
      <c r="D39" s="810"/>
      <c r="E39" s="864" t="s">
        <v>345</v>
      </c>
      <c r="F39" s="865"/>
      <c r="G39" s="865"/>
      <c r="H39" s="865"/>
      <c r="I39" s="865"/>
      <c r="J39" s="865"/>
      <c r="K39" s="866"/>
      <c r="L39" s="858"/>
      <c r="M39" s="859"/>
      <c r="N39" s="859"/>
      <c r="O39" s="860"/>
      <c r="P39" s="867"/>
      <c r="Q39" s="868"/>
      <c r="R39" s="869"/>
      <c r="S39" s="867"/>
      <c r="T39" s="868"/>
      <c r="U39" s="868"/>
      <c r="V39" s="869"/>
      <c r="W39" s="755"/>
      <c r="X39" s="755"/>
      <c r="Y39" s="755"/>
      <c r="Z39" s="755"/>
      <c r="AA39" s="842"/>
      <c r="AB39" s="842"/>
      <c r="AC39" s="842"/>
      <c r="AD39" s="842"/>
      <c r="AE39" s="870"/>
      <c r="AF39" s="871"/>
      <c r="AG39" s="871"/>
      <c r="AH39" s="872"/>
      <c r="AI39" s="842"/>
      <c r="AJ39" s="842"/>
      <c r="AK39" s="842"/>
      <c r="AL39" s="842"/>
      <c r="AM39" s="755"/>
      <c r="AN39" s="755"/>
      <c r="AO39" s="755"/>
      <c r="AP39" s="843"/>
    </row>
    <row r="40" spans="3:44" ht="16.5" customHeight="1" x14ac:dyDescent="0.25">
      <c r="C40" s="853">
        <v>4800</v>
      </c>
      <c r="D40" s="854"/>
      <c r="E40" s="855" t="s">
        <v>346</v>
      </c>
      <c r="F40" s="856"/>
      <c r="G40" s="856"/>
      <c r="H40" s="856"/>
      <c r="I40" s="856"/>
      <c r="J40" s="856"/>
      <c r="K40" s="857"/>
      <c r="L40" s="858"/>
      <c r="M40" s="859"/>
      <c r="N40" s="859"/>
      <c r="O40" s="860"/>
      <c r="P40" s="858"/>
      <c r="Q40" s="859"/>
      <c r="R40" s="860"/>
      <c r="S40" s="858"/>
      <c r="T40" s="859"/>
      <c r="U40" s="859"/>
      <c r="V40" s="860"/>
      <c r="W40" s="755"/>
      <c r="X40" s="755"/>
      <c r="Y40" s="755"/>
      <c r="Z40" s="755"/>
      <c r="AA40" s="755"/>
      <c r="AB40" s="755"/>
      <c r="AC40" s="755"/>
      <c r="AD40" s="755"/>
      <c r="AE40" s="861"/>
      <c r="AF40" s="862"/>
      <c r="AG40" s="862"/>
      <c r="AH40" s="863"/>
      <c r="AI40" s="842"/>
      <c r="AJ40" s="842"/>
      <c r="AK40" s="842"/>
      <c r="AL40" s="842"/>
      <c r="AM40" s="755"/>
      <c r="AN40" s="755"/>
      <c r="AO40" s="755"/>
      <c r="AP40" s="843"/>
    </row>
    <row r="41" spans="3:44" x14ac:dyDescent="0.25">
      <c r="C41" s="155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246" t="s">
        <v>347</v>
      </c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57"/>
    </row>
    <row r="42" spans="3:44" ht="2.1" customHeight="1" x14ac:dyDescent="0.25">
      <c r="C42" s="39"/>
      <c r="D42" s="153"/>
      <c r="E42" s="153"/>
      <c r="F42" s="153"/>
      <c r="G42" s="153"/>
      <c r="H42" s="153"/>
      <c r="I42" s="153"/>
      <c r="J42" s="153"/>
      <c r="K42" s="153"/>
      <c r="L42" s="153"/>
      <c r="M42" s="153"/>
      <c r="N42" s="153"/>
      <c r="O42" s="153"/>
      <c r="P42" s="153"/>
      <c r="Q42" s="153"/>
      <c r="R42" s="153"/>
      <c r="S42" s="153"/>
      <c r="T42" s="153"/>
      <c r="U42" s="153"/>
      <c r="V42" s="115"/>
      <c r="W42" s="115"/>
      <c r="X42" s="115"/>
      <c r="Y42" s="115"/>
      <c r="Z42" s="115"/>
      <c r="AA42" s="115"/>
      <c r="AB42" s="115"/>
      <c r="AC42" s="115"/>
      <c r="AD42" s="115"/>
      <c r="AE42" s="115"/>
      <c r="AF42" s="115"/>
      <c r="AG42" s="115"/>
      <c r="AH42" s="115"/>
      <c r="AI42" s="115"/>
      <c r="AJ42" s="115"/>
      <c r="AK42" s="115"/>
      <c r="AL42" s="115"/>
      <c r="AM42" s="115"/>
      <c r="AN42" s="115"/>
      <c r="AO42" s="115"/>
      <c r="AP42" s="177"/>
      <c r="AQ42" s="115"/>
      <c r="AR42" s="115"/>
    </row>
    <row r="43" spans="3:44" ht="15.75" x14ac:dyDescent="0.25">
      <c r="C43" s="326" t="s">
        <v>348</v>
      </c>
      <c r="D43" s="279" t="s">
        <v>349</v>
      </c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178"/>
    </row>
    <row r="44" spans="3:44" ht="3" customHeight="1" x14ac:dyDescent="0.25">
      <c r="C44" s="240"/>
      <c r="D44" s="232"/>
      <c r="E44" s="232"/>
      <c r="F44" s="232"/>
      <c r="G44" s="232"/>
      <c r="H44" s="232"/>
      <c r="I44" s="232"/>
      <c r="J44" s="232"/>
      <c r="K44" s="232"/>
      <c r="L44" s="232"/>
      <c r="M44" s="232"/>
      <c r="N44" s="232"/>
      <c r="O44" s="232"/>
      <c r="P44" s="232"/>
      <c r="Q44" s="232"/>
      <c r="R44" s="232"/>
      <c r="S44" s="232"/>
      <c r="T44" s="232"/>
      <c r="U44" s="232"/>
      <c r="V44" s="54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179"/>
      <c r="AQ44" s="115"/>
      <c r="AR44" s="115"/>
    </row>
    <row r="45" spans="3:44" ht="14.65" customHeight="1" x14ac:dyDescent="0.25">
      <c r="C45" s="844" t="s">
        <v>310</v>
      </c>
      <c r="D45" s="845"/>
      <c r="E45" s="846" t="s">
        <v>350</v>
      </c>
      <c r="F45" s="847"/>
      <c r="G45" s="847"/>
      <c r="H45" s="847"/>
      <c r="I45" s="847"/>
      <c r="J45" s="847"/>
      <c r="K45" s="847"/>
      <c r="L45" s="847"/>
      <c r="M45" s="847"/>
      <c r="N45" s="847"/>
      <c r="O45" s="847"/>
      <c r="P45" s="847"/>
      <c r="Q45" s="847"/>
      <c r="R45" s="847"/>
      <c r="S45" s="847"/>
      <c r="T45" s="847"/>
      <c r="U45" s="845"/>
      <c r="V45" s="233"/>
      <c r="W45" s="849" t="s">
        <v>310</v>
      </c>
      <c r="X45" s="849"/>
      <c r="Y45" s="849" t="s">
        <v>350</v>
      </c>
      <c r="Z45" s="849"/>
      <c r="AA45" s="849"/>
      <c r="AB45" s="849"/>
      <c r="AC45" s="849"/>
      <c r="AD45" s="849"/>
      <c r="AE45" s="849"/>
      <c r="AF45" s="849"/>
      <c r="AG45" s="849"/>
      <c r="AH45" s="849"/>
      <c r="AI45" s="849"/>
      <c r="AJ45" s="849"/>
      <c r="AK45" s="849"/>
      <c r="AL45" s="849"/>
      <c r="AM45" s="849"/>
      <c r="AN45" s="849"/>
      <c r="AO45" s="849"/>
      <c r="AP45" s="851"/>
    </row>
    <row r="46" spans="3:44" x14ac:dyDescent="0.25">
      <c r="C46" s="560"/>
      <c r="D46" s="776"/>
      <c r="E46" s="848"/>
      <c r="F46" s="561"/>
      <c r="G46" s="561"/>
      <c r="H46" s="561"/>
      <c r="I46" s="561"/>
      <c r="J46" s="561"/>
      <c r="K46" s="561"/>
      <c r="L46" s="561"/>
      <c r="M46" s="561"/>
      <c r="N46" s="561"/>
      <c r="O46" s="561"/>
      <c r="P46" s="561"/>
      <c r="Q46" s="561"/>
      <c r="R46" s="561"/>
      <c r="S46" s="561"/>
      <c r="T46" s="561"/>
      <c r="U46" s="776"/>
      <c r="V46" s="233"/>
      <c r="W46" s="850"/>
      <c r="X46" s="850"/>
      <c r="Y46" s="850"/>
      <c r="Z46" s="850"/>
      <c r="AA46" s="850"/>
      <c r="AB46" s="850"/>
      <c r="AC46" s="850"/>
      <c r="AD46" s="850"/>
      <c r="AE46" s="850"/>
      <c r="AF46" s="850"/>
      <c r="AG46" s="850"/>
      <c r="AH46" s="850"/>
      <c r="AI46" s="850"/>
      <c r="AJ46" s="850"/>
      <c r="AK46" s="850"/>
      <c r="AL46" s="850"/>
      <c r="AM46" s="850"/>
      <c r="AN46" s="850"/>
      <c r="AO46" s="850"/>
      <c r="AP46" s="852"/>
    </row>
    <row r="47" spans="3:44" x14ac:dyDescent="0.25">
      <c r="C47" s="673" t="s">
        <v>213</v>
      </c>
      <c r="D47" s="673"/>
      <c r="E47" s="606" t="s">
        <v>214</v>
      </c>
      <c r="F47" s="606"/>
      <c r="G47" s="606"/>
      <c r="H47" s="606"/>
      <c r="I47" s="606"/>
      <c r="J47" s="606"/>
      <c r="K47" s="606"/>
      <c r="L47" s="606"/>
      <c r="M47" s="606"/>
      <c r="N47" s="606"/>
      <c r="O47" s="606"/>
      <c r="P47" s="606"/>
      <c r="Q47" s="606"/>
      <c r="R47" s="606"/>
      <c r="S47" s="606"/>
      <c r="T47" s="606"/>
      <c r="U47" s="606"/>
      <c r="W47" s="606" t="s">
        <v>213</v>
      </c>
      <c r="X47" s="592"/>
      <c r="Y47" s="606" t="s">
        <v>214</v>
      </c>
      <c r="Z47" s="606"/>
      <c r="AA47" s="606"/>
      <c r="AB47" s="606"/>
      <c r="AC47" s="606"/>
      <c r="AD47" s="606"/>
      <c r="AE47" s="606"/>
      <c r="AF47" s="606"/>
      <c r="AG47" s="606"/>
      <c r="AH47" s="606"/>
      <c r="AI47" s="606"/>
      <c r="AJ47" s="606"/>
      <c r="AK47" s="606"/>
      <c r="AL47" s="606"/>
      <c r="AM47" s="606"/>
      <c r="AN47" s="606"/>
      <c r="AO47" s="606"/>
      <c r="AP47" s="606"/>
    </row>
    <row r="48" spans="3:44" ht="20.100000000000001" customHeight="1" x14ac:dyDescent="0.25">
      <c r="C48" s="895"/>
      <c r="D48" s="896"/>
      <c r="E48" s="328" t="s">
        <v>351</v>
      </c>
      <c r="F48" s="235"/>
      <c r="G48" s="235"/>
      <c r="H48" s="235"/>
      <c r="I48" s="235"/>
      <c r="J48" s="235"/>
      <c r="K48" s="235"/>
      <c r="L48" s="235"/>
      <c r="M48" s="235"/>
      <c r="N48" s="235"/>
      <c r="O48" s="235"/>
      <c r="P48" s="327"/>
      <c r="Q48" s="218"/>
      <c r="R48" s="218"/>
      <c r="S48" s="218"/>
      <c r="T48" s="218"/>
      <c r="U48" s="218"/>
      <c r="V48" s="236"/>
      <c r="W48" s="838"/>
      <c r="X48" s="839"/>
      <c r="Y48" s="838" t="s">
        <v>352</v>
      </c>
      <c r="Z48" s="838"/>
      <c r="AA48" s="838"/>
      <c r="AB48" s="838"/>
      <c r="AC48" s="838"/>
      <c r="AD48" s="838"/>
      <c r="AE48" s="838"/>
      <c r="AF48" s="838"/>
      <c r="AG48" s="838"/>
      <c r="AH48" s="838"/>
      <c r="AI48" s="838"/>
      <c r="AJ48" s="838"/>
      <c r="AK48" s="838"/>
      <c r="AL48" s="838"/>
      <c r="AM48" s="840"/>
      <c r="AN48" s="840"/>
      <c r="AO48" s="840"/>
      <c r="AP48" s="841"/>
    </row>
    <row r="49" spans="3:42" ht="16.5" customHeight="1" x14ac:dyDescent="0.25">
      <c r="C49" s="809">
        <v>1101</v>
      </c>
      <c r="D49" s="810"/>
      <c r="E49" s="833" t="s">
        <v>192</v>
      </c>
      <c r="F49" s="834"/>
      <c r="G49" s="834"/>
      <c r="H49" s="834"/>
      <c r="I49" s="834"/>
      <c r="J49" s="834"/>
      <c r="K49" s="834"/>
      <c r="L49" s="834"/>
      <c r="M49" s="834"/>
      <c r="N49" s="834"/>
      <c r="O49" s="834"/>
      <c r="P49" s="835"/>
      <c r="Q49" s="814"/>
      <c r="R49" s="815"/>
      <c r="S49" s="815"/>
      <c r="T49" s="815"/>
      <c r="U49" s="816"/>
      <c r="W49" s="753">
        <v>2102</v>
      </c>
      <c r="X49" s="753"/>
      <c r="Y49" s="819" t="s">
        <v>373</v>
      </c>
      <c r="Z49" s="819"/>
      <c r="AA49" s="819"/>
      <c r="AB49" s="819"/>
      <c r="AC49" s="819"/>
      <c r="AD49" s="819"/>
      <c r="AE49" s="819"/>
      <c r="AF49" s="819"/>
      <c r="AG49" s="819"/>
      <c r="AH49" s="819"/>
      <c r="AI49" s="819"/>
      <c r="AJ49" s="819"/>
      <c r="AK49" s="819"/>
      <c r="AL49" s="819"/>
      <c r="AM49" s="754"/>
      <c r="AN49" s="754"/>
      <c r="AO49" s="754"/>
      <c r="AP49" s="818"/>
    </row>
    <row r="50" spans="3:42" ht="16.5" customHeight="1" x14ac:dyDescent="0.25">
      <c r="C50" s="809">
        <v>1200</v>
      </c>
      <c r="D50" s="810"/>
      <c r="E50" s="814" t="s">
        <v>354</v>
      </c>
      <c r="F50" s="815"/>
      <c r="G50" s="815"/>
      <c r="H50" s="815"/>
      <c r="I50" s="815"/>
      <c r="J50" s="815"/>
      <c r="K50" s="815"/>
      <c r="L50" s="815"/>
      <c r="M50" s="815"/>
      <c r="N50" s="815"/>
      <c r="O50" s="815"/>
      <c r="P50" s="816"/>
      <c r="Q50" s="814"/>
      <c r="R50" s="815"/>
      <c r="S50" s="815"/>
      <c r="T50" s="815"/>
      <c r="U50" s="816"/>
      <c r="W50" s="753">
        <v>2103</v>
      </c>
      <c r="X50" s="753"/>
      <c r="Y50" s="819" t="s">
        <v>374</v>
      </c>
      <c r="Z50" s="819"/>
      <c r="AA50" s="819"/>
      <c r="AB50" s="819"/>
      <c r="AC50" s="819"/>
      <c r="AD50" s="819"/>
      <c r="AE50" s="819"/>
      <c r="AF50" s="819"/>
      <c r="AG50" s="819"/>
      <c r="AH50" s="819"/>
      <c r="AI50" s="819"/>
      <c r="AJ50" s="819"/>
      <c r="AK50" s="819"/>
      <c r="AL50" s="819"/>
      <c r="AM50" s="754"/>
      <c r="AN50" s="754"/>
      <c r="AO50" s="754"/>
      <c r="AP50" s="818"/>
    </row>
    <row r="51" spans="3:42" ht="16.5" customHeight="1" x14ac:dyDescent="0.25">
      <c r="C51" s="809">
        <v>1122</v>
      </c>
      <c r="D51" s="810"/>
      <c r="E51" s="814" t="s">
        <v>355</v>
      </c>
      <c r="F51" s="815"/>
      <c r="G51" s="815"/>
      <c r="H51" s="815"/>
      <c r="I51" s="815"/>
      <c r="J51" s="815"/>
      <c r="K51" s="815"/>
      <c r="L51" s="815"/>
      <c r="M51" s="815"/>
      <c r="N51" s="815"/>
      <c r="O51" s="815"/>
      <c r="P51" s="816"/>
      <c r="Q51" s="814"/>
      <c r="R51" s="815"/>
      <c r="S51" s="815"/>
      <c r="T51" s="815"/>
      <c r="U51" s="816"/>
      <c r="W51" s="753">
        <v>2111</v>
      </c>
      <c r="X51" s="753"/>
      <c r="Y51" s="819" t="s">
        <v>375</v>
      </c>
      <c r="Z51" s="819"/>
      <c r="AA51" s="819"/>
      <c r="AB51" s="819"/>
      <c r="AC51" s="819"/>
      <c r="AD51" s="819"/>
      <c r="AE51" s="819"/>
      <c r="AF51" s="819"/>
      <c r="AG51" s="819"/>
      <c r="AH51" s="819"/>
      <c r="AI51" s="819"/>
      <c r="AJ51" s="819"/>
      <c r="AK51" s="819"/>
      <c r="AL51" s="819"/>
      <c r="AM51" s="754"/>
      <c r="AN51" s="754"/>
      <c r="AO51" s="754"/>
      <c r="AP51" s="818"/>
    </row>
    <row r="52" spans="3:42" ht="26.1" customHeight="1" x14ac:dyDescent="0.25">
      <c r="C52" s="809">
        <v>1123</v>
      </c>
      <c r="D52" s="810"/>
      <c r="E52" s="830" t="s">
        <v>356</v>
      </c>
      <c r="F52" s="831"/>
      <c r="G52" s="831"/>
      <c r="H52" s="831"/>
      <c r="I52" s="831"/>
      <c r="J52" s="831"/>
      <c r="K52" s="831"/>
      <c r="L52" s="831"/>
      <c r="M52" s="831"/>
      <c r="N52" s="831"/>
      <c r="O52" s="831"/>
      <c r="P52" s="832"/>
      <c r="Q52" s="814"/>
      <c r="R52" s="815"/>
      <c r="S52" s="815"/>
      <c r="T52" s="815"/>
      <c r="U52" s="816"/>
      <c r="W52" s="753">
        <v>2191</v>
      </c>
      <c r="X52" s="753"/>
      <c r="Y52" s="819" t="s">
        <v>376</v>
      </c>
      <c r="Z52" s="819"/>
      <c r="AA52" s="819"/>
      <c r="AB52" s="819"/>
      <c r="AC52" s="819"/>
      <c r="AD52" s="819"/>
      <c r="AE52" s="819"/>
      <c r="AF52" s="819"/>
      <c r="AG52" s="819"/>
      <c r="AH52" s="819"/>
      <c r="AI52" s="819"/>
      <c r="AJ52" s="819"/>
      <c r="AK52" s="819"/>
      <c r="AL52" s="819"/>
      <c r="AM52" s="754"/>
      <c r="AN52" s="754"/>
      <c r="AO52" s="754"/>
      <c r="AP52" s="818"/>
    </row>
    <row r="53" spans="3:42" ht="16.5" customHeight="1" x14ac:dyDescent="0.25">
      <c r="C53" s="809">
        <v>1124</v>
      </c>
      <c r="D53" s="810"/>
      <c r="E53" s="814" t="s">
        <v>627</v>
      </c>
      <c r="F53" s="815"/>
      <c r="G53" s="815"/>
      <c r="H53" s="815"/>
      <c r="I53" s="815"/>
      <c r="J53" s="815"/>
      <c r="K53" s="815"/>
      <c r="L53" s="815"/>
      <c r="M53" s="815"/>
      <c r="N53" s="815"/>
      <c r="O53" s="815"/>
      <c r="P53" s="816"/>
      <c r="Q53" s="814"/>
      <c r="R53" s="815"/>
      <c r="S53" s="815"/>
      <c r="T53" s="815"/>
      <c r="U53" s="816"/>
      <c r="W53" s="753">
        <v>2192</v>
      </c>
      <c r="X53" s="753"/>
      <c r="Y53" s="819" t="s">
        <v>377</v>
      </c>
      <c r="Z53" s="819"/>
      <c r="AA53" s="819"/>
      <c r="AB53" s="819"/>
      <c r="AC53" s="819"/>
      <c r="AD53" s="819"/>
      <c r="AE53" s="819"/>
      <c r="AF53" s="819"/>
      <c r="AG53" s="819"/>
      <c r="AH53" s="819"/>
      <c r="AI53" s="819"/>
      <c r="AJ53" s="819"/>
      <c r="AK53" s="819"/>
      <c r="AL53" s="819"/>
      <c r="AM53" s="754"/>
      <c r="AN53" s="754"/>
      <c r="AO53" s="754"/>
      <c r="AP53" s="818"/>
    </row>
    <row r="54" spans="3:42" ht="29.65" customHeight="1" x14ac:dyDescent="0.25">
      <c r="C54" s="809">
        <v>1125</v>
      </c>
      <c r="D54" s="810"/>
      <c r="E54" s="830" t="s">
        <v>358</v>
      </c>
      <c r="F54" s="831"/>
      <c r="G54" s="831"/>
      <c r="H54" s="831"/>
      <c r="I54" s="831"/>
      <c r="J54" s="831"/>
      <c r="K54" s="831"/>
      <c r="L54" s="831"/>
      <c r="M54" s="831"/>
      <c r="N54" s="831"/>
      <c r="O54" s="831"/>
      <c r="P54" s="832"/>
      <c r="Q54" s="814"/>
      <c r="R54" s="815"/>
      <c r="S54" s="815"/>
      <c r="T54" s="815"/>
      <c r="U54" s="816"/>
      <c r="W54" s="753">
        <v>2195</v>
      </c>
      <c r="X54" s="753"/>
      <c r="Y54" s="819" t="s">
        <v>623</v>
      </c>
      <c r="Z54" s="819"/>
      <c r="AA54" s="819"/>
      <c r="AB54" s="819"/>
      <c r="AC54" s="819"/>
      <c r="AD54" s="819"/>
      <c r="AE54" s="819"/>
      <c r="AF54" s="819"/>
      <c r="AG54" s="819"/>
      <c r="AH54" s="819"/>
      <c r="AI54" s="819"/>
      <c r="AJ54" s="819"/>
      <c r="AK54" s="819"/>
      <c r="AL54" s="819"/>
      <c r="AM54" s="754"/>
      <c r="AN54" s="754"/>
      <c r="AO54" s="754"/>
      <c r="AP54" s="818"/>
    </row>
    <row r="55" spans="3:42" ht="16.5" customHeight="1" x14ac:dyDescent="0.25">
      <c r="C55" s="809">
        <v>1131</v>
      </c>
      <c r="D55" s="810"/>
      <c r="E55" s="814" t="s">
        <v>421</v>
      </c>
      <c r="F55" s="815"/>
      <c r="G55" s="815"/>
      <c r="H55" s="815"/>
      <c r="I55" s="815"/>
      <c r="J55" s="815"/>
      <c r="K55" s="815"/>
      <c r="L55" s="815"/>
      <c r="M55" s="815"/>
      <c r="N55" s="815"/>
      <c r="O55" s="815"/>
      <c r="P55" s="816"/>
      <c r="Q55" s="814"/>
      <c r="R55" s="815"/>
      <c r="S55" s="815"/>
      <c r="T55" s="815"/>
      <c r="U55" s="816"/>
      <c r="W55" s="753">
        <v>2201</v>
      </c>
      <c r="X55" s="753"/>
      <c r="Y55" s="819" t="s">
        <v>378</v>
      </c>
      <c r="Z55" s="819"/>
      <c r="AA55" s="819"/>
      <c r="AB55" s="819"/>
      <c r="AC55" s="819"/>
      <c r="AD55" s="819"/>
      <c r="AE55" s="819"/>
      <c r="AF55" s="819"/>
      <c r="AG55" s="819"/>
      <c r="AH55" s="819"/>
      <c r="AI55" s="819"/>
      <c r="AJ55" s="819"/>
      <c r="AK55" s="819"/>
      <c r="AL55" s="819"/>
      <c r="AM55" s="754"/>
      <c r="AN55" s="754"/>
      <c r="AO55" s="754"/>
      <c r="AP55" s="818"/>
    </row>
    <row r="56" spans="3:42" ht="29.65" customHeight="1" x14ac:dyDescent="0.25">
      <c r="C56" s="809">
        <v>1401</v>
      </c>
      <c r="D56" s="810"/>
      <c r="E56" s="814" t="s">
        <v>359</v>
      </c>
      <c r="F56" s="815"/>
      <c r="G56" s="815"/>
      <c r="H56" s="815"/>
      <c r="I56" s="815"/>
      <c r="J56" s="815"/>
      <c r="K56" s="815"/>
      <c r="L56" s="815"/>
      <c r="M56" s="815"/>
      <c r="N56" s="815"/>
      <c r="O56" s="815"/>
      <c r="P56" s="816"/>
      <c r="Q56" s="814"/>
      <c r="R56" s="815"/>
      <c r="S56" s="815"/>
      <c r="T56" s="815"/>
      <c r="U56" s="816"/>
      <c r="W56" s="753">
        <v>2202</v>
      </c>
      <c r="X56" s="753"/>
      <c r="Y56" s="824" t="s">
        <v>379</v>
      </c>
      <c r="Z56" s="824"/>
      <c r="AA56" s="824"/>
      <c r="AB56" s="824"/>
      <c r="AC56" s="824"/>
      <c r="AD56" s="824"/>
      <c r="AE56" s="824"/>
      <c r="AF56" s="824"/>
      <c r="AG56" s="824"/>
      <c r="AH56" s="824"/>
      <c r="AI56" s="824"/>
      <c r="AJ56" s="824"/>
      <c r="AK56" s="824"/>
      <c r="AL56" s="824"/>
      <c r="AM56" s="754"/>
      <c r="AN56" s="754"/>
      <c r="AO56" s="754"/>
      <c r="AP56" s="818"/>
    </row>
    <row r="57" spans="3:42" ht="16.5" customHeight="1" x14ac:dyDescent="0.25">
      <c r="C57" s="809">
        <v>1421</v>
      </c>
      <c r="D57" s="810"/>
      <c r="E57" s="814" t="s">
        <v>417</v>
      </c>
      <c r="F57" s="815"/>
      <c r="G57" s="815"/>
      <c r="H57" s="815"/>
      <c r="I57" s="815"/>
      <c r="J57" s="815"/>
      <c r="K57" s="815"/>
      <c r="L57" s="815"/>
      <c r="M57" s="815"/>
      <c r="N57" s="815"/>
      <c r="O57" s="815"/>
      <c r="P57" s="816"/>
      <c r="Q57" s="814"/>
      <c r="R57" s="815"/>
      <c r="S57" s="815"/>
      <c r="T57" s="815"/>
      <c r="U57" s="816"/>
      <c r="W57" s="753">
        <v>2203</v>
      </c>
      <c r="X57" s="753"/>
      <c r="Y57" s="819" t="s">
        <v>360</v>
      </c>
      <c r="Z57" s="819"/>
      <c r="AA57" s="819"/>
      <c r="AB57" s="819"/>
      <c r="AC57" s="819"/>
      <c r="AD57" s="819"/>
      <c r="AE57" s="819"/>
      <c r="AF57" s="819"/>
      <c r="AG57" s="819"/>
      <c r="AH57" s="819"/>
      <c r="AI57" s="819"/>
      <c r="AJ57" s="819"/>
      <c r="AK57" s="819"/>
      <c r="AL57" s="819"/>
      <c r="AM57" s="754"/>
      <c r="AN57" s="754"/>
      <c r="AO57" s="754"/>
      <c r="AP57" s="818"/>
    </row>
    <row r="58" spans="3:42" ht="16.5" customHeight="1" x14ac:dyDescent="0.25">
      <c r="C58" s="809">
        <v>1422</v>
      </c>
      <c r="D58" s="810"/>
      <c r="E58" s="814" t="s">
        <v>360</v>
      </c>
      <c r="F58" s="815"/>
      <c r="G58" s="815"/>
      <c r="H58" s="815"/>
      <c r="I58" s="815"/>
      <c r="J58" s="815"/>
      <c r="K58" s="815"/>
      <c r="L58" s="815"/>
      <c r="M58" s="815"/>
      <c r="N58" s="815"/>
      <c r="O58" s="815"/>
      <c r="P58" s="816"/>
      <c r="Q58" s="814"/>
      <c r="R58" s="815"/>
      <c r="S58" s="815"/>
      <c r="T58" s="815"/>
      <c r="U58" s="816"/>
      <c r="W58" s="753">
        <v>2228</v>
      </c>
      <c r="X58" s="753"/>
      <c r="Y58" s="819" t="s">
        <v>380</v>
      </c>
      <c r="Z58" s="819"/>
      <c r="AA58" s="819"/>
      <c r="AB58" s="819"/>
      <c r="AC58" s="819"/>
      <c r="AD58" s="819"/>
      <c r="AE58" s="819"/>
      <c r="AF58" s="819"/>
      <c r="AG58" s="819"/>
      <c r="AH58" s="819"/>
      <c r="AI58" s="819"/>
      <c r="AJ58" s="819"/>
      <c r="AK58" s="819"/>
      <c r="AL58" s="819"/>
      <c r="AM58" s="754"/>
      <c r="AN58" s="754"/>
      <c r="AO58" s="754"/>
      <c r="AP58" s="818"/>
    </row>
    <row r="59" spans="3:42" ht="16.5" customHeight="1" x14ac:dyDescent="0.25">
      <c r="C59" s="809">
        <v>1423</v>
      </c>
      <c r="D59" s="810"/>
      <c r="E59" s="814" t="s">
        <v>361</v>
      </c>
      <c r="F59" s="815"/>
      <c r="G59" s="815"/>
      <c r="H59" s="815"/>
      <c r="I59" s="815"/>
      <c r="J59" s="815"/>
      <c r="K59" s="815"/>
      <c r="L59" s="815"/>
      <c r="M59" s="815"/>
      <c r="N59" s="815"/>
      <c r="O59" s="815"/>
      <c r="P59" s="816"/>
      <c r="Q59" s="814"/>
      <c r="R59" s="815"/>
      <c r="S59" s="815"/>
      <c r="T59" s="815"/>
      <c r="U59" s="816"/>
      <c r="W59" s="820"/>
      <c r="X59" s="820"/>
      <c r="Y59" s="821" t="s">
        <v>372</v>
      </c>
      <c r="Z59" s="821"/>
      <c r="AA59" s="821"/>
      <c r="AB59" s="821"/>
      <c r="AC59" s="821"/>
      <c r="AD59" s="821"/>
      <c r="AE59" s="821"/>
      <c r="AF59" s="821"/>
      <c r="AG59" s="821"/>
      <c r="AH59" s="821"/>
      <c r="AI59" s="821"/>
      <c r="AJ59" s="821"/>
      <c r="AK59" s="821"/>
      <c r="AL59" s="821"/>
      <c r="AM59" s="822"/>
      <c r="AN59" s="822"/>
      <c r="AO59" s="822"/>
      <c r="AP59" s="823"/>
    </row>
    <row r="60" spans="3:42" ht="16.5" customHeight="1" x14ac:dyDescent="0.25">
      <c r="C60" s="809">
        <v>1499</v>
      </c>
      <c r="D60" s="810"/>
      <c r="E60" s="814" t="s">
        <v>362</v>
      </c>
      <c r="F60" s="815"/>
      <c r="G60" s="815"/>
      <c r="H60" s="815"/>
      <c r="I60" s="815"/>
      <c r="J60" s="815"/>
      <c r="K60" s="815"/>
      <c r="L60" s="815"/>
      <c r="M60" s="815"/>
      <c r="N60" s="815"/>
      <c r="O60" s="815"/>
      <c r="P60" s="816"/>
      <c r="Q60" s="814"/>
      <c r="R60" s="815"/>
      <c r="S60" s="815"/>
      <c r="T60" s="815"/>
      <c r="U60" s="816"/>
      <c r="W60" s="753">
        <v>2301</v>
      </c>
      <c r="X60" s="753"/>
      <c r="Y60" s="819" t="s">
        <v>382</v>
      </c>
      <c r="Z60" s="819"/>
      <c r="AA60" s="819"/>
      <c r="AB60" s="819"/>
      <c r="AC60" s="819"/>
      <c r="AD60" s="819"/>
      <c r="AE60" s="819"/>
      <c r="AF60" s="819"/>
      <c r="AG60" s="819"/>
      <c r="AH60" s="819"/>
      <c r="AI60" s="819"/>
      <c r="AJ60" s="819"/>
      <c r="AK60" s="819"/>
      <c r="AL60" s="819"/>
      <c r="AM60" s="754"/>
      <c r="AN60" s="754"/>
      <c r="AO60" s="754"/>
      <c r="AP60" s="818"/>
    </row>
    <row r="61" spans="3:42" ht="17.100000000000001" customHeight="1" x14ac:dyDescent="0.25">
      <c r="C61" s="825"/>
      <c r="D61" s="826"/>
      <c r="E61" s="827" t="s">
        <v>353</v>
      </c>
      <c r="F61" s="828"/>
      <c r="G61" s="828"/>
      <c r="H61" s="828"/>
      <c r="I61" s="828"/>
      <c r="J61" s="828"/>
      <c r="K61" s="828"/>
      <c r="L61" s="828"/>
      <c r="M61" s="828"/>
      <c r="N61" s="828"/>
      <c r="O61" s="828"/>
      <c r="P61" s="829"/>
      <c r="Q61" s="827"/>
      <c r="R61" s="828"/>
      <c r="S61" s="828"/>
      <c r="T61" s="828"/>
      <c r="U61" s="829"/>
      <c r="W61" s="753">
        <v>2303</v>
      </c>
      <c r="X61" s="753"/>
      <c r="Y61" s="819" t="s">
        <v>383</v>
      </c>
      <c r="Z61" s="819"/>
      <c r="AA61" s="819"/>
      <c r="AB61" s="819"/>
      <c r="AC61" s="819"/>
      <c r="AD61" s="819"/>
      <c r="AE61" s="819"/>
      <c r="AF61" s="819"/>
      <c r="AG61" s="819"/>
      <c r="AH61" s="819"/>
      <c r="AI61" s="819"/>
      <c r="AJ61" s="819"/>
      <c r="AK61" s="819"/>
      <c r="AL61" s="819"/>
      <c r="AM61" s="754"/>
      <c r="AN61" s="754"/>
      <c r="AO61" s="754"/>
      <c r="AP61" s="818"/>
    </row>
    <row r="62" spans="3:42" ht="28.15" customHeight="1" x14ac:dyDescent="0.25">
      <c r="C62" s="809">
        <v>1501</v>
      </c>
      <c r="D62" s="810"/>
      <c r="E62" s="814" t="s">
        <v>363</v>
      </c>
      <c r="F62" s="815"/>
      <c r="G62" s="815"/>
      <c r="H62" s="815"/>
      <c r="I62" s="815"/>
      <c r="J62" s="815"/>
      <c r="K62" s="815"/>
      <c r="L62" s="815"/>
      <c r="M62" s="815"/>
      <c r="N62" s="815"/>
      <c r="O62" s="815"/>
      <c r="P62" s="816"/>
      <c r="Q62" s="814"/>
      <c r="R62" s="815"/>
      <c r="S62" s="815"/>
      <c r="T62" s="815"/>
      <c r="U62" s="816"/>
      <c r="W62" s="753">
        <v>2304</v>
      </c>
      <c r="X62" s="753"/>
      <c r="Y62" s="824" t="s">
        <v>384</v>
      </c>
      <c r="Z62" s="824"/>
      <c r="AA62" s="824"/>
      <c r="AB62" s="824"/>
      <c r="AC62" s="824"/>
      <c r="AD62" s="824"/>
      <c r="AE62" s="824"/>
      <c r="AF62" s="824"/>
      <c r="AG62" s="824"/>
      <c r="AH62" s="824"/>
      <c r="AI62" s="824"/>
      <c r="AJ62" s="824"/>
      <c r="AK62" s="824"/>
      <c r="AL62" s="824"/>
      <c r="AM62" s="754"/>
      <c r="AN62" s="754"/>
      <c r="AO62" s="754"/>
      <c r="AP62" s="818"/>
    </row>
    <row r="63" spans="3:42" ht="16.5" customHeight="1" x14ac:dyDescent="0.25">
      <c r="C63" s="809">
        <v>1523</v>
      </c>
      <c r="D63" s="810"/>
      <c r="E63" s="814" t="s">
        <v>364</v>
      </c>
      <c r="F63" s="815"/>
      <c r="G63" s="815"/>
      <c r="H63" s="815"/>
      <c r="I63" s="815"/>
      <c r="J63" s="815"/>
      <c r="K63" s="815"/>
      <c r="L63" s="815"/>
      <c r="M63" s="815"/>
      <c r="N63" s="815"/>
      <c r="O63" s="815"/>
      <c r="P63" s="816"/>
      <c r="Q63" s="814"/>
      <c r="R63" s="815"/>
      <c r="S63" s="815"/>
      <c r="T63" s="815"/>
      <c r="U63" s="816"/>
      <c r="W63" s="753">
        <v>2121</v>
      </c>
      <c r="X63" s="753"/>
      <c r="Y63" s="819" t="s">
        <v>385</v>
      </c>
      <c r="Z63" s="819"/>
      <c r="AA63" s="819"/>
      <c r="AB63" s="819"/>
      <c r="AC63" s="819"/>
      <c r="AD63" s="819"/>
      <c r="AE63" s="819"/>
      <c r="AF63" s="819"/>
      <c r="AG63" s="819"/>
      <c r="AH63" s="819"/>
      <c r="AI63" s="819"/>
      <c r="AJ63" s="819"/>
      <c r="AK63" s="819"/>
      <c r="AL63" s="819"/>
      <c r="AM63" s="754"/>
      <c r="AN63" s="754"/>
      <c r="AO63" s="754"/>
      <c r="AP63" s="818"/>
    </row>
    <row r="64" spans="3:42" ht="16.5" customHeight="1" x14ac:dyDescent="0.25">
      <c r="C64" s="809">
        <v>1524</v>
      </c>
      <c r="D64" s="810"/>
      <c r="E64" s="814" t="s">
        <v>419</v>
      </c>
      <c r="F64" s="815"/>
      <c r="G64" s="815"/>
      <c r="H64" s="815"/>
      <c r="I64" s="815"/>
      <c r="J64" s="815"/>
      <c r="K64" s="815"/>
      <c r="L64" s="815"/>
      <c r="M64" s="815"/>
      <c r="N64" s="815"/>
      <c r="O64" s="815"/>
      <c r="P64" s="816"/>
      <c r="Q64" s="814"/>
      <c r="R64" s="815"/>
      <c r="S64" s="815"/>
      <c r="T64" s="815"/>
      <c r="U64" s="816"/>
      <c r="W64" s="753">
        <v>2998</v>
      </c>
      <c r="X64" s="753"/>
      <c r="Y64" s="819" t="s">
        <v>386</v>
      </c>
      <c r="Z64" s="819"/>
      <c r="AA64" s="819"/>
      <c r="AB64" s="819"/>
      <c r="AC64" s="819"/>
      <c r="AD64" s="819"/>
      <c r="AE64" s="819"/>
      <c r="AF64" s="819"/>
      <c r="AG64" s="819"/>
      <c r="AH64" s="819"/>
      <c r="AI64" s="819"/>
      <c r="AJ64" s="819"/>
      <c r="AK64" s="819"/>
      <c r="AL64" s="819"/>
      <c r="AM64" s="754"/>
      <c r="AN64" s="754"/>
      <c r="AO64" s="754"/>
      <c r="AP64" s="818"/>
    </row>
    <row r="65" spans="3:42" ht="16.5" customHeight="1" x14ac:dyDescent="0.25">
      <c r="C65" s="809">
        <v>1529</v>
      </c>
      <c r="D65" s="810"/>
      <c r="E65" s="814" t="s">
        <v>365</v>
      </c>
      <c r="F65" s="815"/>
      <c r="G65" s="815"/>
      <c r="H65" s="815"/>
      <c r="I65" s="815"/>
      <c r="J65" s="815"/>
      <c r="K65" s="815"/>
      <c r="L65" s="815"/>
      <c r="M65" s="815"/>
      <c r="N65" s="815"/>
      <c r="O65" s="815"/>
      <c r="P65" s="816"/>
      <c r="Q65" s="814"/>
      <c r="R65" s="815"/>
      <c r="S65" s="815"/>
      <c r="T65" s="815"/>
      <c r="U65" s="816"/>
      <c r="W65" s="753">
        <v>2999</v>
      </c>
      <c r="X65" s="753"/>
      <c r="Y65" s="819" t="s">
        <v>387</v>
      </c>
      <c r="Z65" s="819"/>
      <c r="AA65" s="819"/>
      <c r="AB65" s="819"/>
      <c r="AC65" s="819"/>
      <c r="AD65" s="819"/>
      <c r="AE65" s="819"/>
      <c r="AF65" s="819"/>
      <c r="AG65" s="819"/>
      <c r="AH65" s="819"/>
      <c r="AI65" s="819"/>
      <c r="AJ65" s="819"/>
      <c r="AK65" s="819"/>
      <c r="AL65" s="819"/>
      <c r="AM65" s="754"/>
      <c r="AN65" s="754"/>
      <c r="AO65" s="754"/>
      <c r="AP65" s="818"/>
    </row>
    <row r="66" spans="3:42" ht="16.5" customHeight="1" x14ac:dyDescent="0.25">
      <c r="C66" s="809">
        <v>1530</v>
      </c>
      <c r="D66" s="810"/>
      <c r="E66" s="814" t="s">
        <v>419</v>
      </c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814"/>
      <c r="R66" s="815"/>
      <c r="S66" s="815"/>
      <c r="T66" s="815"/>
      <c r="U66" s="816"/>
      <c r="W66" s="820"/>
      <c r="X66" s="820"/>
      <c r="Y66" s="821" t="s">
        <v>381</v>
      </c>
      <c r="Z66" s="821"/>
      <c r="AA66" s="821"/>
      <c r="AB66" s="821"/>
      <c r="AC66" s="821"/>
      <c r="AD66" s="821"/>
      <c r="AE66" s="821"/>
      <c r="AF66" s="821"/>
      <c r="AG66" s="821"/>
      <c r="AH66" s="821"/>
      <c r="AI66" s="821"/>
      <c r="AJ66" s="821"/>
      <c r="AK66" s="821"/>
      <c r="AL66" s="821"/>
      <c r="AM66" s="822"/>
      <c r="AN66" s="822"/>
      <c r="AO66" s="822"/>
      <c r="AP66" s="823"/>
    </row>
    <row r="67" spans="3:42" ht="16.5" customHeight="1" x14ac:dyDescent="0.25">
      <c r="C67" s="809">
        <v>1541</v>
      </c>
      <c r="D67" s="810"/>
      <c r="E67" s="814" t="s">
        <v>366</v>
      </c>
      <c r="F67" s="815"/>
      <c r="G67" s="815"/>
      <c r="H67" s="815"/>
      <c r="I67" s="815"/>
      <c r="J67" s="815"/>
      <c r="K67" s="815"/>
      <c r="L67" s="815"/>
      <c r="M67" s="815"/>
      <c r="N67" s="815"/>
      <c r="O67" s="815"/>
      <c r="P67" s="816"/>
      <c r="Q67" s="814"/>
      <c r="R67" s="815"/>
      <c r="S67" s="815"/>
      <c r="T67" s="815"/>
      <c r="U67" s="816"/>
      <c r="W67" s="753">
        <v>3102</v>
      </c>
      <c r="X67" s="753"/>
      <c r="Y67" s="819" t="s">
        <v>388</v>
      </c>
      <c r="Z67" s="819"/>
      <c r="AA67" s="819"/>
      <c r="AB67" s="819"/>
      <c r="AC67" s="819"/>
      <c r="AD67" s="819"/>
      <c r="AE67" s="819"/>
      <c r="AF67" s="819"/>
      <c r="AG67" s="819"/>
      <c r="AH67" s="819"/>
      <c r="AI67" s="819"/>
      <c r="AJ67" s="819"/>
      <c r="AK67" s="819"/>
      <c r="AL67" s="819"/>
      <c r="AM67" s="754"/>
      <c r="AN67" s="754"/>
      <c r="AO67" s="754"/>
      <c r="AP67" s="818"/>
    </row>
    <row r="68" spans="3:42" ht="16.5" customHeight="1" x14ac:dyDescent="0.25">
      <c r="C68" s="809">
        <v>1590</v>
      </c>
      <c r="D68" s="810"/>
      <c r="E68" s="814" t="s">
        <v>367</v>
      </c>
      <c r="F68" s="815"/>
      <c r="G68" s="815"/>
      <c r="H68" s="815"/>
      <c r="I68" s="815"/>
      <c r="J68" s="815"/>
      <c r="K68" s="815"/>
      <c r="L68" s="815"/>
      <c r="M68" s="815"/>
      <c r="N68" s="815"/>
      <c r="O68" s="815"/>
      <c r="P68" s="816"/>
      <c r="Q68" s="814"/>
      <c r="R68" s="815"/>
      <c r="S68" s="815"/>
      <c r="T68" s="815"/>
      <c r="U68" s="816"/>
      <c r="W68" s="753">
        <v>3120</v>
      </c>
      <c r="X68" s="753"/>
      <c r="Y68" s="819" t="s">
        <v>389</v>
      </c>
      <c r="Z68" s="819"/>
      <c r="AA68" s="819"/>
      <c r="AB68" s="819"/>
      <c r="AC68" s="819"/>
      <c r="AD68" s="819"/>
      <c r="AE68" s="819"/>
      <c r="AF68" s="819"/>
      <c r="AG68" s="819"/>
      <c r="AH68" s="819"/>
      <c r="AI68" s="819"/>
      <c r="AJ68" s="819"/>
      <c r="AK68" s="819"/>
      <c r="AL68" s="819"/>
      <c r="AM68" s="754"/>
      <c r="AN68" s="754"/>
      <c r="AO68" s="754"/>
      <c r="AP68" s="818"/>
    </row>
    <row r="69" spans="3:42" ht="16.5" customHeight="1" x14ac:dyDescent="0.25">
      <c r="C69" s="809">
        <v>1600</v>
      </c>
      <c r="D69" s="810"/>
      <c r="E69" s="814" t="s">
        <v>368</v>
      </c>
      <c r="F69" s="815"/>
      <c r="G69" s="815"/>
      <c r="H69" s="815"/>
      <c r="I69" s="815"/>
      <c r="J69" s="815"/>
      <c r="K69" s="815"/>
      <c r="L69" s="815"/>
      <c r="M69" s="815"/>
      <c r="N69" s="815"/>
      <c r="O69" s="815"/>
      <c r="P69" s="816"/>
      <c r="Q69" s="814"/>
      <c r="R69" s="815"/>
      <c r="S69" s="815"/>
      <c r="T69" s="815"/>
      <c r="U69" s="816"/>
      <c r="W69" s="753">
        <v>3200</v>
      </c>
      <c r="X69" s="753"/>
      <c r="Y69" s="819" t="s">
        <v>390</v>
      </c>
      <c r="Z69" s="819"/>
      <c r="AA69" s="819"/>
      <c r="AB69" s="819"/>
      <c r="AC69" s="819"/>
      <c r="AD69" s="819"/>
      <c r="AE69" s="819"/>
      <c r="AF69" s="819"/>
      <c r="AG69" s="819"/>
      <c r="AH69" s="819"/>
      <c r="AI69" s="819"/>
      <c r="AJ69" s="819"/>
      <c r="AK69" s="819"/>
      <c r="AL69" s="819"/>
      <c r="AM69" s="754"/>
      <c r="AN69" s="754"/>
      <c r="AO69" s="754"/>
      <c r="AP69" s="818"/>
    </row>
    <row r="70" spans="3:42" ht="16.5" customHeight="1" x14ac:dyDescent="0.25">
      <c r="C70" s="809">
        <v>1611</v>
      </c>
      <c r="D70" s="810"/>
      <c r="E70" s="814" t="s">
        <v>369</v>
      </c>
      <c r="F70" s="815"/>
      <c r="G70" s="815"/>
      <c r="H70" s="815"/>
      <c r="I70" s="815"/>
      <c r="J70" s="815"/>
      <c r="K70" s="815"/>
      <c r="L70" s="815"/>
      <c r="M70" s="815"/>
      <c r="N70" s="815"/>
      <c r="O70" s="815"/>
      <c r="P70" s="816"/>
      <c r="Q70" s="814"/>
      <c r="R70" s="815"/>
      <c r="S70" s="815"/>
      <c r="T70" s="815"/>
      <c r="U70" s="816"/>
      <c r="W70" s="753">
        <v>3208</v>
      </c>
      <c r="X70" s="753"/>
      <c r="Y70" s="819" t="s">
        <v>391</v>
      </c>
      <c r="Z70" s="819"/>
      <c r="AA70" s="819"/>
      <c r="AB70" s="819"/>
      <c r="AC70" s="819"/>
      <c r="AD70" s="819"/>
      <c r="AE70" s="819"/>
      <c r="AF70" s="819"/>
      <c r="AG70" s="819"/>
      <c r="AH70" s="819"/>
      <c r="AI70" s="819"/>
      <c r="AJ70" s="819"/>
      <c r="AK70" s="819"/>
      <c r="AL70" s="819"/>
      <c r="AM70" s="754"/>
      <c r="AN70" s="754"/>
      <c r="AO70" s="754"/>
      <c r="AP70" s="818"/>
    </row>
    <row r="71" spans="3:42" ht="16.5" customHeight="1" x14ac:dyDescent="0.25">
      <c r="C71" s="809">
        <v>1699</v>
      </c>
      <c r="D71" s="810"/>
      <c r="E71" s="814" t="s">
        <v>370</v>
      </c>
      <c r="F71" s="815"/>
      <c r="G71" s="815"/>
      <c r="H71" s="815"/>
      <c r="I71" s="815"/>
      <c r="J71" s="815"/>
      <c r="K71" s="815"/>
      <c r="L71" s="815"/>
      <c r="M71" s="815"/>
      <c r="N71" s="815"/>
      <c r="O71" s="815"/>
      <c r="P71" s="816"/>
      <c r="Q71" s="814"/>
      <c r="R71" s="815"/>
      <c r="S71" s="815"/>
      <c r="T71" s="815"/>
      <c r="U71" s="816"/>
      <c r="W71" s="753">
        <v>3209</v>
      </c>
      <c r="X71" s="753"/>
      <c r="Y71" s="819" t="s">
        <v>392</v>
      </c>
      <c r="Z71" s="819"/>
      <c r="AA71" s="819"/>
      <c r="AB71" s="819"/>
      <c r="AC71" s="819"/>
      <c r="AD71" s="819"/>
      <c r="AE71" s="819"/>
      <c r="AF71" s="819"/>
      <c r="AG71" s="819"/>
      <c r="AH71" s="819"/>
      <c r="AI71" s="819"/>
      <c r="AJ71" s="819"/>
      <c r="AK71" s="819"/>
      <c r="AL71" s="819"/>
      <c r="AM71" s="754"/>
      <c r="AN71" s="754"/>
      <c r="AO71" s="754"/>
      <c r="AP71" s="818"/>
    </row>
    <row r="72" spans="3:42" ht="16.5" customHeight="1" x14ac:dyDescent="0.25">
      <c r="C72" s="809">
        <v>1700</v>
      </c>
      <c r="D72" s="810"/>
      <c r="E72" s="811" t="s">
        <v>371</v>
      </c>
      <c r="F72" s="812"/>
      <c r="G72" s="812"/>
      <c r="H72" s="812"/>
      <c r="I72" s="812"/>
      <c r="J72" s="812"/>
      <c r="K72" s="812"/>
      <c r="L72" s="812"/>
      <c r="M72" s="812"/>
      <c r="N72" s="812"/>
      <c r="O72" s="812"/>
      <c r="P72" s="813"/>
      <c r="Q72" s="814"/>
      <c r="R72" s="815"/>
      <c r="S72" s="815"/>
      <c r="T72" s="815"/>
      <c r="U72" s="816"/>
      <c r="W72" s="753">
        <v>3300</v>
      </c>
      <c r="X72" s="753"/>
      <c r="Y72" s="817" t="s">
        <v>393</v>
      </c>
      <c r="Z72" s="817"/>
      <c r="AA72" s="817"/>
      <c r="AB72" s="817"/>
      <c r="AC72" s="817"/>
      <c r="AD72" s="817"/>
      <c r="AE72" s="817"/>
      <c r="AF72" s="817"/>
      <c r="AG72" s="817"/>
      <c r="AH72" s="817"/>
      <c r="AI72" s="817"/>
      <c r="AJ72" s="817"/>
      <c r="AK72" s="817"/>
      <c r="AL72" s="817"/>
      <c r="AM72" s="754"/>
      <c r="AN72" s="754"/>
      <c r="AO72" s="754"/>
      <c r="AP72" s="818"/>
    </row>
    <row r="73" spans="3:42" ht="3" customHeight="1" x14ac:dyDescent="0.25">
      <c r="C73" s="241"/>
      <c r="D73" s="216"/>
      <c r="E73" s="212"/>
      <c r="F73" s="212"/>
      <c r="G73" s="212"/>
      <c r="H73" s="212"/>
      <c r="I73" s="212"/>
      <c r="J73" s="212"/>
      <c r="K73" s="212"/>
      <c r="L73" s="212"/>
      <c r="M73" s="212"/>
      <c r="N73" s="212"/>
      <c r="O73" s="212"/>
      <c r="P73" s="212"/>
      <c r="Q73" s="216"/>
      <c r="R73" s="216"/>
      <c r="S73" s="216"/>
      <c r="T73" s="216"/>
      <c r="U73" s="216"/>
      <c r="V73" s="1"/>
      <c r="W73" s="216"/>
      <c r="X73" s="216"/>
      <c r="Y73" s="212"/>
      <c r="Z73" s="212"/>
      <c r="AA73" s="212"/>
      <c r="AB73" s="212"/>
      <c r="AC73" s="212"/>
      <c r="AD73" s="212"/>
      <c r="AE73" s="212"/>
      <c r="AF73" s="212"/>
      <c r="AG73" s="212"/>
      <c r="AH73" s="212"/>
      <c r="AI73" s="212"/>
      <c r="AJ73" s="212"/>
      <c r="AK73" s="212"/>
      <c r="AL73" s="212"/>
      <c r="AM73" s="188"/>
      <c r="AN73" s="188"/>
      <c r="AO73" s="188"/>
      <c r="AP73" s="242"/>
    </row>
    <row r="74" spans="3:42" ht="6" customHeight="1" x14ac:dyDescent="0.25">
      <c r="C74" s="804"/>
      <c r="D74" s="805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43"/>
    </row>
    <row r="75" spans="3:42" ht="17.649999999999999" customHeight="1" x14ac:dyDescent="0.25">
      <c r="C75" s="806"/>
      <c r="D75" s="651"/>
      <c r="E75" s="237" t="s">
        <v>394</v>
      </c>
      <c r="F75" s="219"/>
      <c r="G75" s="219"/>
      <c r="H75" s="219"/>
      <c r="I75" s="219"/>
      <c r="J75" s="219"/>
      <c r="K75" s="219"/>
      <c r="L75" s="219"/>
      <c r="M75" s="217"/>
      <c r="N75" s="238" t="s">
        <v>395</v>
      </c>
      <c r="O75" s="219"/>
      <c r="P75" s="219"/>
      <c r="Q75" s="219"/>
      <c r="R75" s="217"/>
      <c r="S75" s="238" t="s">
        <v>396</v>
      </c>
      <c r="T75" s="219"/>
      <c r="U75" s="219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43"/>
    </row>
    <row r="76" spans="3:42" ht="6" customHeight="1" x14ac:dyDescent="0.25">
      <c r="C76" s="804"/>
      <c r="D76" s="805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43"/>
    </row>
    <row r="77" spans="3:42" ht="3" customHeight="1" x14ac:dyDescent="0.25">
      <c r="C77" s="807"/>
      <c r="D77" s="808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57"/>
    </row>
    <row r="78" spans="3:42" x14ac:dyDescent="0.25">
      <c r="C78" s="799"/>
      <c r="D78" s="800"/>
      <c r="E78" s="163"/>
      <c r="F78" s="163"/>
      <c r="G78" s="163"/>
      <c r="H78" s="163"/>
      <c r="I78" s="163"/>
      <c r="J78" s="163"/>
      <c r="K78" s="163"/>
      <c r="L78" s="163"/>
      <c r="M78" s="163"/>
      <c r="N78" s="163"/>
      <c r="O78" s="163"/>
      <c r="P78" s="163"/>
      <c r="Q78" s="163"/>
      <c r="R78" s="163"/>
      <c r="S78" s="163"/>
      <c r="T78" s="163"/>
      <c r="U78" s="163"/>
      <c r="V78" s="163"/>
      <c r="W78" s="163"/>
      <c r="X78" s="163"/>
      <c r="Y78" s="163"/>
      <c r="Z78" s="163"/>
      <c r="AA78" s="163"/>
      <c r="AB78" s="163"/>
      <c r="AC78" s="163"/>
      <c r="AD78" s="163"/>
      <c r="AE78" s="163"/>
      <c r="AF78" s="163"/>
      <c r="AG78" s="163"/>
      <c r="AH78" s="163"/>
      <c r="AI78" s="163"/>
      <c r="AJ78" s="163"/>
      <c r="AK78" s="163"/>
      <c r="AL78" s="163"/>
      <c r="AM78" s="163"/>
      <c r="AN78" s="163"/>
      <c r="AO78" s="163"/>
      <c r="AP78" s="173"/>
    </row>
    <row r="79" spans="3:42" x14ac:dyDescent="0.25">
      <c r="C79" s="799"/>
      <c r="D79" s="800"/>
      <c r="E79" s="172" t="s">
        <v>397</v>
      </c>
      <c r="F79" s="163"/>
      <c r="G79" s="163"/>
      <c r="H79" s="163"/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3"/>
      <c r="V79" s="222"/>
      <c r="W79" s="163"/>
      <c r="X79" s="163"/>
      <c r="Y79" s="172" t="s">
        <v>399</v>
      </c>
      <c r="Z79" s="163"/>
      <c r="AA79" s="163"/>
      <c r="AB79" s="163"/>
      <c r="AC79" s="163"/>
      <c r="AD79" s="163"/>
      <c r="AE79" s="163"/>
      <c r="AF79" s="163"/>
      <c r="AG79" s="163"/>
      <c r="AH79" s="163"/>
      <c r="AI79" s="163"/>
      <c r="AJ79" s="163"/>
      <c r="AK79" s="163"/>
      <c r="AL79" s="163"/>
      <c r="AM79" s="163"/>
      <c r="AN79" s="163"/>
      <c r="AO79" s="163"/>
      <c r="AP79" s="173"/>
    </row>
    <row r="80" spans="3:42" x14ac:dyDescent="0.25">
      <c r="C80" s="799"/>
      <c r="D80" s="800"/>
      <c r="E80" s="151"/>
      <c r="F80" s="151"/>
      <c r="G80" s="151"/>
      <c r="H80" s="151"/>
      <c r="I80" s="151"/>
      <c r="J80" s="151"/>
      <c r="K80" s="151"/>
      <c r="L80" s="151"/>
      <c r="M80" s="151"/>
      <c r="N80" s="151"/>
      <c r="O80" s="151"/>
      <c r="P80" s="151"/>
      <c r="Q80" s="151"/>
      <c r="R80" s="151"/>
      <c r="S80" s="151"/>
      <c r="T80" s="151"/>
      <c r="U80" s="163"/>
      <c r="V80" s="222"/>
      <c r="W80" s="163"/>
      <c r="X80" s="163"/>
      <c r="Y80" s="151"/>
      <c r="Z80" s="151"/>
      <c r="AA80" s="151"/>
      <c r="AB80" s="151"/>
      <c r="AC80" s="151"/>
      <c r="AD80" s="151"/>
      <c r="AE80" s="151"/>
      <c r="AF80" s="151"/>
      <c r="AG80" s="151"/>
      <c r="AH80" s="151"/>
      <c r="AI80" s="151"/>
      <c r="AJ80" s="151"/>
      <c r="AK80" s="151"/>
      <c r="AL80" s="151"/>
      <c r="AM80" s="151"/>
      <c r="AN80" s="151"/>
      <c r="AO80" s="163"/>
      <c r="AP80" s="173"/>
    </row>
    <row r="81" spans="3:42" x14ac:dyDescent="0.25">
      <c r="C81" s="799"/>
      <c r="D81" s="800"/>
      <c r="E81" s="163"/>
      <c r="F81" s="163"/>
      <c r="G81" s="163"/>
      <c r="H81" s="163"/>
      <c r="I81" s="163"/>
      <c r="J81" s="163"/>
      <c r="K81" s="163"/>
      <c r="L81" s="163"/>
      <c r="M81" s="163"/>
      <c r="N81" s="163"/>
      <c r="O81" s="163"/>
      <c r="P81" s="163"/>
      <c r="Q81" s="163"/>
      <c r="R81" s="163"/>
      <c r="S81" s="163"/>
      <c r="T81" s="163"/>
      <c r="U81" s="163"/>
      <c r="V81" s="222"/>
      <c r="W81" s="163"/>
      <c r="X81" s="163"/>
      <c r="Y81" s="163"/>
      <c r="Z81" s="163"/>
      <c r="AA81" s="163"/>
      <c r="AB81" s="163"/>
      <c r="AC81" s="163"/>
      <c r="AD81" s="163"/>
      <c r="AE81" s="163"/>
      <c r="AF81" s="163"/>
      <c r="AG81" s="163"/>
      <c r="AH81" s="163"/>
      <c r="AI81" s="163"/>
      <c r="AJ81" s="163"/>
      <c r="AK81" s="163"/>
      <c r="AL81" s="163"/>
      <c r="AM81" s="163"/>
      <c r="AN81" s="163"/>
      <c r="AO81" s="163"/>
      <c r="AP81" s="173"/>
    </row>
    <row r="82" spans="3:42" x14ac:dyDescent="0.25">
      <c r="C82" s="799"/>
      <c r="D82" s="800"/>
      <c r="E82" s="172" t="s">
        <v>398</v>
      </c>
      <c r="F82" s="163"/>
      <c r="G82" s="163"/>
      <c r="H82" s="163"/>
      <c r="I82" s="163"/>
      <c r="J82" s="163"/>
      <c r="K82" s="163"/>
      <c r="L82" s="163"/>
      <c r="M82" s="163"/>
      <c r="N82" s="163"/>
      <c r="O82" s="163"/>
      <c r="P82" s="163"/>
      <c r="Q82" s="163"/>
      <c r="R82" s="163"/>
      <c r="S82" s="163"/>
      <c r="T82" s="163"/>
      <c r="U82" s="163"/>
      <c r="V82" s="222"/>
      <c r="W82" s="163"/>
      <c r="X82" s="163"/>
      <c r="Y82" s="172" t="s">
        <v>400</v>
      </c>
      <c r="Z82" s="163"/>
      <c r="AA82" s="163"/>
      <c r="AB82" s="163"/>
      <c r="AC82" s="163"/>
      <c r="AD82" s="163"/>
      <c r="AE82" s="163"/>
      <c r="AF82" s="163"/>
      <c r="AG82" s="163"/>
      <c r="AH82" s="163"/>
      <c r="AI82" s="163"/>
      <c r="AJ82" s="163"/>
      <c r="AK82" s="163"/>
      <c r="AL82" s="163"/>
      <c r="AM82" s="163"/>
      <c r="AN82" s="163"/>
      <c r="AO82" s="163"/>
      <c r="AP82" s="173"/>
    </row>
    <row r="83" spans="3:42" x14ac:dyDescent="0.25">
      <c r="C83" s="799"/>
      <c r="D83" s="800"/>
      <c r="E83" s="801"/>
      <c r="F83" s="802"/>
      <c r="G83" s="802"/>
      <c r="H83" s="802"/>
      <c r="I83" s="802"/>
      <c r="J83" s="802"/>
      <c r="K83" s="802"/>
      <c r="L83" s="802"/>
      <c r="M83" s="802"/>
      <c r="N83" s="802"/>
      <c r="O83" s="802"/>
      <c r="P83" s="802"/>
      <c r="Q83" s="802"/>
      <c r="R83" s="802"/>
      <c r="S83" s="802"/>
      <c r="T83" s="803"/>
      <c r="U83" s="163"/>
      <c r="V83" s="222"/>
      <c r="W83" s="223"/>
      <c r="X83" s="163"/>
      <c r="Y83" s="801"/>
      <c r="Z83" s="802"/>
      <c r="AA83" s="802"/>
      <c r="AB83" s="802"/>
      <c r="AC83" s="802"/>
      <c r="AD83" s="802"/>
      <c r="AE83" s="802"/>
      <c r="AF83" s="802"/>
      <c r="AG83" s="802"/>
      <c r="AH83" s="802"/>
      <c r="AI83" s="802"/>
      <c r="AJ83" s="802"/>
      <c r="AK83" s="802"/>
      <c r="AL83" s="802"/>
      <c r="AM83" s="802"/>
      <c r="AN83" s="803"/>
      <c r="AO83" s="163"/>
      <c r="AP83" s="173"/>
    </row>
    <row r="84" spans="3:42" x14ac:dyDescent="0.25">
      <c r="C84" s="797"/>
      <c r="D84" s="798"/>
      <c r="E84" s="244"/>
      <c r="F84" s="244"/>
      <c r="G84" s="244"/>
      <c r="H84" s="244"/>
      <c r="I84" s="244"/>
      <c r="J84" s="244"/>
      <c r="K84" s="244"/>
      <c r="L84" s="244"/>
      <c r="M84" s="244"/>
      <c r="N84" s="244"/>
      <c r="O84" s="244"/>
      <c r="P84" s="244"/>
      <c r="Q84" s="244"/>
      <c r="R84" s="244"/>
      <c r="S84" s="244"/>
      <c r="T84" s="244"/>
      <c r="U84" s="244"/>
      <c r="V84" s="244"/>
      <c r="W84" s="244"/>
      <c r="X84" s="244"/>
      <c r="Y84" s="244"/>
      <c r="Z84" s="244"/>
      <c r="AA84" s="244"/>
      <c r="AB84" s="244"/>
      <c r="AC84" s="244"/>
      <c r="AD84" s="244"/>
      <c r="AE84" s="244"/>
      <c r="AF84" s="244"/>
      <c r="AG84" s="244"/>
      <c r="AH84" s="244"/>
      <c r="AI84" s="244"/>
      <c r="AJ84" s="244"/>
      <c r="AK84" s="244"/>
      <c r="AL84" s="244"/>
      <c r="AM84" s="244"/>
      <c r="AN84" s="244"/>
      <c r="AO84" s="244"/>
      <c r="AP84" s="245"/>
    </row>
    <row r="85" spans="3:42" x14ac:dyDescent="0.25">
      <c r="C85" s="792"/>
      <c r="D85" s="568"/>
    </row>
    <row r="86" spans="3:42" x14ac:dyDescent="0.25">
      <c r="C86" s="792"/>
      <c r="D86" s="568"/>
    </row>
    <row r="87" spans="3:42" x14ac:dyDescent="0.25">
      <c r="C87" s="792"/>
      <c r="D87" s="568"/>
    </row>
    <row r="88" spans="3:42" x14ac:dyDescent="0.25">
      <c r="C88" s="792"/>
      <c r="D88" s="568"/>
    </row>
    <row r="89" spans="3:42" x14ac:dyDescent="0.25">
      <c r="C89" s="792"/>
      <c r="D89" s="568"/>
    </row>
    <row r="90" spans="3:42" x14ac:dyDescent="0.25">
      <c r="C90" s="792"/>
      <c r="D90" s="568"/>
    </row>
    <row r="91" spans="3:42" x14ac:dyDescent="0.25">
      <c r="C91" s="792"/>
      <c r="D91" s="568"/>
    </row>
    <row r="92" spans="3:42" x14ac:dyDescent="0.25">
      <c r="C92" s="792"/>
      <c r="D92" s="568"/>
    </row>
    <row r="93" spans="3:42" x14ac:dyDescent="0.25">
      <c r="C93" s="792"/>
      <c r="D93" s="568"/>
    </row>
    <row r="94" spans="3:42" x14ac:dyDescent="0.25">
      <c r="C94" s="792"/>
      <c r="D94" s="568"/>
    </row>
    <row r="95" spans="3:42" x14ac:dyDescent="0.25">
      <c r="C95" s="792"/>
      <c r="D95" s="568"/>
    </row>
    <row r="96" spans="3:42" x14ac:dyDescent="0.25">
      <c r="C96" s="792"/>
      <c r="D96" s="568"/>
    </row>
    <row r="97" spans="3:4" x14ac:dyDescent="0.25">
      <c r="C97" s="792"/>
      <c r="D97" s="568"/>
    </row>
    <row r="98" spans="3:4" x14ac:dyDescent="0.25">
      <c r="C98" s="792"/>
      <c r="D98" s="568"/>
    </row>
    <row r="99" spans="3:4" x14ac:dyDescent="0.25">
      <c r="C99" s="792"/>
      <c r="D99" s="568"/>
    </row>
    <row r="100" spans="3:4" x14ac:dyDescent="0.25">
      <c r="C100" s="792"/>
      <c r="D100" s="568"/>
    </row>
    <row r="101" spans="3:4" x14ac:dyDescent="0.25">
      <c r="C101" s="792"/>
      <c r="D101" s="568"/>
    </row>
    <row r="102" spans="3:4" x14ac:dyDescent="0.25">
      <c r="C102" s="792"/>
      <c r="D102" s="568"/>
    </row>
  </sheetData>
  <mergeCells count="390">
    <mergeCell ref="O5:AG7"/>
    <mergeCell ref="AI5:AO9"/>
    <mergeCell ref="O9:AG11"/>
    <mergeCell ref="E19:K21"/>
    <mergeCell ref="L19:O21"/>
    <mergeCell ref="P19:R21"/>
    <mergeCell ref="S19:V21"/>
    <mergeCell ref="W19:Z21"/>
    <mergeCell ref="AA19:AD21"/>
    <mergeCell ref="AE19:AH21"/>
    <mergeCell ref="AI19:AL21"/>
    <mergeCell ref="AM19:AP21"/>
    <mergeCell ref="AM22:AP22"/>
    <mergeCell ref="C23:D23"/>
    <mergeCell ref="E23:K23"/>
    <mergeCell ref="L23:O23"/>
    <mergeCell ref="P23:R23"/>
    <mergeCell ref="S23:V23"/>
    <mergeCell ref="W23:Z23"/>
    <mergeCell ref="AA23:AD23"/>
    <mergeCell ref="AE23:AH23"/>
    <mergeCell ref="AI23:AL23"/>
    <mergeCell ref="AM23:AP23"/>
    <mergeCell ref="C22:D22"/>
    <mergeCell ref="E22:K22"/>
    <mergeCell ref="L22:O22"/>
    <mergeCell ref="P22:R22"/>
    <mergeCell ref="S22:V22"/>
    <mergeCell ref="W22:Z22"/>
    <mergeCell ref="AA22:AD22"/>
    <mergeCell ref="AE22:AH22"/>
    <mergeCell ref="AI22:AL22"/>
    <mergeCell ref="AM24:AP24"/>
    <mergeCell ref="C25:D25"/>
    <mergeCell ref="E25:K25"/>
    <mergeCell ref="L25:O25"/>
    <mergeCell ref="P25:R25"/>
    <mergeCell ref="S25:V25"/>
    <mergeCell ref="W25:Z25"/>
    <mergeCell ref="AA25:AD25"/>
    <mergeCell ref="AE25:AH25"/>
    <mergeCell ref="AI25:AL25"/>
    <mergeCell ref="AM25:AP25"/>
    <mergeCell ref="C24:D24"/>
    <mergeCell ref="E24:K24"/>
    <mergeCell ref="L24:O24"/>
    <mergeCell ref="P24:R24"/>
    <mergeCell ref="S24:V24"/>
    <mergeCell ref="W24:Z24"/>
    <mergeCell ref="AA24:AD24"/>
    <mergeCell ref="AE24:AH24"/>
    <mergeCell ref="AI24:AL24"/>
    <mergeCell ref="AM26:AP26"/>
    <mergeCell ref="C27:D27"/>
    <mergeCell ref="E27:K27"/>
    <mergeCell ref="L27:O27"/>
    <mergeCell ref="P27:R27"/>
    <mergeCell ref="S27:V27"/>
    <mergeCell ref="W27:Z27"/>
    <mergeCell ref="AA27:AD27"/>
    <mergeCell ref="AE27:AH27"/>
    <mergeCell ref="AI27:AL27"/>
    <mergeCell ref="AM27:AP27"/>
    <mergeCell ref="C26:D26"/>
    <mergeCell ref="E26:K26"/>
    <mergeCell ref="L26:O26"/>
    <mergeCell ref="P26:R26"/>
    <mergeCell ref="S26:V26"/>
    <mergeCell ref="W26:Z26"/>
    <mergeCell ref="AA26:AD26"/>
    <mergeCell ref="AE26:AH26"/>
    <mergeCell ref="AI26:AL26"/>
    <mergeCell ref="C28:D28"/>
    <mergeCell ref="L28:O28"/>
    <mergeCell ref="P28:R28"/>
    <mergeCell ref="S28:V28"/>
    <mergeCell ref="W28:Z28"/>
    <mergeCell ref="AA28:AD28"/>
    <mergeCell ref="AE28:AH28"/>
    <mergeCell ref="AI28:AL28"/>
    <mergeCell ref="AM28:AP28"/>
    <mergeCell ref="AM29:AP29"/>
    <mergeCell ref="C30:D30"/>
    <mergeCell ref="E30:K30"/>
    <mergeCell ref="L30:O30"/>
    <mergeCell ref="P30:R30"/>
    <mergeCell ref="S30:V30"/>
    <mergeCell ref="W30:Z30"/>
    <mergeCell ref="AA30:AD30"/>
    <mergeCell ref="AE30:AH30"/>
    <mergeCell ref="AI30:AL30"/>
    <mergeCell ref="AM30:AP30"/>
    <mergeCell ref="C29:D29"/>
    <mergeCell ref="E29:K29"/>
    <mergeCell ref="L29:O29"/>
    <mergeCell ref="P29:R29"/>
    <mergeCell ref="S29:V29"/>
    <mergeCell ref="W29:Z29"/>
    <mergeCell ref="AA29:AD29"/>
    <mergeCell ref="AE29:AH29"/>
    <mergeCell ref="AI29:AL29"/>
    <mergeCell ref="AM31:AP31"/>
    <mergeCell ref="C32:D32"/>
    <mergeCell ref="E32:K32"/>
    <mergeCell ref="L32:O32"/>
    <mergeCell ref="P32:R32"/>
    <mergeCell ref="S32:V32"/>
    <mergeCell ref="W32:Z32"/>
    <mergeCell ref="AA32:AD32"/>
    <mergeCell ref="AE32:AH32"/>
    <mergeCell ref="AI32:AL32"/>
    <mergeCell ref="AM32:AP32"/>
    <mergeCell ref="C31:D31"/>
    <mergeCell ref="E31:K31"/>
    <mergeCell ref="L31:O31"/>
    <mergeCell ref="P31:R31"/>
    <mergeCell ref="S31:V31"/>
    <mergeCell ref="W31:Z31"/>
    <mergeCell ref="AA31:AD31"/>
    <mergeCell ref="AE31:AH31"/>
    <mergeCell ref="AI31:AL31"/>
    <mergeCell ref="AM33:AP33"/>
    <mergeCell ref="C34:D34"/>
    <mergeCell ref="E34:K34"/>
    <mergeCell ref="L34:O34"/>
    <mergeCell ref="P34:R34"/>
    <mergeCell ref="S34:V34"/>
    <mergeCell ref="W34:Z34"/>
    <mergeCell ref="AA34:AD34"/>
    <mergeCell ref="AE34:AH34"/>
    <mergeCell ref="C33:D33"/>
    <mergeCell ref="E33:K33"/>
    <mergeCell ref="L33:O33"/>
    <mergeCell ref="P33:R33"/>
    <mergeCell ref="S33:V33"/>
    <mergeCell ref="W33:Z33"/>
    <mergeCell ref="AA33:AD33"/>
    <mergeCell ref="AE33:AH33"/>
    <mergeCell ref="AI33:AL33"/>
    <mergeCell ref="L36:O36"/>
    <mergeCell ref="P36:R36"/>
    <mergeCell ref="S36:V36"/>
    <mergeCell ref="W36:Z36"/>
    <mergeCell ref="AA36:AD36"/>
    <mergeCell ref="AE36:AH36"/>
    <mergeCell ref="AI34:AL34"/>
    <mergeCell ref="AM34:AP34"/>
    <mergeCell ref="C35:D35"/>
    <mergeCell ref="E35:K35"/>
    <mergeCell ref="L35:O35"/>
    <mergeCell ref="P35:R35"/>
    <mergeCell ref="S35:V35"/>
    <mergeCell ref="W35:Z35"/>
    <mergeCell ref="AA35:AD35"/>
    <mergeCell ref="AE35:AH35"/>
    <mergeCell ref="AI37:AL37"/>
    <mergeCell ref="AM37:AP37"/>
    <mergeCell ref="C38:D38"/>
    <mergeCell ref="E28:K28"/>
    <mergeCell ref="L38:O38"/>
    <mergeCell ref="P38:R38"/>
    <mergeCell ref="S38:V38"/>
    <mergeCell ref="W38:Z38"/>
    <mergeCell ref="AA38:AD38"/>
    <mergeCell ref="AE38:AH38"/>
    <mergeCell ref="AI36:AL36"/>
    <mergeCell ref="AM36:AP36"/>
    <mergeCell ref="C37:D37"/>
    <mergeCell ref="E37:K37"/>
    <mergeCell ref="L37:O37"/>
    <mergeCell ref="P37:R37"/>
    <mergeCell ref="S37:V37"/>
    <mergeCell ref="W37:Z37"/>
    <mergeCell ref="AA37:AD37"/>
    <mergeCell ref="AE37:AH37"/>
    <mergeCell ref="AI35:AL35"/>
    <mergeCell ref="AM35:AP35"/>
    <mergeCell ref="C36:D36"/>
    <mergeCell ref="E36:K36"/>
    <mergeCell ref="AI39:AL39"/>
    <mergeCell ref="AM39:AP39"/>
    <mergeCell ref="AI38:AL38"/>
    <mergeCell ref="AM38:AP38"/>
    <mergeCell ref="C39:D39"/>
    <mergeCell ref="E39:K39"/>
    <mergeCell ref="L39:O39"/>
    <mergeCell ref="P39:R39"/>
    <mergeCell ref="S39:V39"/>
    <mergeCell ref="W39:Z39"/>
    <mergeCell ref="AA39:AD39"/>
    <mergeCell ref="AE39:AH39"/>
    <mergeCell ref="C47:D47"/>
    <mergeCell ref="E47:U47"/>
    <mergeCell ref="W47:X47"/>
    <mergeCell ref="Y47:AP47"/>
    <mergeCell ref="C48:D48"/>
    <mergeCell ref="W48:X48"/>
    <mergeCell ref="Y48:AL48"/>
    <mergeCell ref="AM48:AP48"/>
    <mergeCell ref="AI40:AL40"/>
    <mergeCell ref="AM40:AP40"/>
    <mergeCell ref="C45:D46"/>
    <mergeCell ref="E45:U46"/>
    <mergeCell ref="W45:X46"/>
    <mergeCell ref="Y45:AP46"/>
    <mergeCell ref="C40:D40"/>
    <mergeCell ref="E40:K40"/>
    <mergeCell ref="L40:O40"/>
    <mergeCell ref="P40:R40"/>
    <mergeCell ref="S40:V40"/>
    <mergeCell ref="W40:Z40"/>
    <mergeCell ref="AA40:AD40"/>
    <mergeCell ref="AE40:AH40"/>
    <mergeCell ref="C50:D50"/>
    <mergeCell ref="E50:P50"/>
    <mergeCell ref="Q50:U50"/>
    <mergeCell ref="W50:X50"/>
    <mergeCell ref="Y50:AL50"/>
    <mergeCell ref="AM50:AP50"/>
    <mergeCell ref="C49:D49"/>
    <mergeCell ref="E49:P49"/>
    <mergeCell ref="Q49:U49"/>
    <mergeCell ref="W49:X49"/>
    <mergeCell ref="Y49:AL49"/>
    <mergeCell ref="AM49:AP49"/>
    <mergeCell ref="C52:D52"/>
    <mergeCell ref="E52:P52"/>
    <mergeCell ref="Q52:U52"/>
    <mergeCell ref="W52:X52"/>
    <mergeCell ref="Y52:AL52"/>
    <mergeCell ref="AM52:AP52"/>
    <mergeCell ref="C51:D51"/>
    <mergeCell ref="E51:P51"/>
    <mergeCell ref="Q51:U51"/>
    <mergeCell ref="W51:X51"/>
    <mergeCell ref="Y51:AL51"/>
    <mergeCell ref="AM51:AP51"/>
    <mergeCell ref="C54:D54"/>
    <mergeCell ref="E54:P54"/>
    <mergeCell ref="Q54:U54"/>
    <mergeCell ref="W54:X54"/>
    <mergeCell ref="Y54:AL54"/>
    <mergeCell ref="AM54:AP54"/>
    <mergeCell ref="C53:D53"/>
    <mergeCell ref="E53:P53"/>
    <mergeCell ref="Q53:U53"/>
    <mergeCell ref="W53:X53"/>
    <mergeCell ref="Y53:AL53"/>
    <mergeCell ref="AM53:AP53"/>
    <mergeCell ref="C56:D56"/>
    <mergeCell ref="E56:P56"/>
    <mergeCell ref="Q56:U56"/>
    <mergeCell ref="W56:X56"/>
    <mergeCell ref="Y56:AL56"/>
    <mergeCell ref="AM56:AP56"/>
    <mergeCell ref="C55:D55"/>
    <mergeCell ref="E55:P55"/>
    <mergeCell ref="Q55:U55"/>
    <mergeCell ref="W55:X55"/>
    <mergeCell ref="Y55:AL55"/>
    <mergeCell ref="AM55:AP55"/>
    <mergeCell ref="C58:D58"/>
    <mergeCell ref="E58:P58"/>
    <mergeCell ref="Q58:U58"/>
    <mergeCell ref="W58:X58"/>
    <mergeCell ref="Y58:AL58"/>
    <mergeCell ref="AM58:AP58"/>
    <mergeCell ref="C57:D57"/>
    <mergeCell ref="E57:P57"/>
    <mergeCell ref="Q57:U57"/>
    <mergeCell ref="W57:X57"/>
    <mergeCell ref="Y57:AL57"/>
    <mergeCell ref="AM57:AP57"/>
    <mergeCell ref="C60:D60"/>
    <mergeCell ref="E60:P60"/>
    <mergeCell ref="Q60:U60"/>
    <mergeCell ref="W60:X60"/>
    <mergeCell ref="Y60:AL60"/>
    <mergeCell ref="AM60:AP60"/>
    <mergeCell ref="C59:D59"/>
    <mergeCell ref="E59:P59"/>
    <mergeCell ref="Q59:U59"/>
    <mergeCell ref="W59:X59"/>
    <mergeCell ref="Y59:AL59"/>
    <mergeCell ref="AM59:AP59"/>
    <mergeCell ref="C62:D62"/>
    <mergeCell ref="E62:P62"/>
    <mergeCell ref="Q62:U62"/>
    <mergeCell ref="W62:X62"/>
    <mergeCell ref="Y62:AL62"/>
    <mergeCell ref="AM62:AP62"/>
    <mergeCell ref="C61:D61"/>
    <mergeCell ref="E61:P61"/>
    <mergeCell ref="Q61:U61"/>
    <mergeCell ref="W61:X61"/>
    <mergeCell ref="Y61:AL61"/>
    <mergeCell ref="AM61:AP61"/>
    <mergeCell ref="C64:D64"/>
    <mergeCell ref="E64:P64"/>
    <mergeCell ref="Q64:U64"/>
    <mergeCell ref="W64:X64"/>
    <mergeCell ref="Y64:AL64"/>
    <mergeCell ref="AM64:AP64"/>
    <mergeCell ref="C63:D63"/>
    <mergeCell ref="E63:P63"/>
    <mergeCell ref="Q63:U63"/>
    <mergeCell ref="W63:X63"/>
    <mergeCell ref="Y63:AL63"/>
    <mergeCell ref="AM63:AP63"/>
    <mergeCell ref="C66:D66"/>
    <mergeCell ref="E66:P66"/>
    <mergeCell ref="Q66:U66"/>
    <mergeCell ref="W66:X66"/>
    <mergeCell ref="Y66:AL66"/>
    <mergeCell ref="AM66:AP66"/>
    <mergeCell ref="C65:D65"/>
    <mergeCell ref="E65:P65"/>
    <mergeCell ref="Q65:U65"/>
    <mergeCell ref="W65:X65"/>
    <mergeCell ref="Y65:AL65"/>
    <mergeCell ref="AM65:AP65"/>
    <mergeCell ref="C68:D68"/>
    <mergeCell ref="E68:P68"/>
    <mergeCell ref="Q68:U68"/>
    <mergeCell ref="W68:X68"/>
    <mergeCell ref="Y68:AL68"/>
    <mergeCell ref="AM68:AP68"/>
    <mergeCell ref="C67:D67"/>
    <mergeCell ref="E67:P67"/>
    <mergeCell ref="Q67:U67"/>
    <mergeCell ref="W67:X67"/>
    <mergeCell ref="Y67:AL67"/>
    <mergeCell ref="AM67:AP67"/>
    <mergeCell ref="C70:D70"/>
    <mergeCell ref="E70:P70"/>
    <mergeCell ref="Q70:U70"/>
    <mergeCell ref="W70:X70"/>
    <mergeCell ref="Y70:AL70"/>
    <mergeCell ref="AM70:AP70"/>
    <mergeCell ref="C69:D69"/>
    <mergeCell ref="E69:P69"/>
    <mergeCell ref="Q69:U69"/>
    <mergeCell ref="W69:X69"/>
    <mergeCell ref="Y69:AL69"/>
    <mergeCell ref="AM69:AP69"/>
    <mergeCell ref="C72:D72"/>
    <mergeCell ref="E72:P72"/>
    <mergeCell ref="Q72:U72"/>
    <mergeCell ref="W72:X72"/>
    <mergeCell ref="Y72:AL72"/>
    <mergeCell ref="AM72:AP72"/>
    <mergeCell ref="C71:D71"/>
    <mergeCell ref="E71:P71"/>
    <mergeCell ref="Q71:U71"/>
    <mergeCell ref="W71:X71"/>
    <mergeCell ref="Y71:AL71"/>
    <mergeCell ref="AM71:AP71"/>
    <mergeCell ref="C83:D83"/>
    <mergeCell ref="E83:T83"/>
    <mergeCell ref="Y83:AN83"/>
    <mergeCell ref="C74:D74"/>
    <mergeCell ref="C75:D75"/>
    <mergeCell ref="C76:D76"/>
    <mergeCell ref="C77:D77"/>
    <mergeCell ref="C78:D78"/>
    <mergeCell ref="C79:D79"/>
    <mergeCell ref="C102:D102"/>
    <mergeCell ref="C19:D21"/>
    <mergeCell ref="E38:K38"/>
    <mergeCell ref="C96:D96"/>
    <mergeCell ref="C97:D97"/>
    <mergeCell ref="C98:D98"/>
    <mergeCell ref="C99:D99"/>
    <mergeCell ref="C100:D100"/>
    <mergeCell ref="C101:D101"/>
    <mergeCell ref="C90:D90"/>
    <mergeCell ref="C91:D91"/>
    <mergeCell ref="C92:D92"/>
    <mergeCell ref="C93:D93"/>
    <mergeCell ref="C94:D94"/>
    <mergeCell ref="C95:D95"/>
    <mergeCell ref="C84:D84"/>
    <mergeCell ref="C85:D85"/>
    <mergeCell ref="C86:D86"/>
    <mergeCell ref="C87:D87"/>
    <mergeCell ref="C88:D88"/>
    <mergeCell ref="C89:D89"/>
    <mergeCell ref="C80:D80"/>
    <mergeCell ref="C81:D81"/>
    <mergeCell ref="C82:D8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C9EF1-CD5A-4675-8533-DFBA1C37F143}">
  <dimension ref="C4:BB129"/>
  <sheetViews>
    <sheetView showGridLines="0" zoomScale="90" zoomScaleNormal="90" workbookViewId="0">
      <selection activeCell="C54" sqref="C54:AP55"/>
    </sheetView>
  </sheetViews>
  <sheetFormatPr defaultRowHeight="15" x14ac:dyDescent="0.25"/>
  <cols>
    <col min="2" max="2" width="8.7109375" customWidth="1"/>
    <col min="3" max="3" width="4.28515625" customWidth="1"/>
    <col min="4" max="4" width="5.28515625" customWidth="1"/>
    <col min="5" max="5" width="4.42578125" customWidth="1"/>
    <col min="6" max="7" width="4.5703125" customWidth="1"/>
    <col min="8" max="8" width="4.42578125" customWidth="1"/>
    <col min="9" max="9" width="4.5703125" customWidth="1"/>
    <col min="10" max="10" width="4.7109375" customWidth="1"/>
    <col min="11" max="11" width="4.5703125" customWidth="1"/>
    <col min="12" max="14" width="4.28515625" customWidth="1"/>
    <col min="15" max="15" width="3.42578125" customWidth="1"/>
    <col min="16" max="20" width="4.28515625" customWidth="1"/>
    <col min="21" max="21" width="4" customWidth="1"/>
    <col min="22" max="34" width="4.28515625" customWidth="1"/>
    <col min="35" max="35" width="5.28515625" customWidth="1"/>
    <col min="36" max="36" width="4.28515625" customWidth="1"/>
    <col min="37" max="37" width="4.7109375" customWidth="1"/>
    <col min="38" max="45" width="4.28515625" customWidth="1"/>
  </cols>
  <sheetData>
    <row r="4" spans="3:44" x14ac:dyDescent="0.25">
      <c r="C4" s="165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8"/>
    </row>
    <row r="5" spans="3:44" ht="15.6" customHeight="1" x14ac:dyDescent="0.25">
      <c r="C5" s="169"/>
      <c r="D5" s="170" t="s">
        <v>202</v>
      </c>
      <c r="E5" s="14"/>
      <c r="F5" s="14"/>
      <c r="G5" s="14"/>
      <c r="H5" s="14"/>
      <c r="I5" s="14"/>
      <c r="J5" s="14"/>
      <c r="K5" s="14"/>
      <c r="L5" s="14"/>
      <c r="M5" s="14"/>
      <c r="N5" s="163"/>
      <c r="O5" s="886" t="s">
        <v>303</v>
      </c>
      <c r="P5" s="886"/>
      <c r="Q5" s="886"/>
      <c r="R5" s="886"/>
      <c r="S5" s="886"/>
      <c r="T5" s="886"/>
      <c r="U5" s="886"/>
      <c r="V5" s="886"/>
      <c r="W5" s="886"/>
      <c r="X5" s="886"/>
      <c r="Y5" s="886"/>
      <c r="Z5" s="886"/>
      <c r="AA5" s="886"/>
      <c r="AB5" s="886"/>
      <c r="AC5" s="886"/>
      <c r="AD5" s="886"/>
      <c r="AE5" s="886"/>
      <c r="AF5" s="886"/>
      <c r="AG5" s="886"/>
      <c r="AH5" s="163"/>
      <c r="AI5" s="887" t="s">
        <v>309</v>
      </c>
      <c r="AJ5" s="887"/>
      <c r="AK5" s="887"/>
      <c r="AL5" s="887"/>
      <c r="AM5" s="887"/>
      <c r="AN5" s="887"/>
      <c r="AO5" s="887"/>
      <c r="AP5" s="173"/>
    </row>
    <row r="6" spans="3:44" ht="2.65" customHeight="1" x14ac:dyDescent="0.25">
      <c r="C6" s="169"/>
      <c r="D6" s="14"/>
      <c r="E6" s="14"/>
      <c r="F6" s="14"/>
      <c r="G6" s="14"/>
      <c r="H6" s="14"/>
      <c r="I6" s="14"/>
      <c r="J6" s="14"/>
      <c r="K6" s="14"/>
      <c r="L6" s="14"/>
      <c r="M6" s="14"/>
      <c r="N6" s="163"/>
      <c r="O6" s="886"/>
      <c r="P6" s="886"/>
      <c r="Q6" s="886"/>
      <c r="R6" s="886"/>
      <c r="S6" s="886"/>
      <c r="T6" s="886"/>
      <c r="U6" s="886"/>
      <c r="V6" s="886"/>
      <c r="W6" s="886"/>
      <c r="X6" s="886"/>
      <c r="Y6" s="886"/>
      <c r="Z6" s="886"/>
      <c r="AA6" s="886"/>
      <c r="AB6" s="886"/>
      <c r="AC6" s="886"/>
      <c r="AD6" s="886"/>
      <c r="AE6" s="886"/>
      <c r="AF6" s="886"/>
      <c r="AG6" s="886"/>
      <c r="AH6" s="163"/>
      <c r="AI6" s="887"/>
      <c r="AJ6" s="887"/>
      <c r="AK6" s="887"/>
      <c r="AL6" s="887"/>
      <c r="AM6" s="887"/>
      <c r="AN6" s="887"/>
      <c r="AO6" s="887"/>
      <c r="AP6" s="173"/>
    </row>
    <row r="7" spans="3:44" ht="14.65" customHeight="1" x14ac:dyDescent="0.35">
      <c r="C7" s="169"/>
      <c r="D7" s="224" t="s">
        <v>305</v>
      </c>
      <c r="E7" s="225"/>
      <c r="F7" s="225"/>
      <c r="G7" s="225"/>
      <c r="H7" s="225"/>
      <c r="I7" s="225"/>
      <c r="J7" s="225"/>
      <c r="K7" s="225"/>
      <c r="L7" s="225"/>
      <c r="M7" s="225"/>
      <c r="N7" s="163"/>
      <c r="O7" s="886"/>
      <c r="P7" s="886"/>
      <c r="Q7" s="886"/>
      <c r="R7" s="886"/>
      <c r="S7" s="886"/>
      <c r="T7" s="886"/>
      <c r="U7" s="886"/>
      <c r="V7" s="886"/>
      <c r="W7" s="886"/>
      <c r="X7" s="886"/>
      <c r="Y7" s="886"/>
      <c r="Z7" s="886"/>
      <c r="AA7" s="886"/>
      <c r="AB7" s="886"/>
      <c r="AC7" s="886"/>
      <c r="AD7" s="886"/>
      <c r="AE7" s="886"/>
      <c r="AF7" s="886"/>
      <c r="AG7" s="886"/>
      <c r="AH7" s="163"/>
      <c r="AI7" s="887"/>
      <c r="AJ7" s="887"/>
      <c r="AK7" s="887"/>
      <c r="AL7" s="887"/>
      <c r="AM7" s="887"/>
      <c r="AN7" s="887"/>
      <c r="AO7" s="887"/>
      <c r="AP7" s="173"/>
    </row>
    <row r="8" spans="3:44" ht="2.65" customHeight="1" x14ac:dyDescent="0.35">
      <c r="C8" s="169"/>
      <c r="D8" s="226"/>
      <c r="E8" s="225"/>
      <c r="F8" s="225"/>
      <c r="G8" s="225"/>
      <c r="H8" s="225"/>
      <c r="I8" s="225"/>
      <c r="J8" s="225"/>
      <c r="K8" s="225"/>
      <c r="L8" s="225"/>
      <c r="M8" s="225"/>
      <c r="N8" s="163"/>
      <c r="O8" s="171"/>
      <c r="P8" s="172"/>
      <c r="Q8" s="163"/>
      <c r="R8" s="163"/>
      <c r="S8" s="163"/>
      <c r="T8" s="163"/>
      <c r="U8" s="163"/>
      <c r="V8" s="163"/>
      <c r="W8" s="163"/>
      <c r="X8" s="163"/>
      <c r="Y8" s="163"/>
      <c r="Z8" s="163"/>
      <c r="AA8" s="163"/>
      <c r="AB8" s="163"/>
      <c r="AC8" s="163"/>
      <c r="AD8" s="163"/>
      <c r="AE8" s="163"/>
      <c r="AF8" s="163"/>
      <c r="AG8" s="163"/>
      <c r="AH8" s="163"/>
      <c r="AI8" s="887"/>
      <c r="AJ8" s="887"/>
      <c r="AK8" s="887"/>
      <c r="AL8" s="887"/>
      <c r="AM8" s="887"/>
      <c r="AN8" s="887"/>
      <c r="AO8" s="887"/>
      <c r="AP8" s="173"/>
    </row>
    <row r="9" spans="3:44" ht="14.65" customHeight="1" x14ac:dyDescent="0.25">
      <c r="C9" s="169"/>
      <c r="D9" s="224" t="s">
        <v>306</v>
      </c>
      <c r="E9" s="227"/>
      <c r="F9" s="227"/>
      <c r="G9" s="227"/>
      <c r="H9" s="227"/>
      <c r="I9" s="227"/>
      <c r="J9" s="227"/>
      <c r="K9" s="227"/>
      <c r="L9" s="227"/>
      <c r="M9" s="227"/>
      <c r="N9" s="163"/>
      <c r="O9" s="888" t="s">
        <v>629</v>
      </c>
      <c r="P9" s="888"/>
      <c r="Q9" s="888"/>
      <c r="R9" s="888"/>
      <c r="S9" s="888"/>
      <c r="T9" s="888"/>
      <c r="U9" s="888"/>
      <c r="V9" s="888"/>
      <c r="W9" s="888"/>
      <c r="X9" s="888"/>
      <c r="Y9" s="888"/>
      <c r="Z9" s="888"/>
      <c r="AA9" s="888"/>
      <c r="AB9" s="888"/>
      <c r="AC9" s="888"/>
      <c r="AD9" s="888"/>
      <c r="AE9" s="888"/>
      <c r="AF9" s="888"/>
      <c r="AG9" s="888"/>
      <c r="AH9" s="163"/>
      <c r="AI9" s="887"/>
      <c r="AJ9" s="887"/>
      <c r="AK9" s="887"/>
      <c r="AL9" s="887"/>
      <c r="AM9" s="887"/>
      <c r="AN9" s="887"/>
      <c r="AO9" s="887"/>
      <c r="AP9" s="173"/>
    </row>
    <row r="10" spans="3:44" ht="2.65" customHeight="1" x14ac:dyDescent="0.25">
      <c r="C10" s="169"/>
      <c r="D10" s="226"/>
      <c r="E10" s="227"/>
      <c r="F10" s="227"/>
      <c r="G10" s="227"/>
      <c r="H10" s="227"/>
      <c r="I10" s="227"/>
      <c r="J10" s="227"/>
      <c r="K10" s="227"/>
      <c r="L10" s="227"/>
      <c r="M10" s="227"/>
      <c r="N10" s="163"/>
      <c r="O10" s="888"/>
      <c r="P10" s="888"/>
      <c r="Q10" s="888"/>
      <c r="R10" s="888"/>
      <c r="S10" s="888"/>
      <c r="T10" s="888"/>
      <c r="U10" s="888"/>
      <c r="V10" s="888"/>
      <c r="W10" s="888"/>
      <c r="X10" s="888"/>
      <c r="Y10" s="888"/>
      <c r="Z10" s="888"/>
      <c r="AA10" s="888"/>
      <c r="AB10" s="888"/>
      <c r="AC10" s="888"/>
      <c r="AD10" s="888"/>
      <c r="AE10" s="888"/>
      <c r="AF10" s="888"/>
      <c r="AG10" s="888"/>
      <c r="AH10" s="163"/>
      <c r="AI10" s="228"/>
      <c r="AJ10" s="228"/>
      <c r="AK10" s="228"/>
      <c r="AL10" s="228"/>
      <c r="AM10" s="228"/>
      <c r="AN10" s="228"/>
      <c r="AO10" s="228"/>
      <c r="AP10" s="173"/>
    </row>
    <row r="11" spans="3:44" ht="14.65" customHeight="1" x14ac:dyDescent="0.25">
      <c r="C11" s="169"/>
      <c r="D11" s="224" t="s">
        <v>307</v>
      </c>
      <c r="E11" s="227"/>
      <c r="F11" s="227"/>
      <c r="G11" s="227"/>
      <c r="H11" s="227"/>
      <c r="I11" s="227"/>
      <c r="J11" s="227"/>
      <c r="K11" s="227"/>
      <c r="L11" s="227"/>
      <c r="M11" s="227"/>
      <c r="N11" s="163"/>
      <c r="O11" s="888"/>
      <c r="P11" s="888"/>
      <c r="Q11" s="888"/>
      <c r="R11" s="888"/>
      <c r="S11" s="888"/>
      <c r="T11" s="888"/>
      <c r="U11" s="888"/>
      <c r="V11" s="888"/>
      <c r="W11" s="888"/>
      <c r="X11" s="888"/>
      <c r="Y11" s="888"/>
      <c r="Z11" s="888"/>
      <c r="AA11" s="888"/>
      <c r="AB11" s="888"/>
      <c r="AC11" s="888"/>
      <c r="AD11" s="888"/>
      <c r="AE11" s="888"/>
      <c r="AF11" s="888"/>
      <c r="AG11" s="888"/>
      <c r="AH11" s="163"/>
      <c r="AI11" s="229"/>
      <c r="AJ11" s="229"/>
      <c r="AK11" s="229"/>
      <c r="AL11" s="229"/>
      <c r="AM11" s="229"/>
      <c r="AN11" s="229"/>
      <c r="AO11" s="229"/>
      <c r="AP11" s="173"/>
    </row>
    <row r="12" spans="3:44" ht="2.65" customHeight="1" x14ac:dyDescent="0.25">
      <c r="C12" s="169"/>
      <c r="D12" s="226"/>
      <c r="E12" s="227"/>
      <c r="F12" s="227"/>
      <c r="G12" s="227"/>
      <c r="H12" s="227"/>
      <c r="I12" s="227"/>
      <c r="J12" s="227"/>
      <c r="K12" s="227"/>
      <c r="L12" s="227"/>
      <c r="M12" s="227"/>
      <c r="N12" s="163"/>
      <c r="O12" s="171"/>
      <c r="P12" s="172"/>
      <c r="Q12" s="163"/>
      <c r="R12" s="163"/>
      <c r="S12" s="163"/>
      <c r="T12" s="163"/>
      <c r="U12" s="163"/>
      <c r="V12" s="163"/>
      <c r="W12" s="163"/>
      <c r="X12" s="163"/>
      <c r="Y12" s="163"/>
      <c r="Z12" s="163"/>
      <c r="AA12" s="163"/>
      <c r="AB12" s="163"/>
      <c r="AC12" s="163"/>
      <c r="AD12" s="163"/>
      <c r="AE12" s="163"/>
      <c r="AF12" s="163"/>
      <c r="AG12" s="163"/>
      <c r="AH12" s="163"/>
      <c r="AI12" s="196"/>
      <c r="AJ12" s="196"/>
      <c r="AK12" s="196"/>
      <c r="AL12" s="196"/>
      <c r="AM12" s="196"/>
      <c r="AN12" s="196"/>
      <c r="AO12" s="196"/>
      <c r="AP12" s="173"/>
    </row>
    <row r="13" spans="3:44" ht="16.5" customHeight="1" x14ac:dyDescent="0.25">
      <c r="C13" s="169"/>
      <c r="D13" s="224" t="s">
        <v>628</v>
      </c>
      <c r="E13" s="227"/>
      <c r="F13" s="227"/>
      <c r="G13" s="227"/>
      <c r="H13" s="227"/>
      <c r="I13" s="227"/>
      <c r="J13" s="227"/>
      <c r="K13" s="227"/>
      <c r="L13" s="227"/>
      <c r="M13" s="227"/>
      <c r="N13" s="230"/>
      <c r="O13" s="231" t="s">
        <v>36</v>
      </c>
      <c r="P13" s="176"/>
      <c r="Q13" s="45"/>
      <c r="R13" s="221"/>
      <c r="S13" s="220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63"/>
      <c r="AI13" s="214" t="s">
        <v>11</v>
      </c>
      <c r="AJ13" s="163"/>
      <c r="AK13" s="163"/>
      <c r="AL13" s="152"/>
      <c r="AM13" s="152"/>
      <c r="AN13" s="152"/>
      <c r="AO13" s="152"/>
      <c r="AP13" s="173"/>
    </row>
    <row r="14" spans="3:44" ht="2.65" customHeight="1" x14ac:dyDescent="0.25">
      <c r="C14" s="169"/>
      <c r="D14" s="2"/>
      <c r="E14" s="175"/>
      <c r="F14" s="175"/>
      <c r="G14" s="175"/>
      <c r="H14" s="175"/>
      <c r="I14" s="175"/>
      <c r="J14" s="175"/>
      <c r="K14" s="175"/>
      <c r="L14" s="175"/>
      <c r="M14" s="175"/>
      <c r="N14" s="163"/>
      <c r="O14" s="176"/>
      <c r="P14" s="176"/>
      <c r="Q14" s="163"/>
      <c r="R14" s="163"/>
      <c r="S14" s="163"/>
      <c r="T14" s="163"/>
      <c r="U14" s="163"/>
      <c r="V14" s="163"/>
      <c r="W14" s="163"/>
      <c r="X14" s="163"/>
      <c r="Y14" s="163"/>
      <c r="Z14" s="163"/>
      <c r="AA14" s="163"/>
      <c r="AB14" s="163"/>
      <c r="AC14" s="163"/>
      <c r="AD14" s="163"/>
      <c r="AE14" s="163"/>
      <c r="AF14" s="163"/>
      <c r="AG14" s="163"/>
      <c r="AH14" s="163"/>
      <c r="AI14" s="163"/>
      <c r="AJ14" s="163"/>
      <c r="AK14" s="163"/>
      <c r="AL14" s="163"/>
      <c r="AM14" s="163"/>
      <c r="AN14" s="163"/>
      <c r="AO14" s="163"/>
      <c r="AP14" s="173"/>
    </row>
    <row r="15" spans="3:44" ht="11.65" customHeight="1" x14ac:dyDescent="0.25">
      <c r="C15" s="169"/>
      <c r="D15" s="174"/>
      <c r="E15" s="14"/>
      <c r="F15" s="14"/>
      <c r="G15" s="14"/>
      <c r="H15" s="14"/>
      <c r="I15" s="14"/>
      <c r="J15" s="14"/>
      <c r="K15" s="14"/>
      <c r="L15" s="14"/>
      <c r="M15" s="14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  <c r="AA15" s="163"/>
      <c r="AB15" s="163"/>
      <c r="AC15" s="163"/>
      <c r="AD15" s="163"/>
      <c r="AE15" s="163"/>
      <c r="AF15" s="163"/>
      <c r="AG15" s="163"/>
      <c r="AH15" s="163"/>
      <c r="AI15" s="163"/>
      <c r="AJ15" s="163"/>
      <c r="AK15" s="163"/>
      <c r="AL15" s="163"/>
      <c r="AM15" s="163"/>
      <c r="AN15" s="163"/>
      <c r="AO15" s="163"/>
      <c r="AP15" s="173"/>
    </row>
    <row r="16" spans="3:44" ht="2.65" customHeight="1" x14ac:dyDescent="0.25">
      <c r="C16" s="39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77"/>
      <c r="AQ16" s="115"/>
      <c r="AR16" s="115"/>
    </row>
    <row r="17" spans="3:54" ht="15.75" x14ac:dyDescent="0.25">
      <c r="C17" s="324" t="s">
        <v>313</v>
      </c>
      <c r="D17" s="325" t="s">
        <v>312</v>
      </c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178"/>
    </row>
    <row r="18" spans="3:54" ht="3.6" customHeight="1" x14ac:dyDescent="0.25">
      <c r="C18" s="53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179"/>
      <c r="AQ18" s="115"/>
      <c r="AR18" s="115"/>
      <c r="AS18" s="115"/>
      <c r="AT18" s="115"/>
      <c r="AU18" s="115"/>
      <c r="AV18" s="115"/>
      <c r="AW18" s="115"/>
      <c r="AX18" s="115"/>
      <c r="AY18" s="115"/>
      <c r="AZ18" s="115"/>
      <c r="BA18" s="115"/>
      <c r="BB18" s="116"/>
    </row>
    <row r="19" spans="3:54" ht="18.600000000000001" customHeight="1" x14ac:dyDescent="0.25">
      <c r="C19" s="793" t="s">
        <v>310</v>
      </c>
      <c r="D19" s="794"/>
      <c r="E19" s="691" t="s">
        <v>311</v>
      </c>
      <c r="F19" s="691"/>
      <c r="G19" s="691"/>
      <c r="H19" s="691"/>
      <c r="I19" s="691"/>
      <c r="J19" s="691"/>
      <c r="K19" s="691"/>
      <c r="L19" s="794" t="s">
        <v>314</v>
      </c>
      <c r="M19" s="794"/>
      <c r="N19" s="794"/>
      <c r="O19" s="889"/>
      <c r="P19" s="892" t="s">
        <v>315</v>
      </c>
      <c r="Q19" s="794"/>
      <c r="R19" s="889"/>
      <c r="S19" s="892" t="s">
        <v>630</v>
      </c>
      <c r="T19" s="794"/>
      <c r="U19" s="794"/>
      <c r="V19" s="889"/>
      <c r="W19" s="764" t="s">
        <v>317</v>
      </c>
      <c r="X19" s="764"/>
      <c r="Y19" s="764"/>
      <c r="Z19" s="764"/>
      <c r="AA19" s="764" t="s">
        <v>318</v>
      </c>
      <c r="AB19" s="764"/>
      <c r="AC19" s="764"/>
      <c r="AD19" s="764"/>
      <c r="AE19" s="892" t="s">
        <v>320</v>
      </c>
      <c r="AF19" s="794"/>
      <c r="AG19" s="794"/>
      <c r="AH19" s="889"/>
      <c r="AI19" s="764" t="s">
        <v>321</v>
      </c>
      <c r="AJ19" s="764"/>
      <c r="AK19" s="764"/>
      <c r="AL19" s="764"/>
      <c r="AM19" s="764" t="s">
        <v>319</v>
      </c>
      <c r="AN19" s="764"/>
      <c r="AO19" s="764"/>
      <c r="AP19" s="894"/>
      <c r="AQ19" s="153"/>
      <c r="AR19" s="153"/>
      <c r="AS19" s="153"/>
      <c r="AT19" s="153"/>
      <c r="AU19" s="153"/>
      <c r="AV19" s="153"/>
      <c r="AW19" s="153"/>
      <c r="AX19" s="153"/>
      <c r="AY19" s="153"/>
      <c r="AZ19" s="153"/>
      <c r="BA19" s="154"/>
      <c r="BB19" s="154"/>
    </row>
    <row r="20" spans="3:54" ht="3" customHeight="1" x14ac:dyDescent="0.25">
      <c r="C20" s="748"/>
      <c r="D20" s="749"/>
      <c r="E20" s="691"/>
      <c r="F20" s="691"/>
      <c r="G20" s="691"/>
      <c r="H20" s="691"/>
      <c r="I20" s="691"/>
      <c r="J20" s="691"/>
      <c r="K20" s="691"/>
      <c r="L20" s="749"/>
      <c r="M20" s="749"/>
      <c r="N20" s="749"/>
      <c r="O20" s="890"/>
      <c r="P20" s="744"/>
      <c r="Q20" s="749"/>
      <c r="R20" s="890"/>
      <c r="S20" s="744"/>
      <c r="T20" s="749"/>
      <c r="U20" s="749"/>
      <c r="V20" s="890"/>
      <c r="W20" s="764"/>
      <c r="X20" s="764"/>
      <c r="Y20" s="764"/>
      <c r="Z20" s="764"/>
      <c r="AA20" s="764"/>
      <c r="AB20" s="764"/>
      <c r="AC20" s="764"/>
      <c r="AD20" s="764"/>
      <c r="AE20" s="744"/>
      <c r="AF20" s="749"/>
      <c r="AG20" s="749"/>
      <c r="AH20" s="890"/>
      <c r="AI20" s="764"/>
      <c r="AJ20" s="764"/>
      <c r="AK20" s="764"/>
      <c r="AL20" s="764"/>
      <c r="AM20" s="764"/>
      <c r="AN20" s="764"/>
      <c r="AO20" s="764"/>
      <c r="AP20" s="894"/>
      <c r="AQ20" s="153"/>
      <c r="AR20" s="153"/>
      <c r="AS20" s="153"/>
      <c r="AT20" s="153"/>
      <c r="AU20" s="153"/>
      <c r="AV20" s="153"/>
      <c r="AW20" s="153"/>
      <c r="AX20" s="153"/>
      <c r="AY20" s="153"/>
      <c r="AZ20" s="153"/>
      <c r="BA20" s="153"/>
      <c r="BB20" s="154"/>
    </row>
    <row r="21" spans="3:54" ht="19.149999999999999" customHeight="1" x14ac:dyDescent="0.25">
      <c r="C21" s="795"/>
      <c r="D21" s="796"/>
      <c r="E21" s="691"/>
      <c r="F21" s="691"/>
      <c r="G21" s="691"/>
      <c r="H21" s="691"/>
      <c r="I21" s="691"/>
      <c r="J21" s="691"/>
      <c r="K21" s="691"/>
      <c r="L21" s="796"/>
      <c r="M21" s="796"/>
      <c r="N21" s="796"/>
      <c r="O21" s="891"/>
      <c r="P21" s="893"/>
      <c r="Q21" s="796"/>
      <c r="R21" s="891"/>
      <c r="S21" s="893"/>
      <c r="T21" s="796"/>
      <c r="U21" s="796"/>
      <c r="V21" s="891"/>
      <c r="W21" s="764"/>
      <c r="X21" s="764"/>
      <c r="Y21" s="764"/>
      <c r="Z21" s="764"/>
      <c r="AA21" s="764"/>
      <c r="AB21" s="764"/>
      <c r="AC21" s="764"/>
      <c r="AD21" s="764"/>
      <c r="AE21" s="893"/>
      <c r="AF21" s="796"/>
      <c r="AG21" s="796"/>
      <c r="AH21" s="891"/>
      <c r="AI21" s="764"/>
      <c r="AJ21" s="764"/>
      <c r="AK21" s="764"/>
      <c r="AL21" s="764"/>
      <c r="AM21" s="764"/>
      <c r="AN21" s="764"/>
      <c r="AO21" s="764"/>
      <c r="AP21" s="894"/>
    </row>
    <row r="22" spans="3:54" x14ac:dyDescent="0.25">
      <c r="C22" s="882" t="s">
        <v>213</v>
      </c>
      <c r="D22" s="863"/>
      <c r="E22" s="883" t="s">
        <v>214</v>
      </c>
      <c r="F22" s="884"/>
      <c r="G22" s="884"/>
      <c r="H22" s="884"/>
      <c r="I22" s="884"/>
      <c r="J22" s="884"/>
      <c r="K22" s="885"/>
      <c r="L22" s="861" t="s">
        <v>215</v>
      </c>
      <c r="M22" s="862"/>
      <c r="N22" s="862"/>
      <c r="O22" s="863"/>
      <c r="P22" s="861" t="s">
        <v>216</v>
      </c>
      <c r="Q22" s="862"/>
      <c r="R22" s="863"/>
      <c r="S22" s="861" t="s">
        <v>217</v>
      </c>
      <c r="T22" s="862"/>
      <c r="U22" s="862"/>
      <c r="V22" s="863"/>
      <c r="W22" s="755" t="s">
        <v>218</v>
      </c>
      <c r="X22" s="755"/>
      <c r="Y22" s="755"/>
      <c r="Z22" s="755"/>
      <c r="AA22" s="755" t="s">
        <v>219</v>
      </c>
      <c r="AB22" s="755"/>
      <c r="AC22" s="755"/>
      <c r="AD22" s="755"/>
      <c r="AE22" s="861" t="s">
        <v>220</v>
      </c>
      <c r="AF22" s="862"/>
      <c r="AG22" s="862"/>
      <c r="AH22" s="863"/>
      <c r="AI22" s="755" t="s">
        <v>223</v>
      </c>
      <c r="AJ22" s="755"/>
      <c r="AK22" s="755"/>
      <c r="AL22" s="755"/>
      <c r="AM22" s="755" t="s">
        <v>248</v>
      </c>
      <c r="AN22" s="755"/>
      <c r="AO22" s="755"/>
      <c r="AP22" s="843"/>
    </row>
    <row r="23" spans="3:54" x14ac:dyDescent="0.25">
      <c r="C23" s="877"/>
      <c r="D23" s="878"/>
      <c r="E23" s="879" t="s">
        <v>322</v>
      </c>
      <c r="F23" s="880"/>
      <c r="G23" s="880"/>
      <c r="H23" s="880"/>
      <c r="I23" s="880"/>
      <c r="J23" s="880"/>
      <c r="K23" s="881"/>
      <c r="L23" s="867"/>
      <c r="M23" s="868"/>
      <c r="N23" s="868"/>
      <c r="O23" s="869"/>
      <c r="P23" s="870"/>
      <c r="Q23" s="871"/>
      <c r="R23" s="872"/>
      <c r="S23" s="870"/>
      <c r="T23" s="871"/>
      <c r="U23" s="871"/>
      <c r="V23" s="872"/>
      <c r="W23" s="842"/>
      <c r="X23" s="842"/>
      <c r="Y23" s="842"/>
      <c r="Z23" s="842"/>
      <c r="AA23" s="842"/>
      <c r="AB23" s="842"/>
      <c r="AC23" s="842"/>
      <c r="AD23" s="842"/>
      <c r="AE23" s="870"/>
      <c r="AF23" s="871"/>
      <c r="AG23" s="871"/>
      <c r="AH23" s="872"/>
      <c r="AI23" s="842"/>
      <c r="AJ23" s="842"/>
      <c r="AK23" s="842"/>
      <c r="AL23" s="842"/>
      <c r="AM23" s="842"/>
      <c r="AN23" s="842"/>
      <c r="AO23" s="842"/>
      <c r="AP23" s="873"/>
    </row>
    <row r="24" spans="3:54" ht="16.5" customHeight="1" x14ac:dyDescent="0.25">
      <c r="C24" s="809">
        <v>4002</v>
      </c>
      <c r="D24" s="810"/>
      <c r="E24" s="864" t="s">
        <v>323</v>
      </c>
      <c r="F24" s="865"/>
      <c r="G24" s="865"/>
      <c r="H24" s="865"/>
      <c r="I24" s="865"/>
      <c r="J24" s="865"/>
      <c r="K24" s="866"/>
      <c r="L24" s="858"/>
      <c r="M24" s="859"/>
      <c r="N24" s="859"/>
      <c r="O24" s="860"/>
      <c r="P24" s="858"/>
      <c r="Q24" s="859"/>
      <c r="R24" s="860"/>
      <c r="S24" s="858"/>
      <c r="T24" s="859"/>
      <c r="U24" s="859"/>
      <c r="V24" s="860"/>
      <c r="W24" s="755"/>
      <c r="X24" s="755"/>
      <c r="Y24" s="755"/>
      <c r="Z24" s="755"/>
      <c r="AA24" s="755"/>
      <c r="AB24" s="755"/>
      <c r="AC24" s="755"/>
      <c r="AD24" s="755"/>
      <c r="AE24" s="861"/>
      <c r="AF24" s="862"/>
      <c r="AG24" s="862"/>
      <c r="AH24" s="863"/>
      <c r="AI24" s="755"/>
      <c r="AJ24" s="755"/>
      <c r="AK24" s="755"/>
      <c r="AL24" s="755"/>
      <c r="AM24" s="755"/>
      <c r="AN24" s="755"/>
      <c r="AO24" s="755"/>
      <c r="AP24" s="843"/>
    </row>
    <row r="25" spans="3:54" ht="16.5" customHeight="1" x14ac:dyDescent="0.25">
      <c r="C25" s="809">
        <v>4003</v>
      </c>
      <c r="D25" s="810"/>
      <c r="E25" s="864" t="s">
        <v>324</v>
      </c>
      <c r="F25" s="865"/>
      <c r="G25" s="865"/>
      <c r="H25" s="865"/>
      <c r="I25" s="865"/>
      <c r="J25" s="865"/>
      <c r="K25" s="866"/>
      <c r="L25" s="858"/>
      <c r="M25" s="859"/>
      <c r="N25" s="859"/>
      <c r="O25" s="860"/>
      <c r="P25" s="858"/>
      <c r="Q25" s="859"/>
      <c r="R25" s="860"/>
      <c r="S25" s="858"/>
      <c r="T25" s="859"/>
      <c r="U25" s="859"/>
      <c r="V25" s="860"/>
      <c r="W25" s="755"/>
      <c r="X25" s="755"/>
      <c r="Y25" s="755"/>
      <c r="Z25" s="755"/>
      <c r="AA25" s="755"/>
      <c r="AB25" s="755"/>
      <c r="AC25" s="755"/>
      <c r="AD25" s="755"/>
      <c r="AE25" s="861"/>
      <c r="AF25" s="862"/>
      <c r="AG25" s="862"/>
      <c r="AH25" s="863"/>
      <c r="AI25" s="755"/>
      <c r="AJ25" s="755"/>
      <c r="AK25" s="755"/>
      <c r="AL25" s="755"/>
      <c r="AM25" s="755"/>
      <c r="AN25" s="755"/>
      <c r="AO25" s="755"/>
      <c r="AP25" s="843"/>
    </row>
    <row r="26" spans="3:54" ht="16.5" customHeight="1" x14ac:dyDescent="0.25">
      <c r="C26" s="809">
        <v>4004</v>
      </c>
      <c r="D26" s="810"/>
      <c r="E26" s="864" t="s">
        <v>325</v>
      </c>
      <c r="F26" s="865"/>
      <c r="G26" s="865"/>
      <c r="H26" s="865"/>
      <c r="I26" s="865"/>
      <c r="J26" s="865"/>
      <c r="K26" s="866"/>
      <c r="L26" s="858"/>
      <c r="M26" s="859"/>
      <c r="N26" s="859"/>
      <c r="O26" s="860"/>
      <c r="P26" s="867"/>
      <c r="Q26" s="868"/>
      <c r="R26" s="869"/>
      <c r="S26" s="867"/>
      <c r="T26" s="868"/>
      <c r="U26" s="868"/>
      <c r="V26" s="869"/>
      <c r="W26" s="755"/>
      <c r="X26" s="755"/>
      <c r="Y26" s="755"/>
      <c r="Z26" s="755"/>
      <c r="AA26" s="842"/>
      <c r="AB26" s="842"/>
      <c r="AC26" s="842"/>
      <c r="AD26" s="842"/>
      <c r="AE26" s="870"/>
      <c r="AF26" s="871"/>
      <c r="AG26" s="871"/>
      <c r="AH26" s="872"/>
      <c r="AI26" s="842"/>
      <c r="AJ26" s="842"/>
      <c r="AK26" s="842"/>
      <c r="AL26" s="842"/>
      <c r="AM26" s="755"/>
      <c r="AN26" s="755"/>
      <c r="AO26" s="755"/>
      <c r="AP26" s="843"/>
    </row>
    <row r="27" spans="3:54" ht="15.75" customHeight="1" x14ac:dyDescent="0.25">
      <c r="C27" s="916"/>
      <c r="D27" s="917"/>
      <c r="E27" s="908" t="s">
        <v>326</v>
      </c>
      <c r="F27" s="909"/>
      <c r="G27" s="909"/>
      <c r="H27" s="909"/>
      <c r="I27" s="909"/>
      <c r="J27" s="909"/>
      <c r="K27" s="910"/>
      <c r="L27" s="867"/>
      <c r="M27" s="868"/>
      <c r="N27" s="868"/>
      <c r="O27" s="869"/>
      <c r="P27" s="867"/>
      <c r="Q27" s="868"/>
      <c r="R27" s="869"/>
      <c r="S27" s="867"/>
      <c r="T27" s="868"/>
      <c r="U27" s="868"/>
      <c r="V27" s="869"/>
      <c r="W27" s="842"/>
      <c r="X27" s="842"/>
      <c r="Y27" s="842"/>
      <c r="Z27" s="842"/>
      <c r="AA27" s="842"/>
      <c r="AB27" s="842"/>
      <c r="AC27" s="842"/>
      <c r="AD27" s="842"/>
      <c r="AE27" s="870"/>
      <c r="AF27" s="871"/>
      <c r="AG27" s="871"/>
      <c r="AH27" s="872"/>
      <c r="AI27" s="842"/>
      <c r="AJ27" s="842"/>
      <c r="AK27" s="842"/>
      <c r="AL27" s="842"/>
      <c r="AM27" s="842"/>
      <c r="AN27" s="842"/>
      <c r="AO27" s="842"/>
      <c r="AP27" s="873"/>
    </row>
    <row r="28" spans="3:54" ht="21" customHeight="1" x14ac:dyDescent="0.25">
      <c r="C28" s="809">
        <v>4011</v>
      </c>
      <c r="D28" s="810"/>
      <c r="E28" s="864" t="s">
        <v>327</v>
      </c>
      <c r="F28" s="865"/>
      <c r="G28" s="865"/>
      <c r="H28" s="865"/>
      <c r="I28" s="865"/>
      <c r="J28" s="865"/>
      <c r="K28" s="866"/>
      <c r="L28" s="858"/>
      <c r="M28" s="859"/>
      <c r="N28" s="859"/>
      <c r="O28" s="860"/>
      <c r="P28" s="867"/>
      <c r="Q28" s="868"/>
      <c r="R28" s="869"/>
      <c r="S28" s="867"/>
      <c r="T28" s="868"/>
      <c r="U28" s="868"/>
      <c r="V28" s="869"/>
      <c r="W28" s="755"/>
      <c r="X28" s="755"/>
      <c r="Y28" s="755"/>
      <c r="Z28" s="755"/>
      <c r="AA28" s="755"/>
      <c r="AB28" s="755"/>
      <c r="AC28" s="755"/>
      <c r="AD28" s="755"/>
      <c r="AE28" s="861"/>
      <c r="AF28" s="862"/>
      <c r="AG28" s="862"/>
      <c r="AH28" s="863"/>
      <c r="AI28" s="755"/>
      <c r="AJ28" s="755"/>
      <c r="AK28" s="755"/>
      <c r="AL28" s="755"/>
      <c r="AM28" s="755"/>
      <c r="AN28" s="755"/>
      <c r="AO28" s="755"/>
      <c r="AP28" s="843"/>
    </row>
    <row r="29" spans="3:54" ht="16.5" customHeight="1" x14ac:dyDescent="0.25">
      <c r="C29" s="809">
        <v>4012</v>
      </c>
      <c r="D29" s="810"/>
      <c r="E29" s="864" t="s">
        <v>328</v>
      </c>
      <c r="F29" s="865"/>
      <c r="G29" s="865"/>
      <c r="H29" s="865"/>
      <c r="I29" s="865"/>
      <c r="J29" s="865"/>
      <c r="K29" s="866"/>
      <c r="L29" s="858"/>
      <c r="M29" s="859"/>
      <c r="N29" s="859"/>
      <c r="O29" s="860"/>
      <c r="P29" s="867"/>
      <c r="Q29" s="868"/>
      <c r="R29" s="869"/>
      <c r="S29" s="867"/>
      <c r="T29" s="868"/>
      <c r="U29" s="868"/>
      <c r="V29" s="869"/>
      <c r="W29" s="755"/>
      <c r="X29" s="755"/>
      <c r="Y29" s="755"/>
      <c r="Z29" s="755"/>
      <c r="AA29" s="755"/>
      <c r="AB29" s="755"/>
      <c r="AC29" s="755"/>
      <c r="AD29" s="755"/>
      <c r="AE29" s="861"/>
      <c r="AF29" s="862"/>
      <c r="AG29" s="862"/>
      <c r="AH29" s="863"/>
      <c r="AI29" s="755"/>
      <c r="AJ29" s="755"/>
      <c r="AK29" s="755"/>
      <c r="AL29" s="755"/>
      <c r="AM29" s="755"/>
      <c r="AN29" s="755"/>
      <c r="AO29" s="755"/>
      <c r="AP29" s="843"/>
    </row>
    <row r="30" spans="3:54" ht="16.5" customHeight="1" x14ac:dyDescent="0.25">
      <c r="C30" s="809">
        <v>4020</v>
      </c>
      <c r="D30" s="810"/>
      <c r="E30" s="864" t="s">
        <v>329</v>
      </c>
      <c r="F30" s="865"/>
      <c r="G30" s="865"/>
      <c r="H30" s="865"/>
      <c r="I30" s="865"/>
      <c r="J30" s="865"/>
      <c r="K30" s="866"/>
      <c r="L30" s="858"/>
      <c r="M30" s="859"/>
      <c r="N30" s="859"/>
      <c r="O30" s="860"/>
      <c r="P30" s="867"/>
      <c r="Q30" s="868"/>
      <c r="R30" s="869"/>
      <c r="S30" s="867"/>
      <c r="T30" s="868"/>
      <c r="U30" s="868"/>
      <c r="V30" s="869"/>
      <c r="W30" s="755"/>
      <c r="X30" s="755"/>
      <c r="Y30" s="755"/>
      <c r="Z30" s="755"/>
      <c r="AA30" s="842"/>
      <c r="AB30" s="842"/>
      <c r="AC30" s="842"/>
      <c r="AD30" s="842"/>
      <c r="AE30" s="870"/>
      <c r="AF30" s="871"/>
      <c r="AG30" s="871"/>
      <c r="AH30" s="872"/>
      <c r="AI30" s="842"/>
      <c r="AJ30" s="842"/>
      <c r="AK30" s="842"/>
      <c r="AL30" s="842"/>
      <c r="AM30" s="755"/>
      <c r="AN30" s="755"/>
      <c r="AO30" s="755"/>
      <c r="AP30" s="843"/>
    </row>
    <row r="31" spans="3:54" ht="16.5" customHeight="1" x14ac:dyDescent="0.25">
      <c r="C31" s="809">
        <v>5040</v>
      </c>
      <c r="D31" s="810"/>
      <c r="E31" s="864" t="s">
        <v>404</v>
      </c>
      <c r="F31" s="865"/>
      <c r="G31" s="865"/>
      <c r="H31" s="865"/>
      <c r="I31" s="865"/>
      <c r="J31" s="865"/>
      <c r="K31" s="866"/>
      <c r="L31" s="858"/>
      <c r="M31" s="859"/>
      <c r="N31" s="859"/>
      <c r="O31" s="860"/>
      <c r="P31" s="867"/>
      <c r="Q31" s="868"/>
      <c r="R31" s="869"/>
      <c r="S31" s="867"/>
      <c r="T31" s="868"/>
      <c r="U31" s="868"/>
      <c r="V31" s="869"/>
      <c r="W31" s="755"/>
      <c r="X31" s="755"/>
      <c r="Y31" s="755"/>
      <c r="Z31" s="755"/>
      <c r="AA31" s="842"/>
      <c r="AB31" s="842"/>
      <c r="AC31" s="842"/>
      <c r="AD31" s="842"/>
      <c r="AE31" s="870"/>
      <c r="AF31" s="871"/>
      <c r="AG31" s="871"/>
      <c r="AH31" s="872"/>
      <c r="AI31" s="842"/>
      <c r="AJ31" s="842"/>
      <c r="AK31" s="842"/>
      <c r="AL31" s="842"/>
      <c r="AM31" s="755"/>
      <c r="AN31" s="755"/>
      <c r="AO31" s="755"/>
      <c r="AP31" s="843"/>
    </row>
    <row r="32" spans="3:54" ht="16.5" customHeight="1" x14ac:dyDescent="0.25">
      <c r="C32" s="809">
        <v>5050</v>
      </c>
      <c r="D32" s="810"/>
      <c r="E32" s="864" t="s">
        <v>405</v>
      </c>
      <c r="F32" s="865"/>
      <c r="G32" s="865"/>
      <c r="H32" s="865"/>
      <c r="I32" s="865"/>
      <c r="J32" s="865"/>
      <c r="K32" s="866"/>
      <c r="L32" s="858"/>
      <c r="M32" s="859"/>
      <c r="N32" s="859"/>
      <c r="O32" s="860"/>
      <c r="P32" s="867"/>
      <c r="Q32" s="868"/>
      <c r="R32" s="869"/>
      <c r="S32" s="867"/>
      <c r="T32" s="868"/>
      <c r="U32" s="868"/>
      <c r="V32" s="869"/>
      <c r="W32" s="755"/>
      <c r="X32" s="755"/>
      <c r="Y32" s="755"/>
      <c r="Z32" s="755"/>
      <c r="AA32" s="842"/>
      <c r="AB32" s="842"/>
      <c r="AC32" s="842"/>
      <c r="AD32" s="842"/>
      <c r="AE32" s="870"/>
      <c r="AF32" s="871"/>
      <c r="AG32" s="871"/>
      <c r="AH32" s="872"/>
      <c r="AI32" s="842"/>
      <c r="AJ32" s="842"/>
      <c r="AK32" s="842"/>
      <c r="AL32" s="842"/>
      <c r="AM32" s="755"/>
      <c r="AN32" s="755"/>
      <c r="AO32" s="755"/>
      <c r="AP32" s="843"/>
    </row>
    <row r="33" spans="3:42" x14ac:dyDescent="0.25">
      <c r="C33" s="825"/>
      <c r="D33" s="826"/>
      <c r="E33" s="855" t="s">
        <v>406</v>
      </c>
      <c r="F33" s="856"/>
      <c r="G33" s="856"/>
      <c r="H33" s="856"/>
      <c r="I33" s="856"/>
      <c r="J33" s="856"/>
      <c r="K33" s="857"/>
      <c r="L33" s="867"/>
      <c r="M33" s="868"/>
      <c r="N33" s="868"/>
      <c r="O33" s="869"/>
      <c r="P33" s="867"/>
      <c r="Q33" s="868"/>
      <c r="R33" s="869"/>
      <c r="S33" s="867"/>
      <c r="T33" s="868"/>
      <c r="U33" s="868"/>
      <c r="V33" s="869"/>
      <c r="W33" s="842"/>
      <c r="X33" s="842"/>
      <c r="Y33" s="842"/>
      <c r="Z33" s="842"/>
      <c r="AA33" s="842"/>
      <c r="AB33" s="842"/>
      <c r="AC33" s="842"/>
      <c r="AD33" s="842"/>
      <c r="AE33" s="870"/>
      <c r="AF33" s="871"/>
      <c r="AG33" s="871"/>
      <c r="AH33" s="872"/>
      <c r="AI33" s="842"/>
      <c r="AJ33" s="842"/>
      <c r="AK33" s="842"/>
      <c r="AL33" s="842"/>
      <c r="AM33" s="842"/>
      <c r="AN33" s="842"/>
      <c r="AO33" s="842"/>
      <c r="AP33" s="873"/>
    </row>
    <row r="34" spans="3:42" ht="26.1" customHeight="1" x14ac:dyDescent="0.25">
      <c r="C34" s="809">
        <v>5051</v>
      </c>
      <c r="D34" s="810"/>
      <c r="E34" s="864" t="s">
        <v>407</v>
      </c>
      <c r="F34" s="865"/>
      <c r="G34" s="865"/>
      <c r="H34" s="865"/>
      <c r="I34" s="865"/>
      <c r="J34" s="865"/>
      <c r="K34" s="866"/>
      <c r="L34" s="858"/>
      <c r="M34" s="859"/>
      <c r="N34" s="859"/>
      <c r="O34" s="860"/>
      <c r="P34" s="867"/>
      <c r="Q34" s="868"/>
      <c r="R34" s="869"/>
      <c r="S34" s="867"/>
      <c r="T34" s="868"/>
      <c r="U34" s="868"/>
      <c r="V34" s="869"/>
      <c r="W34" s="755"/>
      <c r="X34" s="755"/>
      <c r="Y34" s="755"/>
      <c r="Z34" s="755"/>
      <c r="AA34" s="755"/>
      <c r="AB34" s="755"/>
      <c r="AC34" s="755"/>
      <c r="AD34" s="755"/>
      <c r="AE34" s="861"/>
      <c r="AF34" s="862"/>
      <c r="AG34" s="862"/>
      <c r="AH34" s="863"/>
      <c r="AI34" s="755"/>
      <c r="AJ34" s="755"/>
      <c r="AK34" s="755"/>
      <c r="AL34" s="755"/>
      <c r="AM34" s="755"/>
      <c r="AN34" s="755"/>
      <c r="AO34" s="755"/>
      <c r="AP34" s="843"/>
    </row>
    <row r="35" spans="3:42" ht="27" customHeight="1" x14ac:dyDescent="0.25">
      <c r="C35" s="809">
        <v>5052</v>
      </c>
      <c r="D35" s="810"/>
      <c r="E35" s="864" t="s">
        <v>408</v>
      </c>
      <c r="F35" s="865"/>
      <c r="G35" s="865"/>
      <c r="H35" s="865"/>
      <c r="I35" s="865"/>
      <c r="J35" s="865"/>
      <c r="K35" s="866"/>
      <c r="L35" s="858"/>
      <c r="M35" s="859"/>
      <c r="N35" s="859"/>
      <c r="O35" s="860"/>
      <c r="P35" s="867"/>
      <c r="Q35" s="868"/>
      <c r="R35" s="869"/>
      <c r="S35" s="867"/>
      <c r="T35" s="868"/>
      <c r="U35" s="868"/>
      <c r="V35" s="869"/>
      <c r="W35" s="755"/>
      <c r="X35" s="755"/>
      <c r="Y35" s="755"/>
      <c r="Z35" s="755"/>
      <c r="AA35" s="755"/>
      <c r="AB35" s="755"/>
      <c r="AC35" s="755"/>
      <c r="AD35" s="755"/>
      <c r="AE35" s="861"/>
      <c r="AF35" s="862"/>
      <c r="AG35" s="862"/>
      <c r="AH35" s="863"/>
      <c r="AI35" s="755"/>
      <c r="AJ35" s="755"/>
      <c r="AK35" s="755"/>
      <c r="AL35" s="755"/>
      <c r="AM35" s="755"/>
      <c r="AN35" s="755"/>
      <c r="AO35" s="755"/>
      <c r="AP35" s="843"/>
    </row>
    <row r="36" spans="3:42" ht="26.65" customHeight="1" x14ac:dyDescent="0.25">
      <c r="C36" s="809">
        <v>5058</v>
      </c>
      <c r="D36" s="810"/>
      <c r="E36" s="864" t="s">
        <v>409</v>
      </c>
      <c r="F36" s="865"/>
      <c r="G36" s="865"/>
      <c r="H36" s="865"/>
      <c r="I36" s="865"/>
      <c r="J36" s="865"/>
      <c r="K36" s="866"/>
      <c r="L36" s="858"/>
      <c r="M36" s="859"/>
      <c r="N36" s="859"/>
      <c r="O36" s="860"/>
      <c r="P36" s="867"/>
      <c r="Q36" s="868"/>
      <c r="R36" s="869"/>
      <c r="S36" s="867"/>
      <c r="T36" s="868"/>
      <c r="U36" s="868"/>
      <c r="V36" s="869"/>
      <c r="W36" s="755"/>
      <c r="X36" s="755"/>
      <c r="Y36" s="755"/>
      <c r="Z36" s="755"/>
      <c r="AA36" s="755"/>
      <c r="AB36" s="755"/>
      <c r="AC36" s="755"/>
      <c r="AD36" s="755"/>
      <c r="AE36" s="861"/>
      <c r="AF36" s="862"/>
      <c r="AG36" s="862"/>
      <c r="AH36" s="863"/>
      <c r="AI36" s="755"/>
      <c r="AJ36" s="755"/>
      <c r="AK36" s="755"/>
      <c r="AL36" s="755"/>
      <c r="AM36" s="755"/>
      <c r="AN36" s="755"/>
      <c r="AO36" s="755"/>
      <c r="AP36" s="843"/>
    </row>
    <row r="37" spans="3:42" ht="16.149999999999999" customHeight="1" x14ac:dyDescent="0.25">
      <c r="C37" s="809">
        <v>5059</v>
      </c>
      <c r="D37" s="810"/>
      <c r="E37" s="864" t="s">
        <v>410</v>
      </c>
      <c r="F37" s="865"/>
      <c r="G37" s="865"/>
      <c r="H37" s="865"/>
      <c r="I37" s="865"/>
      <c r="J37" s="865"/>
      <c r="K37" s="866"/>
      <c r="L37" s="858"/>
      <c r="M37" s="859"/>
      <c r="N37" s="859"/>
      <c r="O37" s="860"/>
      <c r="P37" s="867"/>
      <c r="Q37" s="868"/>
      <c r="R37" s="869"/>
      <c r="S37" s="867"/>
      <c r="T37" s="868"/>
      <c r="U37" s="868"/>
      <c r="V37" s="869"/>
      <c r="W37" s="755"/>
      <c r="X37" s="755"/>
      <c r="Y37" s="755"/>
      <c r="Z37" s="755"/>
      <c r="AA37" s="842"/>
      <c r="AB37" s="842"/>
      <c r="AC37" s="842"/>
      <c r="AD37" s="842"/>
      <c r="AE37" s="870"/>
      <c r="AF37" s="871"/>
      <c r="AG37" s="871"/>
      <c r="AH37" s="872"/>
      <c r="AI37" s="842"/>
      <c r="AJ37" s="842"/>
      <c r="AK37" s="842"/>
      <c r="AL37" s="842"/>
      <c r="AM37" s="755"/>
      <c r="AN37" s="755"/>
      <c r="AO37" s="755"/>
      <c r="AP37" s="843"/>
    </row>
    <row r="38" spans="3:42" ht="16.5" customHeight="1" x14ac:dyDescent="0.25">
      <c r="C38" s="809">
        <v>5069</v>
      </c>
      <c r="D38" s="810"/>
      <c r="E38" s="864" t="s">
        <v>631</v>
      </c>
      <c r="F38" s="865"/>
      <c r="G38" s="865"/>
      <c r="H38" s="865"/>
      <c r="I38" s="865"/>
      <c r="J38" s="865"/>
      <c r="K38" s="866"/>
      <c r="L38" s="858"/>
      <c r="M38" s="859"/>
      <c r="N38" s="859"/>
      <c r="O38" s="860"/>
      <c r="P38" s="867"/>
      <c r="Q38" s="868"/>
      <c r="R38" s="869"/>
      <c r="S38" s="867"/>
      <c r="T38" s="868"/>
      <c r="U38" s="868"/>
      <c r="V38" s="869"/>
      <c r="W38" s="755"/>
      <c r="X38" s="755"/>
      <c r="Y38" s="755"/>
      <c r="Z38" s="755"/>
      <c r="AA38" s="842"/>
      <c r="AB38" s="842"/>
      <c r="AC38" s="842"/>
      <c r="AD38" s="842"/>
      <c r="AE38" s="870"/>
      <c r="AF38" s="871"/>
      <c r="AG38" s="871"/>
      <c r="AH38" s="872"/>
      <c r="AI38" s="842"/>
      <c r="AJ38" s="842"/>
      <c r="AK38" s="842"/>
      <c r="AL38" s="842"/>
      <c r="AM38" s="755"/>
      <c r="AN38" s="755"/>
      <c r="AO38" s="755"/>
      <c r="AP38" s="843"/>
    </row>
    <row r="39" spans="3:42" ht="16.5" customHeight="1" x14ac:dyDescent="0.25">
      <c r="C39" s="809">
        <v>5070</v>
      </c>
      <c r="D39" s="810"/>
      <c r="E39" s="864" t="s">
        <v>411</v>
      </c>
      <c r="F39" s="865"/>
      <c r="G39" s="865"/>
      <c r="H39" s="865"/>
      <c r="I39" s="865"/>
      <c r="J39" s="865"/>
      <c r="K39" s="866"/>
      <c r="L39" s="858"/>
      <c r="M39" s="859"/>
      <c r="N39" s="859"/>
      <c r="O39" s="860"/>
      <c r="P39" s="867"/>
      <c r="Q39" s="868"/>
      <c r="R39" s="869"/>
      <c r="S39" s="867"/>
      <c r="T39" s="868"/>
      <c r="U39" s="868"/>
      <c r="V39" s="869"/>
      <c r="W39" s="755"/>
      <c r="X39" s="755"/>
      <c r="Y39" s="755"/>
      <c r="Z39" s="755"/>
      <c r="AA39" s="842"/>
      <c r="AB39" s="842"/>
      <c r="AC39" s="842"/>
      <c r="AD39" s="842"/>
      <c r="AE39" s="870"/>
      <c r="AF39" s="871"/>
      <c r="AG39" s="871"/>
      <c r="AH39" s="872"/>
      <c r="AI39" s="842"/>
      <c r="AJ39" s="842"/>
      <c r="AK39" s="842"/>
      <c r="AL39" s="842"/>
      <c r="AM39" s="755"/>
      <c r="AN39" s="755"/>
      <c r="AO39" s="755"/>
      <c r="AP39" s="843"/>
    </row>
    <row r="40" spans="3:42" ht="16.5" customHeight="1" x14ac:dyDescent="0.25">
      <c r="C40" s="809">
        <v>5080</v>
      </c>
      <c r="D40" s="810"/>
      <c r="E40" s="864" t="s">
        <v>412</v>
      </c>
      <c r="F40" s="865"/>
      <c r="G40" s="865"/>
      <c r="H40" s="865"/>
      <c r="I40" s="865"/>
      <c r="J40" s="865"/>
      <c r="K40" s="866"/>
      <c r="L40" s="858"/>
      <c r="M40" s="859"/>
      <c r="N40" s="859"/>
      <c r="O40" s="860"/>
      <c r="P40" s="867"/>
      <c r="Q40" s="868"/>
      <c r="R40" s="869"/>
      <c r="S40" s="867"/>
      <c r="T40" s="868"/>
      <c r="U40" s="868"/>
      <c r="V40" s="869"/>
      <c r="W40" s="755"/>
      <c r="X40" s="755"/>
      <c r="Y40" s="755"/>
      <c r="Z40" s="755"/>
      <c r="AA40" s="842"/>
      <c r="AB40" s="842"/>
      <c r="AC40" s="842"/>
      <c r="AD40" s="842"/>
      <c r="AE40" s="870"/>
      <c r="AF40" s="871"/>
      <c r="AG40" s="871"/>
      <c r="AH40" s="872"/>
      <c r="AI40" s="842"/>
      <c r="AJ40" s="842"/>
      <c r="AK40" s="842"/>
      <c r="AL40" s="842"/>
      <c r="AM40" s="755"/>
      <c r="AN40" s="755"/>
      <c r="AO40" s="755"/>
      <c r="AP40" s="843"/>
    </row>
    <row r="41" spans="3:42" ht="27" customHeight="1" x14ac:dyDescent="0.25">
      <c r="C41" s="809">
        <v>5090</v>
      </c>
      <c r="D41" s="810"/>
      <c r="E41" s="864" t="s">
        <v>413</v>
      </c>
      <c r="F41" s="865"/>
      <c r="G41" s="865"/>
      <c r="H41" s="865"/>
      <c r="I41" s="865"/>
      <c r="J41" s="865"/>
      <c r="K41" s="866"/>
      <c r="L41" s="858"/>
      <c r="M41" s="859"/>
      <c r="N41" s="859"/>
      <c r="O41" s="860"/>
      <c r="P41" s="867"/>
      <c r="Q41" s="868"/>
      <c r="R41" s="869"/>
      <c r="S41" s="867"/>
      <c r="T41" s="868"/>
      <c r="U41" s="868"/>
      <c r="V41" s="869"/>
      <c r="W41" s="755"/>
      <c r="X41" s="755"/>
      <c r="Y41" s="755"/>
      <c r="Z41" s="755"/>
      <c r="AA41" s="842"/>
      <c r="AB41" s="842"/>
      <c r="AC41" s="842"/>
      <c r="AD41" s="842"/>
      <c r="AE41" s="870"/>
      <c r="AF41" s="871"/>
      <c r="AG41" s="871"/>
      <c r="AH41" s="872"/>
      <c r="AI41" s="842"/>
      <c r="AJ41" s="842"/>
      <c r="AK41" s="842"/>
      <c r="AL41" s="842"/>
      <c r="AM41" s="755"/>
      <c r="AN41" s="755"/>
      <c r="AO41" s="755"/>
      <c r="AP41" s="843"/>
    </row>
    <row r="42" spans="3:42" ht="27" customHeight="1" x14ac:dyDescent="0.25">
      <c r="C42" s="809">
        <v>5099</v>
      </c>
      <c r="D42" s="810"/>
      <c r="E42" s="864" t="s">
        <v>632</v>
      </c>
      <c r="F42" s="865"/>
      <c r="G42" s="865"/>
      <c r="H42" s="865"/>
      <c r="I42" s="865"/>
      <c r="J42" s="865"/>
      <c r="K42" s="866"/>
      <c r="L42" s="858"/>
      <c r="M42" s="859"/>
      <c r="N42" s="859"/>
      <c r="O42" s="860"/>
      <c r="P42" s="867"/>
      <c r="Q42" s="868"/>
      <c r="R42" s="869"/>
      <c r="S42" s="867"/>
      <c r="T42" s="868"/>
      <c r="U42" s="868"/>
      <c r="V42" s="869"/>
      <c r="W42" s="755"/>
      <c r="X42" s="755"/>
      <c r="Y42" s="755"/>
      <c r="Z42" s="755"/>
      <c r="AA42" s="842"/>
      <c r="AB42" s="842"/>
      <c r="AC42" s="842"/>
      <c r="AD42" s="842"/>
      <c r="AE42" s="870"/>
      <c r="AF42" s="871"/>
      <c r="AG42" s="871"/>
      <c r="AH42" s="872"/>
      <c r="AI42" s="842"/>
      <c r="AJ42" s="842"/>
      <c r="AK42" s="842"/>
      <c r="AL42" s="842"/>
      <c r="AM42" s="755"/>
      <c r="AN42" s="755"/>
      <c r="AO42" s="755"/>
      <c r="AP42" s="843"/>
    </row>
    <row r="43" spans="3:42" ht="16.5" customHeight="1" x14ac:dyDescent="0.25">
      <c r="C43" s="809">
        <v>5100</v>
      </c>
      <c r="D43" s="810"/>
      <c r="E43" s="864" t="s">
        <v>414</v>
      </c>
      <c r="F43" s="865"/>
      <c r="G43" s="865"/>
      <c r="H43" s="865"/>
      <c r="I43" s="865"/>
      <c r="J43" s="865"/>
      <c r="K43" s="866"/>
      <c r="L43" s="858"/>
      <c r="M43" s="859"/>
      <c r="N43" s="859"/>
      <c r="O43" s="860"/>
      <c r="P43" s="867"/>
      <c r="Q43" s="868"/>
      <c r="R43" s="869"/>
      <c r="S43" s="867"/>
      <c r="T43" s="868"/>
      <c r="U43" s="868"/>
      <c r="V43" s="869"/>
      <c r="W43" s="755"/>
      <c r="X43" s="755"/>
      <c r="Y43" s="755"/>
      <c r="Z43" s="755"/>
      <c r="AA43" s="842"/>
      <c r="AB43" s="842"/>
      <c r="AC43" s="842"/>
      <c r="AD43" s="842"/>
      <c r="AE43" s="870"/>
      <c r="AF43" s="871"/>
      <c r="AG43" s="871"/>
      <c r="AH43" s="872"/>
      <c r="AI43" s="842"/>
      <c r="AJ43" s="842"/>
      <c r="AK43" s="842"/>
      <c r="AL43" s="842"/>
      <c r="AM43" s="755"/>
      <c r="AN43" s="755"/>
      <c r="AO43" s="755"/>
      <c r="AP43" s="843"/>
    </row>
    <row r="44" spans="3:42" ht="16.5" customHeight="1" x14ac:dyDescent="0.25">
      <c r="C44" s="809">
        <v>5008</v>
      </c>
      <c r="D44" s="810"/>
      <c r="E44" s="864" t="s">
        <v>415</v>
      </c>
      <c r="F44" s="865"/>
      <c r="G44" s="865"/>
      <c r="H44" s="865"/>
      <c r="I44" s="865"/>
      <c r="J44" s="865"/>
      <c r="K44" s="866"/>
      <c r="L44" s="858"/>
      <c r="M44" s="859"/>
      <c r="N44" s="859"/>
      <c r="O44" s="860"/>
      <c r="P44" s="867"/>
      <c r="Q44" s="868"/>
      <c r="R44" s="869"/>
      <c r="S44" s="867"/>
      <c r="T44" s="868"/>
      <c r="U44" s="868"/>
      <c r="V44" s="869"/>
      <c r="W44" s="755"/>
      <c r="X44" s="755"/>
      <c r="Y44" s="755"/>
      <c r="Z44" s="755"/>
      <c r="AA44" s="842"/>
      <c r="AB44" s="842"/>
      <c r="AC44" s="842"/>
      <c r="AD44" s="842"/>
      <c r="AE44" s="870"/>
      <c r="AF44" s="871"/>
      <c r="AG44" s="871"/>
      <c r="AH44" s="872"/>
      <c r="AI44" s="842"/>
      <c r="AJ44" s="842"/>
      <c r="AK44" s="842"/>
      <c r="AL44" s="842"/>
      <c r="AM44" s="755"/>
      <c r="AN44" s="755"/>
      <c r="AO44" s="755"/>
      <c r="AP44" s="843"/>
    </row>
    <row r="45" spans="3:42" ht="27" customHeight="1" x14ac:dyDescent="0.25">
      <c r="C45" s="809">
        <v>5009</v>
      </c>
      <c r="D45" s="810"/>
      <c r="E45" s="864" t="s">
        <v>633</v>
      </c>
      <c r="F45" s="865"/>
      <c r="G45" s="865"/>
      <c r="H45" s="865"/>
      <c r="I45" s="865"/>
      <c r="J45" s="865"/>
      <c r="K45" s="866"/>
      <c r="L45" s="858"/>
      <c r="M45" s="859"/>
      <c r="N45" s="859"/>
      <c r="O45" s="860"/>
      <c r="P45" s="867"/>
      <c r="Q45" s="868"/>
      <c r="R45" s="869"/>
      <c r="S45" s="867"/>
      <c r="T45" s="868"/>
      <c r="U45" s="868"/>
      <c r="V45" s="869"/>
      <c r="W45" s="755"/>
      <c r="X45" s="755"/>
      <c r="Y45" s="755"/>
      <c r="Z45" s="755"/>
      <c r="AA45" s="842"/>
      <c r="AB45" s="842"/>
      <c r="AC45" s="842"/>
      <c r="AD45" s="842"/>
      <c r="AE45" s="870"/>
      <c r="AF45" s="871"/>
      <c r="AG45" s="871"/>
      <c r="AH45" s="872"/>
      <c r="AI45" s="842"/>
      <c r="AJ45" s="842"/>
      <c r="AK45" s="842"/>
      <c r="AL45" s="842"/>
      <c r="AM45" s="755"/>
      <c r="AN45" s="755"/>
      <c r="AO45" s="755"/>
      <c r="AP45" s="843"/>
    </row>
    <row r="46" spans="3:42" ht="16.149999999999999" customHeight="1" x14ac:dyDescent="0.25">
      <c r="C46" s="809">
        <v>5020</v>
      </c>
      <c r="D46" s="810"/>
      <c r="E46" s="864" t="s">
        <v>332</v>
      </c>
      <c r="F46" s="865"/>
      <c r="G46" s="865"/>
      <c r="H46" s="865"/>
      <c r="I46" s="865"/>
      <c r="J46" s="865"/>
      <c r="K46" s="866"/>
      <c r="L46" s="858"/>
      <c r="M46" s="859"/>
      <c r="N46" s="859"/>
      <c r="O46" s="860"/>
      <c r="P46" s="867"/>
      <c r="Q46" s="868"/>
      <c r="R46" s="869"/>
      <c r="S46" s="867"/>
      <c r="T46" s="868"/>
      <c r="U46" s="868"/>
      <c r="V46" s="869"/>
      <c r="W46" s="755"/>
      <c r="X46" s="755"/>
      <c r="Y46" s="755"/>
      <c r="Z46" s="755"/>
      <c r="AA46" s="842"/>
      <c r="AB46" s="842"/>
      <c r="AC46" s="842"/>
      <c r="AD46" s="842"/>
      <c r="AE46" s="870"/>
      <c r="AF46" s="871"/>
      <c r="AG46" s="871"/>
      <c r="AH46" s="872"/>
      <c r="AI46" s="842"/>
      <c r="AJ46" s="842"/>
      <c r="AK46" s="842"/>
      <c r="AL46" s="842"/>
      <c r="AM46" s="755"/>
      <c r="AN46" s="755"/>
      <c r="AO46" s="755"/>
      <c r="AP46" s="843"/>
    </row>
    <row r="47" spans="3:42" ht="16.5" customHeight="1" x14ac:dyDescent="0.25">
      <c r="C47" s="809">
        <v>4300</v>
      </c>
      <c r="D47" s="810"/>
      <c r="E47" s="864" t="s">
        <v>333</v>
      </c>
      <c r="F47" s="865"/>
      <c r="G47" s="865"/>
      <c r="H47" s="865"/>
      <c r="I47" s="865"/>
      <c r="J47" s="865"/>
      <c r="K47" s="866"/>
      <c r="L47" s="858"/>
      <c r="M47" s="859"/>
      <c r="N47" s="859"/>
      <c r="O47" s="860"/>
      <c r="P47" s="867"/>
      <c r="Q47" s="868"/>
      <c r="R47" s="869"/>
      <c r="S47" s="867"/>
      <c r="T47" s="868"/>
      <c r="U47" s="868"/>
      <c r="V47" s="869"/>
      <c r="W47" s="755"/>
      <c r="X47" s="755"/>
      <c r="Y47" s="755"/>
      <c r="Z47" s="755"/>
      <c r="AA47" s="842"/>
      <c r="AB47" s="842"/>
      <c r="AC47" s="842"/>
      <c r="AD47" s="842"/>
      <c r="AE47" s="870"/>
      <c r="AF47" s="871"/>
      <c r="AG47" s="871"/>
      <c r="AH47" s="872"/>
      <c r="AI47" s="842"/>
      <c r="AJ47" s="842"/>
      <c r="AK47" s="842"/>
      <c r="AL47" s="842"/>
      <c r="AM47" s="755"/>
      <c r="AN47" s="755"/>
      <c r="AO47" s="755"/>
      <c r="AP47" s="843"/>
    </row>
    <row r="48" spans="3:42" x14ac:dyDescent="0.25">
      <c r="C48" s="825"/>
      <c r="D48" s="826"/>
      <c r="E48" s="855" t="s">
        <v>334</v>
      </c>
      <c r="F48" s="856"/>
      <c r="G48" s="856"/>
      <c r="H48" s="856"/>
      <c r="I48" s="856"/>
      <c r="J48" s="856"/>
      <c r="K48" s="857"/>
      <c r="L48" s="867"/>
      <c r="M48" s="868"/>
      <c r="N48" s="868"/>
      <c r="O48" s="869"/>
      <c r="P48" s="867"/>
      <c r="Q48" s="868"/>
      <c r="R48" s="869"/>
      <c r="S48" s="867"/>
      <c r="T48" s="868"/>
      <c r="U48" s="868"/>
      <c r="V48" s="869"/>
      <c r="W48" s="842"/>
      <c r="X48" s="842"/>
      <c r="Y48" s="842"/>
      <c r="Z48" s="842"/>
      <c r="AA48" s="842"/>
      <c r="AB48" s="842"/>
      <c r="AC48" s="842"/>
      <c r="AD48" s="842"/>
      <c r="AE48" s="870"/>
      <c r="AF48" s="871"/>
      <c r="AG48" s="871"/>
      <c r="AH48" s="872"/>
      <c r="AI48" s="842"/>
      <c r="AJ48" s="842"/>
      <c r="AK48" s="842"/>
      <c r="AL48" s="842"/>
      <c r="AM48" s="842"/>
      <c r="AN48" s="842"/>
      <c r="AO48" s="842"/>
      <c r="AP48" s="873"/>
    </row>
    <row r="49" spans="3:44" ht="27.6" customHeight="1" x14ac:dyDescent="0.25">
      <c r="C49" s="809">
        <v>5311</v>
      </c>
      <c r="D49" s="810"/>
      <c r="E49" s="864" t="s">
        <v>335</v>
      </c>
      <c r="F49" s="865"/>
      <c r="G49" s="865"/>
      <c r="H49" s="865"/>
      <c r="I49" s="865"/>
      <c r="J49" s="865"/>
      <c r="K49" s="866"/>
      <c r="L49" s="858"/>
      <c r="M49" s="859"/>
      <c r="N49" s="859"/>
      <c r="O49" s="860"/>
      <c r="P49" s="867"/>
      <c r="Q49" s="868"/>
      <c r="R49" s="869"/>
      <c r="S49" s="867"/>
      <c r="T49" s="868"/>
      <c r="U49" s="868"/>
      <c r="V49" s="869"/>
      <c r="W49" s="755"/>
      <c r="X49" s="755"/>
      <c r="Y49" s="755"/>
      <c r="Z49" s="755"/>
      <c r="AA49" s="755"/>
      <c r="AB49" s="755"/>
      <c r="AC49" s="755"/>
      <c r="AD49" s="755"/>
      <c r="AE49" s="861"/>
      <c r="AF49" s="862"/>
      <c r="AG49" s="862"/>
      <c r="AH49" s="863"/>
      <c r="AI49" s="755"/>
      <c r="AJ49" s="755"/>
      <c r="AK49" s="755"/>
      <c r="AL49" s="755"/>
      <c r="AM49" s="755"/>
      <c r="AN49" s="755"/>
      <c r="AO49" s="755"/>
      <c r="AP49" s="843"/>
    </row>
    <row r="50" spans="3:44" ht="16.5" customHeight="1" x14ac:dyDescent="0.25">
      <c r="C50" s="809">
        <v>5313</v>
      </c>
      <c r="D50" s="810"/>
      <c r="E50" s="864" t="s">
        <v>336</v>
      </c>
      <c r="F50" s="865"/>
      <c r="G50" s="865"/>
      <c r="H50" s="865"/>
      <c r="I50" s="865"/>
      <c r="J50" s="865"/>
      <c r="K50" s="866"/>
      <c r="L50" s="858"/>
      <c r="M50" s="859"/>
      <c r="N50" s="859"/>
      <c r="O50" s="860"/>
      <c r="P50" s="867"/>
      <c r="Q50" s="868"/>
      <c r="R50" s="869"/>
      <c r="S50" s="867"/>
      <c r="T50" s="868"/>
      <c r="U50" s="868"/>
      <c r="V50" s="869"/>
      <c r="W50" s="755"/>
      <c r="X50" s="755"/>
      <c r="Y50" s="755"/>
      <c r="Z50" s="755"/>
      <c r="AA50" s="755"/>
      <c r="AB50" s="755"/>
      <c r="AC50" s="755"/>
      <c r="AD50" s="755"/>
      <c r="AE50" s="861"/>
      <c r="AF50" s="862"/>
      <c r="AG50" s="862"/>
      <c r="AH50" s="863"/>
      <c r="AI50" s="755"/>
      <c r="AJ50" s="755"/>
      <c r="AK50" s="755"/>
      <c r="AL50" s="755"/>
      <c r="AM50" s="755"/>
      <c r="AN50" s="755"/>
      <c r="AO50" s="755"/>
      <c r="AP50" s="843"/>
    </row>
    <row r="51" spans="3:44" ht="28.5" customHeight="1" x14ac:dyDescent="0.25">
      <c r="C51" s="809">
        <v>5314</v>
      </c>
      <c r="D51" s="810"/>
      <c r="E51" s="864" t="s">
        <v>337</v>
      </c>
      <c r="F51" s="865"/>
      <c r="G51" s="865"/>
      <c r="H51" s="865"/>
      <c r="I51" s="865"/>
      <c r="J51" s="865"/>
      <c r="K51" s="866"/>
      <c r="L51" s="858"/>
      <c r="M51" s="859"/>
      <c r="N51" s="859"/>
      <c r="O51" s="860"/>
      <c r="P51" s="867"/>
      <c r="Q51" s="868"/>
      <c r="R51" s="869"/>
      <c r="S51" s="867"/>
      <c r="T51" s="868"/>
      <c r="U51" s="868"/>
      <c r="V51" s="869"/>
      <c r="W51" s="755"/>
      <c r="X51" s="755"/>
      <c r="Y51" s="755"/>
      <c r="Z51" s="755"/>
      <c r="AA51" s="755"/>
      <c r="AB51" s="755"/>
      <c r="AC51" s="755"/>
      <c r="AD51" s="755"/>
      <c r="AE51" s="861"/>
      <c r="AF51" s="862"/>
      <c r="AG51" s="862"/>
      <c r="AH51" s="863"/>
      <c r="AI51" s="755"/>
      <c r="AJ51" s="755"/>
      <c r="AK51" s="755"/>
      <c r="AL51" s="755"/>
      <c r="AM51" s="755"/>
      <c r="AN51" s="755"/>
      <c r="AO51" s="755"/>
      <c r="AP51" s="843"/>
    </row>
    <row r="52" spans="3:44" ht="16.5" customHeight="1" x14ac:dyDescent="0.25">
      <c r="C52" s="809">
        <v>5315</v>
      </c>
      <c r="D52" s="810"/>
      <c r="E52" s="864" t="s">
        <v>338</v>
      </c>
      <c r="F52" s="865"/>
      <c r="G52" s="865"/>
      <c r="H52" s="865"/>
      <c r="I52" s="865"/>
      <c r="J52" s="865"/>
      <c r="K52" s="866"/>
      <c r="L52" s="858"/>
      <c r="M52" s="859"/>
      <c r="N52" s="859"/>
      <c r="O52" s="860"/>
      <c r="P52" s="867"/>
      <c r="Q52" s="868"/>
      <c r="R52" s="869"/>
      <c r="S52" s="867"/>
      <c r="T52" s="868"/>
      <c r="U52" s="868"/>
      <c r="V52" s="869"/>
      <c r="W52" s="755"/>
      <c r="X52" s="755"/>
      <c r="Y52" s="755"/>
      <c r="Z52" s="755"/>
      <c r="AA52" s="755"/>
      <c r="AB52" s="755"/>
      <c r="AC52" s="755"/>
      <c r="AD52" s="755"/>
      <c r="AE52" s="861"/>
      <c r="AF52" s="862"/>
      <c r="AG52" s="862"/>
      <c r="AH52" s="863"/>
      <c r="AI52" s="755"/>
      <c r="AJ52" s="755"/>
      <c r="AK52" s="755"/>
      <c r="AL52" s="755"/>
      <c r="AM52" s="755"/>
      <c r="AN52" s="755"/>
      <c r="AO52" s="755"/>
      <c r="AP52" s="843"/>
    </row>
    <row r="53" spans="3:44" ht="16.5" customHeight="1" x14ac:dyDescent="0.25">
      <c r="C53" s="809">
        <v>5316</v>
      </c>
      <c r="D53" s="810"/>
      <c r="E53" s="864" t="s">
        <v>339</v>
      </c>
      <c r="F53" s="865"/>
      <c r="G53" s="865"/>
      <c r="H53" s="865"/>
      <c r="I53" s="865"/>
      <c r="J53" s="865"/>
      <c r="K53" s="866"/>
      <c r="L53" s="858"/>
      <c r="M53" s="859"/>
      <c r="N53" s="859"/>
      <c r="O53" s="860"/>
      <c r="P53" s="867"/>
      <c r="Q53" s="868"/>
      <c r="R53" s="869"/>
      <c r="S53" s="867"/>
      <c r="T53" s="868"/>
      <c r="U53" s="868"/>
      <c r="V53" s="869"/>
      <c r="W53" s="755"/>
      <c r="X53" s="755"/>
      <c r="Y53" s="755"/>
      <c r="Z53" s="755"/>
      <c r="AA53" s="755"/>
      <c r="AB53" s="755"/>
      <c r="AC53" s="755"/>
      <c r="AD53" s="755"/>
      <c r="AE53" s="861"/>
      <c r="AF53" s="862"/>
      <c r="AG53" s="862"/>
      <c r="AH53" s="863"/>
      <c r="AI53" s="755"/>
      <c r="AJ53" s="755"/>
      <c r="AK53" s="755"/>
      <c r="AL53" s="755"/>
      <c r="AM53" s="755"/>
      <c r="AN53" s="755"/>
      <c r="AO53" s="755"/>
      <c r="AP53" s="843"/>
    </row>
    <row r="54" spans="3:44" ht="29.65" customHeight="1" x14ac:dyDescent="0.25">
      <c r="C54" s="809">
        <v>5317</v>
      </c>
      <c r="D54" s="810"/>
      <c r="E54" s="864" t="s">
        <v>340</v>
      </c>
      <c r="F54" s="865"/>
      <c r="G54" s="865"/>
      <c r="H54" s="865"/>
      <c r="I54" s="865"/>
      <c r="J54" s="865"/>
      <c r="K54" s="866"/>
      <c r="L54" s="858"/>
      <c r="M54" s="859"/>
      <c r="N54" s="859"/>
      <c r="O54" s="860"/>
      <c r="P54" s="867"/>
      <c r="Q54" s="868"/>
      <c r="R54" s="869"/>
      <c r="S54" s="867"/>
      <c r="T54" s="868"/>
      <c r="U54" s="868"/>
      <c r="V54" s="869"/>
      <c r="W54" s="755"/>
      <c r="X54" s="755"/>
      <c r="Y54" s="755"/>
      <c r="Z54" s="755"/>
      <c r="AA54" s="755"/>
      <c r="AB54" s="755"/>
      <c r="AC54" s="755"/>
      <c r="AD54" s="755"/>
      <c r="AE54" s="861"/>
      <c r="AF54" s="862"/>
      <c r="AG54" s="862"/>
      <c r="AH54" s="863"/>
      <c r="AI54" s="755"/>
      <c r="AJ54" s="755"/>
      <c r="AK54" s="755"/>
      <c r="AL54" s="755"/>
      <c r="AM54" s="755"/>
      <c r="AN54" s="755"/>
      <c r="AO54" s="755"/>
      <c r="AP54" s="843"/>
    </row>
    <row r="55" spans="3:44" ht="16.5" customHeight="1" x14ac:dyDescent="0.25">
      <c r="C55" s="809">
        <v>5318</v>
      </c>
      <c r="D55" s="810"/>
      <c r="E55" s="864" t="s">
        <v>341</v>
      </c>
      <c r="F55" s="865"/>
      <c r="G55" s="865"/>
      <c r="H55" s="865"/>
      <c r="I55" s="865"/>
      <c r="J55" s="865"/>
      <c r="K55" s="866"/>
      <c r="L55" s="858"/>
      <c r="M55" s="859"/>
      <c r="N55" s="859"/>
      <c r="O55" s="860"/>
      <c r="P55" s="867"/>
      <c r="Q55" s="868"/>
      <c r="R55" s="869"/>
      <c r="S55" s="867"/>
      <c r="T55" s="868"/>
      <c r="U55" s="868"/>
      <c r="V55" s="869"/>
      <c r="W55" s="755"/>
      <c r="X55" s="755"/>
      <c r="Y55" s="755"/>
      <c r="Z55" s="755"/>
      <c r="AA55" s="755"/>
      <c r="AB55" s="755"/>
      <c r="AC55" s="755"/>
      <c r="AD55" s="755"/>
      <c r="AE55" s="861"/>
      <c r="AF55" s="862"/>
      <c r="AG55" s="862"/>
      <c r="AH55" s="863"/>
      <c r="AI55" s="755"/>
      <c r="AJ55" s="755"/>
      <c r="AK55" s="755"/>
      <c r="AL55" s="755"/>
      <c r="AM55" s="755"/>
      <c r="AN55" s="755"/>
      <c r="AO55" s="755"/>
      <c r="AP55" s="843"/>
    </row>
    <row r="56" spans="3:44" ht="16.5" customHeight="1" x14ac:dyDescent="0.25">
      <c r="C56" s="809">
        <v>5320</v>
      </c>
      <c r="D56" s="810"/>
      <c r="E56" s="864" t="s">
        <v>342</v>
      </c>
      <c r="F56" s="865"/>
      <c r="G56" s="865"/>
      <c r="H56" s="865"/>
      <c r="I56" s="865"/>
      <c r="J56" s="865"/>
      <c r="K56" s="866"/>
      <c r="L56" s="858"/>
      <c r="M56" s="859"/>
      <c r="N56" s="859"/>
      <c r="O56" s="860"/>
      <c r="P56" s="867"/>
      <c r="Q56" s="868"/>
      <c r="R56" s="869"/>
      <c r="S56" s="867"/>
      <c r="T56" s="868"/>
      <c r="U56" s="868"/>
      <c r="V56" s="869"/>
      <c r="W56" s="755"/>
      <c r="X56" s="755"/>
      <c r="Y56" s="755"/>
      <c r="Z56" s="755"/>
      <c r="AA56" s="755"/>
      <c r="AB56" s="755"/>
      <c r="AC56" s="755"/>
      <c r="AD56" s="755"/>
      <c r="AE56" s="861"/>
      <c r="AF56" s="862"/>
      <c r="AG56" s="862"/>
      <c r="AH56" s="863"/>
      <c r="AI56" s="755"/>
      <c r="AJ56" s="755"/>
      <c r="AK56" s="755"/>
      <c r="AL56" s="755"/>
      <c r="AM56" s="755"/>
      <c r="AN56" s="755"/>
      <c r="AO56" s="755"/>
      <c r="AP56" s="843"/>
    </row>
    <row r="57" spans="3:44" ht="16.5" customHeight="1" x14ac:dyDescent="0.25">
      <c r="C57" s="809">
        <v>5321</v>
      </c>
      <c r="D57" s="810"/>
      <c r="E57" s="864" t="s">
        <v>621</v>
      </c>
      <c r="F57" s="865"/>
      <c r="G57" s="865"/>
      <c r="H57" s="865"/>
      <c r="I57" s="865"/>
      <c r="J57" s="865"/>
      <c r="K57" s="866"/>
      <c r="L57" s="858"/>
      <c r="M57" s="859"/>
      <c r="N57" s="859"/>
      <c r="O57" s="860"/>
      <c r="P57" s="867"/>
      <c r="Q57" s="868"/>
      <c r="R57" s="869"/>
      <c r="S57" s="867"/>
      <c r="T57" s="868"/>
      <c r="U57" s="868"/>
      <c r="V57" s="869"/>
      <c r="W57" s="755"/>
      <c r="X57" s="755"/>
      <c r="Y57" s="755"/>
      <c r="Z57" s="755"/>
      <c r="AA57" s="755"/>
      <c r="AB57" s="755"/>
      <c r="AC57" s="755"/>
      <c r="AD57" s="755"/>
      <c r="AE57" s="861"/>
      <c r="AF57" s="862"/>
      <c r="AG57" s="862"/>
      <c r="AH57" s="863"/>
      <c r="AI57" s="755"/>
      <c r="AJ57" s="755"/>
      <c r="AK57" s="755"/>
      <c r="AL57" s="755"/>
      <c r="AM57" s="755"/>
      <c r="AN57" s="755"/>
      <c r="AO57" s="755"/>
      <c r="AP57" s="843"/>
    </row>
    <row r="58" spans="3:44" ht="16.5" customHeight="1" x14ac:dyDescent="0.25">
      <c r="C58" s="809">
        <v>5322</v>
      </c>
      <c r="D58" s="810"/>
      <c r="E58" s="864" t="s">
        <v>343</v>
      </c>
      <c r="F58" s="865"/>
      <c r="G58" s="865"/>
      <c r="H58" s="865"/>
      <c r="I58" s="865"/>
      <c r="J58" s="865"/>
      <c r="K58" s="866"/>
      <c r="L58" s="858"/>
      <c r="M58" s="859"/>
      <c r="N58" s="859"/>
      <c r="O58" s="860"/>
      <c r="P58" s="867"/>
      <c r="Q58" s="868"/>
      <c r="R58" s="869"/>
      <c r="S58" s="867"/>
      <c r="T58" s="868"/>
      <c r="U58" s="868"/>
      <c r="V58" s="869"/>
      <c r="W58" s="755"/>
      <c r="X58" s="755"/>
      <c r="Y58" s="755"/>
      <c r="Z58" s="755"/>
      <c r="AA58" s="755"/>
      <c r="AB58" s="755"/>
      <c r="AC58" s="755"/>
      <c r="AD58" s="755"/>
      <c r="AE58" s="861"/>
      <c r="AF58" s="862"/>
      <c r="AG58" s="862"/>
      <c r="AH58" s="863"/>
      <c r="AI58" s="755"/>
      <c r="AJ58" s="755"/>
      <c r="AK58" s="755"/>
      <c r="AL58" s="755"/>
      <c r="AM58" s="755"/>
      <c r="AN58" s="755"/>
      <c r="AO58" s="755"/>
      <c r="AP58" s="843"/>
    </row>
    <row r="59" spans="3:44" ht="16.5" customHeight="1" x14ac:dyDescent="0.25">
      <c r="C59" s="809">
        <v>5399</v>
      </c>
      <c r="D59" s="810"/>
      <c r="E59" s="864" t="s">
        <v>344</v>
      </c>
      <c r="F59" s="865"/>
      <c r="G59" s="865"/>
      <c r="H59" s="865"/>
      <c r="I59" s="865"/>
      <c r="J59" s="865"/>
      <c r="K59" s="866"/>
      <c r="L59" s="858"/>
      <c r="M59" s="859"/>
      <c r="N59" s="859"/>
      <c r="O59" s="860"/>
      <c r="P59" s="867"/>
      <c r="Q59" s="868"/>
      <c r="R59" s="869"/>
      <c r="S59" s="867"/>
      <c r="T59" s="868"/>
      <c r="U59" s="868"/>
      <c r="V59" s="869"/>
      <c r="W59" s="755"/>
      <c r="X59" s="755"/>
      <c r="Y59" s="755"/>
      <c r="Z59" s="755"/>
      <c r="AA59" s="755"/>
      <c r="AB59" s="755"/>
      <c r="AC59" s="755"/>
      <c r="AD59" s="755"/>
      <c r="AE59" s="861"/>
      <c r="AF59" s="862"/>
      <c r="AG59" s="862"/>
      <c r="AH59" s="863"/>
      <c r="AI59" s="755"/>
      <c r="AJ59" s="755"/>
      <c r="AK59" s="755"/>
      <c r="AL59" s="755"/>
      <c r="AM59" s="755"/>
      <c r="AN59" s="755"/>
      <c r="AO59" s="755"/>
      <c r="AP59" s="843"/>
    </row>
    <row r="60" spans="3:44" ht="16.5" customHeight="1" x14ac:dyDescent="0.25">
      <c r="C60" s="809">
        <v>5400</v>
      </c>
      <c r="D60" s="810"/>
      <c r="E60" s="864" t="s">
        <v>345</v>
      </c>
      <c r="F60" s="865"/>
      <c r="G60" s="865"/>
      <c r="H60" s="865"/>
      <c r="I60" s="865"/>
      <c r="J60" s="865"/>
      <c r="K60" s="866"/>
      <c r="L60" s="858"/>
      <c r="M60" s="859"/>
      <c r="N60" s="859"/>
      <c r="O60" s="860"/>
      <c r="P60" s="867"/>
      <c r="Q60" s="868"/>
      <c r="R60" s="869"/>
      <c r="S60" s="867"/>
      <c r="T60" s="868"/>
      <c r="U60" s="868"/>
      <c r="V60" s="869"/>
      <c r="W60" s="755"/>
      <c r="X60" s="755"/>
      <c r="Y60" s="755"/>
      <c r="Z60" s="755"/>
      <c r="AA60" s="842"/>
      <c r="AB60" s="842"/>
      <c r="AC60" s="842"/>
      <c r="AD60" s="842"/>
      <c r="AE60" s="870"/>
      <c r="AF60" s="871"/>
      <c r="AG60" s="871"/>
      <c r="AH60" s="872"/>
      <c r="AI60" s="842"/>
      <c r="AJ60" s="842"/>
      <c r="AK60" s="842"/>
      <c r="AL60" s="842"/>
      <c r="AM60" s="755"/>
      <c r="AN60" s="755"/>
      <c r="AO60" s="755"/>
      <c r="AP60" s="843"/>
    </row>
    <row r="61" spans="3:44" ht="16.5" customHeight="1" x14ac:dyDescent="0.25">
      <c r="C61" s="853">
        <v>4800</v>
      </c>
      <c r="D61" s="854"/>
      <c r="E61" s="855" t="s">
        <v>346</v>
      </c>
      <c r="F61" s="856"/>
      <c r="G61" s="856"/>
      <c r="H61" s="856"/>
      <c r="I61" s="856"/>
      <c r="J61" s="856"/>
      <c r="K61" s="857"/>
      <c r="L61" s="858"/>
      <c r="M61" s="859"/>
      <c r="N61" s="859"/>
      <c r="O61" s="860"/>
      <c r="P61" s="858"/>
      <c r="Q61" s="859"/>
      <c r="R61" s="860"/>
      <c r="S61" s="858"/>
      <c r="T61" s="859"/>
      <c r="U61" s="859"/>
      <c r="V61" s="860"/>
      <c r="W61" s="755"/>
      <c r="X61" s="755"/>
      <c r="Y61" s="755"/>
      <c r="Z61" s="755"/>
      <c r="AA61" s="755"/>
      <c r="AB61" s="755"/>
      <c r="AC61" s="755"/>
      <c r="AD61" s="755"/>
      <c r="AE61" s="861"/>
      <c r="AF61" s="862"/>
      <c r="AG61" s="862"/>
      <c r="AH61" s="863"/>
      <c r="AI61" s="842"/>
      <c r="AJ61" s="842"/>
      <c r="AK61" s="842"/>
      <c r="AL61" s="842"/>
      <c r="AM61" s="755"/>
      <c r="AN61" s="755"/>
      <c r="AO61" s="755"/>
      <c r="AP61" s="843"/>
    </row>
    <row r="62" spans="3:44" x14ac:dyDescent="0.25">
      <c r="C62" s="155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246" t="s">
        <v>347</v>
      </c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57"/>
    </row>
    <row r="63" spans="3:44" ht="2.1" customHeight="1" x14ac:dyDescent="0.25">
      <c r="C63" s="39"/>
      <c r="D63" s="153"/>
      <c r="E63" s="153"/>
      <c r="F63" s="153"/>
      <c r="G63" s="153"/>
      <c r="H63" s="153"/>
      <c r="I63" s="153"/>
      <c r="J63" s="153"/>
      <c r="K63" s="153"/>
      <c r="L63" s="153"/>
      <c r="M63" s="153"/>
      <c r="N63" s="153"/>
      <c r="O63" s="153"/>
      <c r="P63" s="153"/>
      <c r="Q63" s="153"/>
      <c r="R63" s="153"/>
      <c r="S63" s="153"/>
      <c r="T63" s="153"/>
      <c r="U63" s="153"/>
      <c r="V63" s="115"/>
      <c r="W63" s="115"/>
      <c r="X63" s="115"/>
      <c r="Y63" s="115"/>
      <c r="Z63" s="115"/>
      <c r="AA63" s="115"/>
      <c r="AB63" s="115"/>
      <c r="AC63" s="115"/>
      <c r="AD63" s="115"/>
      <c r="AE63" s="115"/>
      <c r="AF63" s="115"/>
      <c r="AG63" s="115"/>
      <c r="AH63" s="115"/>
      <c r="AI63" s="115"/>
      <c r="AJ63" s="115"/>
      <c r="AK63" s="115"/>
      <c r="AL63" s="115"/>
      <c r="AM63" s="115"/>
      <c r="AN63" s="115"/>
      <c r="AO63" s="115"/>
      <c r="AP63" s="177"/>
      <c r="AQ63" s="115"/>
      <c r="AR63" s="115"/>
    </row>
    <row r="64" spans="3:44" x14ac:dyDescent="0.25">
      <c r="C64" s="239" t="s">
        <v>348</v>
      </c>
      <c r="D64" s="110" t="s">
        <v>349</v>
      </c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178"/>
    </row>
    <row r="65" spans="3:44" ht="3" customHeight="1" x14ac:dyDescent="0.25">
      <c r="C65" s="240"/>
      <c r="D65" s="232"/>
      <c r="E65" s="232"/>
      <c r="F65" s="232"/>
      <c r="G65" s="232"/>
      <c r="H65" s="232"/>
      <c r="I65" s="232"/>
      <c r="J65" s="232"/>
      <c r="K65" s="232"/>
      <c r="L65" s="232"/>
      <c r="M65" s="232"/>
      <c r="N65" s="232"/>
      <c r="O65" s="232"/>
      <c r="P65" s="232"/>
      <c r="Q65" s="232"/>
      <c r="R65" s="232"/>
      <c r="S65" s="232"/>
      <c r="T65" s="232"/>
      <c r="U65" s="232"/>
      <c r="V65" s="54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179"/>
      <c r="AQ65" s="115"/>
      <c r="AR65" s="115"/>
    </row>
    <row r="66" spans="3:44" ht="14.65" customHeight="1" x14ac:dyDescent="0.25">
      <c r="C66" s="844" t="s">
        <v>310</v>
      </c>
      <c r="D66" s="845"/>
      <c r="E66" s="846" t="s">
        <v>350</v>
      </c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7"/>
      <c r="Q66" s="847"/>
      <c r="R66" s="847"/>
      <c r="S66" s="847"/>
      <c r="T66" s="847"/>
      <c r="U66" s="845"/>
      <c r="V66" s="233"/>
      <c r="W66" s="849" t="s">
        <v>310</v>
      </c>
      <c r="X66" s="849"/>
      <c r="Y66" s="849" t="s">
        <v>350</v>
      </c>
      <c r="Z66" s="849"/>
      <c r="AA66" s="849"/>
      <c r="AB66" s="849"/>
      <c r="AC66" s="849"/>
      <c r="AD66" s="849"/>
      <c r="AE66" s="849"/>
      <c r="AF66" s="849"/>
      <c r="AG66" s="849"/>
      <c r="AH66" s="849"/>
      <c r="AI66" s="849"/>
      <c r="AJ66" s="849"/>
      <c r="AK66" s="849"/>
      <c r="AL66" s="849"/>
      <c r="AM66" s="849"/>
      <c r="AN66" s="849"/>
      <c r="AO66" s="849"/>
      <c r="AP66" s="851"/>
    </row>
    <row r="67" spans="3:44" x14ac:dyDescent="0.25">
      <c r="C67" s="560"/>
      <c r="D67" s="776"/>
      <c r="E67" s="848"/>
      <c r="F67" s="561"/>
      <c r="G67" s="561"/>
      <c r="H67" s="561"/>
      <c r="I67" s="561"/>
      <c r="J67" s="561"/>
      <c r="K67" s="561"/>
      <c r="L67" s="561"/>
      <c r="M67" s="561"/>
      <c r="N67" s="561"/>
      <c r="O67" s="561"/>
      <c r="P67" s="561"/>
      <c r="Q67" s="561"/>
      <c r="R67" s="561"/>
      <c r="S67" s="561"/>
      <c r="T67" s="561"/>
      <c r="U67" s="776"/>
      <c r="V67" s="233"/>
      <c r="W67" s="850"/>
      <c r="X67" s="850"/>
      <c r="Y67" s="850"/>
      <c r="Z67" s="850"/>
      <c r="AA67" s="850"/>
      <c r="AB67" s="850"/>
      <c r="AC67" s="850"/>
      <c r="AD67" s="850"/>
      <c r="AE67" s="850"/>
      <c r="AF67" s="850"/>
      <c r="AG67" s="850"/>
      <c r="AH67" s="850"/>
      <c r="AI67" s="850"/>
      <c r="AJ67" s="850"/>
      <c r="AK67" s="850"/>
      <c r="AL67" s="850"/>
      <c r="AM67" s="850"/>
      <c r="AN67" s="850"/>
      <c r="AO67" s="850"/>
      <c r="AP67" s="852"/>
    </row>
    <row r="68" spans="3:44" x14ac:dyDescent="0.25">
      <c r="C68" s="673" t="s">
        <v>213</v>
      </c>
      <c r="D68" s="673"/>
      <c r="E68" s="606" t="s">
        <v>214</v>
      </c>
      <c r="F68" s="606"/>
      <c r="G68" s="606"/>
      <c r="H68" s="606"/>
      <c r="I68" s="606"/>
      <c r="J68" s="606"/>
      <c r="K68" s="606"/>
      <c r="L68" s="606"/>
      <c r="M68" s="606"/>
      <c r="N68" s="606"/>
      <c r="O68" s="606"/>
      <c r="P68" s="606"/>
      <c r="Q68" s="606"/>
      <c r="R68" s="606"/>
      <c r="S68" s="606"/>
      <c r="T68" s="606"/>
      <c r="U68" s="606"/>
      <c r="W68" s="606" t="s">
        <v>213</v>
      </c>
      <c r="X68" s="592"/>
      <c r="Y68" s="606" t="s">
        <v>214</v>
      </c>
      <c r="Z68" s="606"/>
      <c r="AA68" s="606"/>
      <c r="AB68" s="606"/>
      <c r="AC68" s="606"/>
      <c r="AD68" s="606"/>
      <c r="AE68" s="606"/>
      <c r="AF68" s="606"/>
      <c r="AG68" s="606"/>
      <c r="AH68" s="606"/>
      <c r="AI68" s="606"/>
      <c r="AJ68" s="606"/>
      <c r="AK68" s="606"/>
      <c r="AL68" s="606"/>
      <c r="AM68" s="606"/>
      <c r="AN68" s="606"/>
      <c r="AO68" s="606"/>
      <c r="AP68" s="606"/>
    </row>
    <row r="69" spans="3:44" ht="20.100000000000001" customHeight="1" x14ac:dyDescent="0.25">
      <c r="C69" s="895"/>
      <c r="D69" s="896"/>
      <c r="E69" s="234" t="s">
        <v>351</v>
      </c>
      <c r="F69" s="235"/>
      <c r="G69" s="235"/>
      <c r="H69" s="235"/>
      <c r="I69" s="235"/>
      <c r="J69" s="235"/>
      <c r="K69" s="235"/>
      <c r="L69" s="235"/>
      <c r="M69" s="235"/>
      <c r="N69" s="235"/>
      <c r="O69" s="235"/>
      <c r="P69" s="235"/>
      <c r="Q69" s="218"/>
      <c r="R69" s="218"/>
      <c r="S69" s="218"/>
      <c r="T69" s="218"/>
      <c r="U69" s="218"/>
      <c r="V69" s="236"/>
      <c r="W69" s="838"/>
      <c r="X69" s="839"/>
      <c r="Y69" s="838" t="s">
        <v>352</v>
      </c>
      <c r="Z69" s="838"/>
      <c r="AA69" s="838"/>
      <c r="AB69" s="838"/>
      <c r="AC69" s="838"/>
      <c r="AD69" s="838"/>
      <c r="AE69" s="838"/>
      <c r="AF69" s="838"/>
      <c r="AG69" s="838"/>
      <c r="AH69" s="838"/>
      <c r="AI69" s="838"/>
      <c r="AJ69" s="838"/>
      <c r="AK69" s="838"/>
      <c r="AL69" s="838"/>
      <c r="AM69" s="840"/>
      <c r="AN69" s="840"/>
      <c r="AO69" s="840"/>
      <c r="AP69" s="841"/>
    </row>
    <row r="70" spans="3:44" ht="16.5" customHeight="1" x14ac:dyDescent="0.25">
      <c r="C70" s="809">
        <v>1101</v>
      </c>
      <c r="D70" s="810"/>
      <c r="E70" s="833" t="s">
        <v>192</v>
      </c>
      <c r="F70" s="834"/>
      <c r="G70" s="834"/>
      <c r="H70" s="834"/>
      <c r="I70" s="834"/>
      <c r="J70" s="834"/>
      <c r="K70" s="834"/>
      <c r="L70" s="834"/>
      <c r="M70" s="834"/>
      <c r="N70" s="834"/>
      <c r="O70" s="834"/>
      <c r="P70" s="835"/>
      <c r="Q70" s="814"/>
      <c r="R70" s="815"/>
      <c r="S70" s="815"/>
      <c r="T70" s="815"/>
      <c r="U70" s="816"/>
      <c r="W70" s="753">
        <v>2102</v>
      </c>
      <c r="X70" s="753"/>
      <c r="Y70" s="819" t="s">
        <v>373</v>
      </c>
      <c r="Z70" s="819"/>
      <c r="AA70" s="819"/>
      <c r="AB70" s="819"/>
      <c r="AC70" s="819"/>
      <c r="AD70" s="819"/>
      <c r="AE70" s="819"/>
      <c r="AF70" s="819"/>
      <c r="AG70" s="819"/>
      <c r="AH70" s="819"/>
      <c r="AI70" s="819"/>
      <c r="AJ70" s="819"/>
      <c r="AK70" s="819"/>
      <c r="AL70" s="819"/>
      <c r="AM70" s="754"/>
      <c r="AN70" s="754"/>
      <c r="AO70" s="754"/>
      <c r="AP70" s="818"/>
    </row>
    <row r="71" spans="3:44" ht="16.5" customHeight="1" x14ac:dyDescent="0.25">
      <c r="C71" s="809">
        <v>1200</v>
      </c>
      <c r="D71" s="810"/>
      <c r="E71" s="814" t="s">
        <v>354</v>
      </c>
      <c r="F71" s="815"/>
      <c r="G71" s="815"/>
      <c r="H71" s="815"/>
      <c r="I71" s="815"/>
      <c r="J71" s="815"/>
      <c r="K71" s="815"/>
      <c r="L71" s="815"/>
      <c r="M71" s="815"/>
      <c r="N71" s="815"/>
      <c r="O71" s="815"/>
      <c r="P71" s="816"/>
      <c r="Q71" s="814"/>
      <c r="R71" s="815"/>
      <c r="S71" s="815"/>
      <c r="T71" s="815"/>
      <c r="U71" s="816"/>
      <c r="W71" s="753">
        <v>2103</v>
      </c>
      <c r="X71" s="753"/>
      <c r="Y71" s="819" t="s">
        <v>374</v>
      </c>
      <c r="Z71" s="819"/>
      <c r="AA71" s="819"/>
      <c r="AB71" s="819"/>
      <c r="AC71" s="819"/>
      <c r="AD71" s="819"/>
      <c r="AE71" s="819"/>
      <c r="AF71" s="819"/>
      <c r="AG71" s="819"/>
      <c r="AH71" s="819"/>
      <c r="AI71" s="819"/>
      <c r="AJ71" s="819"/>
      <c r="AK71" s="819"/>
      <c r="AL71" s="819"/>
      <c r="AM71" s="754"/>
      <c r="AN71" s="754"/>
      <c r="AO71" s="754"/>
      <c r="AP71" s="818"/>
    </row>
    <row r="72" spans="3:44" ht="16.5" customHeight="1" x14ac:dyDescent="0.25">
      <c r="C72" s="809">
        <v>1122</v>
      </c>
      <c r="D72" s="810"/>
      <c r="E72" s="814" t="s">
        <v>355</v>
      </c>
      <c r="F72" s="815"/>
      <c r="G72" s="815"/>
      <c r="H72" s="815"/>
      <c r="I72" s="815"/>
      <c r="J72" s="815"/>
      <c r="K72" s="815"/>
      <c r="L72" s="815"/>
      <c r="M72" s="815"/>
      <c r="N72" s="815"/>
      <c r="O72" s="815"/>
      <c r="P72" s="816"/>
      <c r="Q72" s="814"/>
      <c r="R72" s="815"/>
      <c r="S72" s="815"/>
      <c r="T72" s="815"/>
      <c r="U72" s="816"/>
      <c r="W72" s="753">
        <v>2111</v>
      </c>
      <c r="X72" s="753"/>
      <c r="Y72" s="819" t="s">
        <v>375</v>
      </c>
      <c r="Z72" s="819"/>
      <c r="AA72" s="819"/>
      <c r="AB72" s="819"/>
      <c r="AC72" s="819"/>
      <c r="AD72" s="819"/>
      <c r="AE72" s="819"/>
      <c r="AF72" s="819"/>
      <c r="AG72" s="819"/>
      <c r="AH72" s="819"/>
      <c r="AI72" s="819"/>
      <c r="AJ72" s="819"/>
      <c r="AK72" s="819"/>
      <c r="AL72" s="819"/>
      <c r="AM72" s="754"/>
      <c r="AN72" s="754"/>
      <c r="AO72" s="754"/>
      <c r="AP72" s="818"/>
    </row>
    <row r="73" spans="3:44" ht="26.1" customHeight="1" x14ac:dyDescent="0.25">
      <c r="C73" s="809">
        <v>1123</v>
      </c>
      <c r="D73" s="810"/>
      <c r="E73" s="830" t="s">
        <v>356</v>
      </c>
      <c r="F73" s="831"/>
      <c r="G73" s="831"/>
      <c r="H73" s="831"/>
      <c r="I73" s="831"/>
      <c r="J73" s="831"/>
      <c r="K73" s="831"/>
      <c r="L73" s="831"/>
      <c r="M73" s="831"/>
      <c r="N73" s="831"/>
      <c r="O73" s="831"/>
      <c r="P73" s="832"/>
      <c r="Q73" s="814"/>
      <c r="R73" s="815"/>
      <c r="S73" s="815"/>
      <c r="T73" s="815"/>
      <c r="U73" s="816"/>
      <c r="W73" s="753">
        <v>2191</v>
      </c>
      <c r="X73" s="753"/>
      <c r="Y73" s="819" t="s">
        <v>376</v>
      </c>
      <c r="Z73" s="819"/>
      <c r="AA73" s="819"/>
      <c r="AB73" s="819"/>
      <c r="AC73" s="819"/>
      <c r="AD73" s="819"/>
      <c r="AE73" s="819"/>
      <c r="AF73" s="819"/>
      <c r="AG73" s="819"/>
      <c r="AH73" s="819"/>
      <c r="AI73" s="819"/>
      <c r="AJ73" s="819"/>
      <c r="AK73" s="819"/>
      <c r="AL73" s="819"/>
      <c r="AM73" s="754"/>
      <c r="AN73" s="754"/>
      <c r="AO73" s="754"/>
      <c r="AP73" s="818"/>
    </row>
    <row r="74" spans="3:44" ht="16.5" customHeight="1" x14ac:dyDescent="0.25">
      <c r="C74" s="809">
        <v>1124</v>
      </c>
      <c r="D74" s="810"/>
      <c r="E74" s="814" t="s">
        <v>357</v>
      </c>
      <c r="F74" s="815"/>
      <c r="G74" s="815"/>
      <c r="H74" s="815"/>
      <c r="I74" s="815"/>
      <c r="J74" s="815"/>
      <c r="K74" s="815"/>
      <c r="L74" s="815"/>
      <c r="M74" s="815"/>
      <c r="N74" s="815"/>
      <c r="O74" s="815"/>
      <c r="P74" s="816"/>
      <c r="Q74" s="814"/>
      <c r="R74" s="815"/>
      <c r="S74" s="815"/>
      <c r="T74" s="815"/>
      <c r="U74" s="816"/>
      <c r="W74" s="753">
        <v>2192</v>
      </c>
      <c r="X74" s="753"/>
      <c r="Y74" s="819" t="s">
        <v>377</v>
      </c>
      <c r="Z74" s="819"/>
      <c r="AA74" s="819"/>
      <c r="AB74" s="819"/>
      <c r="AC74" s="819"/>
      <c r="AD74" s="819"/>
      <c r="AE74" s="819"/>
      <c r="AF74" s="819"/>
      <c r="AG74" s="819"/>
      <c r="AH74" s="819"/>
      <c r="AI74" s="819"/>
      <c r="AJ74" s="819"/>
      <c r="AK74" s="819"/>
      <c r="AL74" s="819"/>
      <c r="AM74" s="754"/>
      <c r="AN74" s="754"/>
      <c r="AO74" s="754"/>
      <c r="AP74" s="818"/>
    </row>
    <row r="75" spans="3:44" ht="29.65" customHeight="1" x14ac:dyDescent="0.25">
      <c r="C75" s="809">
        <v>1125</v>
      </c>
      <c r="D75" s="810"/>
      <c r="E75" s="830" t="s">
        <v>358</v>
      </c>
      <c r="F75" s="831"/>
      <c r="G75" s="831"/>
      <c r="H75" s="831"/>
      <c r="I75" s="831"/>
      <c r="J75" s="831"/>
      <c r="K75" s="831"/>
      <c r="L75" s="831"/>
      <c r="M75" s="831"/>
      <c r="N75" s="831"/>
      <c r="O75" s="831"/>
      <c r="P75" s="832"/>
      <c r="Q75" s="814"/>
      <c r="R75" s="815"/>
      <c r="S75" s="815"/>
      <c r="T75" s="815"/>
      <c r="U75" s="816"/>
      <c r="W75" s="753">
        <v>2195</v>
      </c>
      <c r="X75" s="753"/>
      <c r="Y75" s="819" t="s">
        <v>623</v>
      </c>
      <c r="Z75" s="819"/>
      <c r="AA75" s="819"/>
      <c r="AB75" s="819"/>
      <c r="AC75" s="819"/>
      <c r="AD75" s="819"/>
      <c r="AE75" s="819"/>
      <c r="AF75" s="819"/>
      <c r="AG75" s="819"/>
      <c r="AH75" s="819"/>
      <c r="AI75" s="819"/>
      <c r="AJ75" s="819"/>
      <c r="AK75" s="819"/>
      <c r="AL75" s="819"/>
      <c r="AM75" s="754"/>
      <c r="AN75" s="754"/>
      <c r="AO75" s="754"/>
      <c r="AP75" s="818"/>
    </row>
    <row r="76" spans="3:44" ht="16.5" customHeight="1" x14ac:dyDescent="0.25">
      <c r="C76" s="809">
        <v>1131</v>
      </c>
      <c r="D76" s="810"/>
      <c r="E76" s="814" t="s">
        <v>421</v>
      </c>
      <c r="F76" s="815"/>
      <c r="G76" s="815"/>
      <c r="H76" s="815"/>
      <c r="I76" s="815"/>
      <c r="J76" s="815"/>
      <c r="K76" s="815"/>
      <c r="L76" s="815"/>
      <c r="M76" s="815"/>
      <c r="N76" s="815"/>
      <c r="O76" s="815"/>
      <c r="P76" s="816"/>
      <c r="Q76" s="814"/>
      <c r="R76" s="815"/>
      <c r="S76" s="815"/>
      <c r="T76" s="815"/>
      <c r="U76" s="816"/>
      <c r="W76" s="753">
        <v>2201</v>
      </c>
      <c r="X76" s="753"/>
      <c r="Y76" s="819" t="s">
        <v>378</v>
      </c>
      <c r="Z76" s="819"/>
      <c r="AA76" s="819"/>
      <c r="AB76" s="819"/>
      <c r="AC76" s="819"/>
      <c r="AD76" s="819"/>
      <c r="AE76" s="819"/>
      <c r="AF76" s="819"/>
      <c r="AG76" s="819"/>
      <c r="AH76" s="819"/>
      <c r="AI76" s="819"/>
      <c r="AJ76" s="819"/>
      <c r="AK76" s="819"/>
      <c r="AL76" s="819"/>
      <c r="AM76" s="754"/>
      <c r="AN76" s="754"/>
      <c r="AO76" s="754"/>
      <c r="AP76" s="818"/>
    </row>
    <row r="77" spans="3:44" ht="29.65" customHeight="1" x14ac:dyDescent="0.25">
      <c r="C77" s="809">
        <v>1402</v>
      </c>
      <c r="D77" s="810"/>
      <c r="E77" s="814" t="s">
        <v>416</v>
      </c>
      <c r="F77" s="815"/>
      <c r="G77" s="815"/>
      <c r="H77" s="815"/>
      <c r="I77" s="815"/>
      <c r="J77" s="815"/>
      <c r="K77" s="815"/>
      <c r="L77" s="815"/>
      <c r="M77" s="815"/>
      <c r="N77" s="815"/>
      <c r="O77" s="815"/>
      <c r="P77" s="816"/>
      <c r="Q77" s="814"/>
      <c r="R77" s="815"/>
      <c r="S77" s="815"/>
      <c r="T77" s="815"/>
      <c r="U77" s="816"/>
      <c r="W77" s="753">
        <v>2202</v>
      </c>
      <c r="X77" s="753"/>
      <c r="Y77" s="824" t="s">
        <v>379</v>
      </c>
      <c r="Z77" s="824"/>
      <c r="AA77" s="824"/>
      <c r="AB77" s="824"/>
      <c r="AC77" s="824"/>
      <c r="AD77" s="824"/>
      <c r="AE77" s="824"/>
      <c r="AF77" s="824"/>
      <c r="AG77" s="824"/>
      <c r="AH77" s="824"/>
      <c r="AI77" s="824"/>
      <c r="AJ77" s="824"/>
      <c r="AK77" s="824"/>
      <c r="AL77" s="824"/>
      <c r="AM77" s="754"/>
      <c r="AN77" s="754"/>
      <c r="AO77" s="754"/>
      <c r="AP77" s="818"/>
    </row>
    <row r="78" spans="3:44" ht="16.5" customHeight="1" x14ac:dyDescent="0.25">
      <c r="C78" s="809">
        <v>1403</v>
      </c>
      <c r="D78" s="810"/>
      <c r="E78" s="814" t="s">
        <v>634</v>
      </c>
      <c r="F78" s="815"/>
      <c r="G78" s="815"/>
      <c r="H78" s="815"/>
      <c r="I78" s="815"/>
      <c r="J78" s="815"/>
      <c r="K78" s="815"/>
      <c r="L78" s="815"/>
      <c r="M78" s="815"/>
      <c r="N78" s="815"/>
      <c r="O78" s="815"/>
      <c r="P78" s="816"/>
      <c r="Q78" s="814"/>
      <c r="R78" s="815"/>
      <c r="S78" s="815"/>
      <c r="T78" s="815"/>
      <c r="U78" s="816"/>
      <c r="W78" s="753">
        <v>2203</v>
      </c>
      <c r="X78" s="753"/>
      <c r="Y78" s="819" t="s">
        <v>360</v>
      </c>
      <c r="Z78" s="819"/>
      <c r="AA78" s="819"/>
      <c r="AB78" s="819"/>
      <c r="AC78" s="819"/>
      <c r="AD78" s="819"/>
      <c r="AE78" s="819"/>
      <c r="AF78" s="819"/>
      <c r="AG78" s="819"/>
      <c r="AH78" s="819"/>
      <c r="AI78" s="819"/>
      <c r="AJ78" s="819"/>
      <c r="AK78" s="819"/>
      <c r="AL78" s="819"/>
      <c r="AM78" s="754"/>
      <c r="AN78" s="754"/>
      <c r="AO78" s="754"/>
      <c r="AP78" s="818"/>
    </row>
    <row r="79" spans="3:44" ht="16.5" customHeight="1" x14ac:dyDescent="0.25">
      <c r="C79" s="809">
        <v>1404</v>
      </c>
      <c r="D79" s="810"/>
      <c r="E79" s="814" t="s">
        <v>635</v>
      </c>
      <c r="F79" s="815"/>
      <c r="G79" s="815"/>
      <c r="H79" s="815"/>
      <c r="I79" s="815"/>
      <c r="J79" s="815"/>
      <c r="K79" s="815"/>
      <c r="L79" s="815"/>
      <c r="M79" s="815"/>
      <c r="N79" s="815"/>
      <c r="O79" s="815"/>
      <c r="P79" s="816"/>
      <c r="Q79" s="814"/>
      <c r="R79" s="815"/>
      <c r="S79" s="815"/>
      <c r="T79" s="815"/>
      <c r="U79" s="816"/>
      <c r="W79" s="753">
        <v>2228</v>
      </c>
      <c r="X79" s="753"/>
      <c r="Y79" s="819" t="s">
        <v>380</v>
      </c>
      <c r="Z79" s="819"/>
      <c r="AA79" s="819"/>
      <c r="AB79" s="819"/>
      <c r="AC79" s="819"/>
      <c r="AD79" s="819"/>
      <c r="AE79" s="819"/>
      <c r="AF79" s="819"/>
      <c r="AG79" s="819"/>
      <c r="AH79" s="819"/>
      <c r="AI79" s="819"/>
      <c r="AJ79" s="819"/>
      <c r="AK79" s="819"/>
      <c r="AL79" s="819"/>
      <c r="AM79" s="754"/>
      <c r="AN79" s="754"/>
      <c r="AO79" s="754"/>
      <c r="AP79" s="818"/>
    </row>
    <row r="80" spans="3:44" ht="16.5" customHeight="1" x14ac:dyDescent="0.25">
      <c r="C80" s="809">
        <v>1421</v>
      </c>
      <c r="D80" s="810"/>
      <c r="E80" s="814" t="s">
        <v>417</v>
      </c>
      <c r="F80" s="815"/>
      <c r="G80" s="815"/>
      <c r="H80" s="815"/>
      <c r="I80" s="815"/>
      <c r="J80" s="815"/>
      <c r="K80" s="815"/>
      <c r="L80" s="815"/>
      <c r="M80" s="815"/>
      <c r="N80" s="815"/>
      <c r="O80" s="815"/>
      <c r="P80" s="816"/>
      <c r="Q80" s="814"/>
      <c r="R80" s="815"/>
      <c r="S80" s="815"/>
      <c r="T80" s="815"/>
      <c r="U80" s="816"/>
      <c r="W80" s="820"/>
      <c r="X80" s="820"/>
      <c r="Y80" s="821" t="s">
        <v>372</v>
      </c>
      <c r="Z80" s="821"/>
      <c r="AA80" s="821"/>
      <c r="AB80" s="821"/>
      <c r="AC80" s="821"/>
      <c r="AD80" s="821"/>
      <c r="AE80" s="821"/>
      <c r="AF80" s="821"/>
      <c r="AG80" s="821"/>
      <c r="AH80" s="821"/>
      <c r="AI80" s="821"/>
      <c r="AJ80" s="821"/>
      <c r="AK80" s="821"/>
      <c r="AL80" s="821"/>
      <c r="AM80" s="822"/>
      <c r="AN80" s="822"/>
      <c r="AO80" s="822"/>
      <c r="AP80" s="823"/>
    </row>
    <row r="81" spans="3:42" ht="16.5" customHeight="1" x14ac:dyDescent="0.25">
      <c r="C81" s="809">
        <v>1422</v>
      </c>
      <c r="D81" s="810"/>
      <c r="E81" s="814" t="s">
        <v>360</v>
      </c>
      <c r="F81" s="815"/>
      <c r="G81" s="815"/>
      <c r="H81" s="815"/>
      <c r="I81" s="815"/>
      <c r="J81" s="815"/>
      <c r="K81" s="815"/>
      <c r="L81" s="815"/>
      <c r="M81" s="815"/>
      <c r="N81" s="815"/>
      <c r="O81" s="815"/>
      <c r="P81" s="816"/>
      <c r="Q81" s="814"/>
      <c r="R81" s="815"/>
      <c r="S81" s="815"/>
      <c r="T81" s="815"/>
      <c r="U81" s="816"/>
      <c r="W81" s="753">
        <v>2301</v>
      </c>
      <c r="X81" s="753"/>
      <c r="Y81" s="819" t="s">
        <v>382</v>
      </c>
      <c r="Z81" s="819"/>
      <c r="AA81" s="819"/>
      <c r="AB81" s="819"/>
      <c r="AC81" s="819"/>
      <c r="AD81" s="819"/>
      <c r="AE81" s="819"/>
      <c r="AF81" s="819"/>
      <c r="AG81" s="819"/>
      <c r="AH81" s="819"/>
      <c r="AI81" s="819"/>
      <c r="AJ81" s="819"/>
      <c r="AK81" s="819"/>
      <c r="AL81" s="819"/>
      <c r="AM81" s="754"/>
      <c r="AN81" s="754"/>
      <c r="AO81" s="754"/>
      <c r="AP81" s="818"/>
    </row>
    <row r="82" spans="3:42" ht="17.100000000000001" customHeight="1" x14ac:dyDescent="0.25">
      <c r="C82" s="809">
        <v>1423</v>
      </c>
      <c r="D82" s="810"/>
      <c r="E82" s="814" t="s">
        <v>361</v>
      </c>
      <c r="F82" s="815"/>
      <c r="G82" s="815"/>
      <c r="H82" s="815"/>
      <c r="I82" s="815"/>
      <c r="J82" s="815"/>
      <c r="K82" s="815"/>
      <c r="L82" s="815"/>
      <c r="M82" s="815"/>
      <c r="N82" s="815"/>
      <c r="O82" s="815"/>
      <c r="P82" s="816"/>
      <c r="Q82" s="814"/>
      <c r="R82" s="815"/>
      <c r="S82" s="815"/>
      <c r="T82" s="815"/>
      <c r="U82" s="816"/>
      <c r="W82" s="753">
        <v>2303</v>
      </c>
      <c r="X82" s="753"/>
      <c r="Y82" s="819" t="s">
        <v>383</v>
      </c>
      <c r="Z82" s="819"/>
      <c r="AA82" s="819"/>
      <c r="AB82" s="819"/>
      <c r="AC82" s="819"/>
      <c r="AD82" s="819"/>
      <c r="AE82" s="819"/>
      <c r="AF82" s="819"/>
      <c r="AG82" s="819"/>
      <c r="AH82" s="819"/>
      <c r="AI82" s="819"/>
      <c r="AJ82" s="819"/>
      <c r="AK82" s="819"/>
      <c r="AL82" s="819"/>
      <c r="AM82" s="754"/>
      <c r="AN82" s="754"/>
      <c r="AO82" s="754"/>
      <c r="AP82" s="818"/>
    </row>
    <row r="83" spans="3:42" ht="27" customHeight="1" x14ac:dyDescent="0.25">
      <c r="C83" s="809">
        <v>1499</v>
      </c>
      <c r="D83" s="810"/>
      <c r="E83" s="814" t="s">
        <v>362</v>
      </c>
      <c r="F83" s="815"/>
      <c r="G83" s="815"/>
      <c r="H83" s="815"/>
      <c r="I83" s="815"/>
      <c r="J83" s="815"/>
      <c r="K83" s="815"/>
      <c r="L83" s="815"/>
      <c r="M83" s="815"/>
      <c r="N83" s="815"/>
      <c r="O83" s="815"/>
      <c r="P83" s="816"/>
      <c r="Q83" s="814"/>
      <c r="R83" s="815"/>
      <c r="S83" s="815"/>
      <c r="T83" s="815"/>
      <c r="U83" s="816"/>
      <c r="W83" s="753">
        <v>2304</v>
      </c>
      <c r="X83" s="753"/>
      <c r="Y83" s="824" t="s">
        <v>384</v>
      </c>
      <c r="Z83" s="824"/>
      <c r="AA83" s="824"/>
      <c r="AB83" s="824"/>
      <c r="AC83" s="824"/>
      <c r="AD83" s="824"/>
      <c r="AE83" s="824"/>
      <c r="AF83" s="824"/>
      <c r="AG83" s="824"/>
      <c r="AH83" s="824"/>
      <c r="AI83" s="824"/>
      <c r="AJ83" s="824"/>
      <c r="AK83" s="824"/>
      <c r="AL83" s="824"/>
      <c r="AM83" s="754"/>
      <c r="AN83" s="754"/>
      <c r="AO83" s="754"/>
      <c r="AP83" s="818"/>
    </row>
    <row r="84" spans="3:42" ht="16.5" customHeight="1" x14ac:dyDescent="0.25">
      <c r="C84" s="825"/>
      <c r="D84" s="826"/>
      <c r="E84" s="827" t="s">
        <v>353</v>
      </c>
      <c r="F84" s="828"/>
      <c r="G84" s="828"/>
      <c r="H84" s="828"/>
      <c r="I84" s="828"/>
      <c r="J84" s="828"/>
      <c r="K84" s="828"/>
      <c r="L84" s="828"/>
      <c r="M84" s="828"/>
      <c r="N84" s="828"/>
      <c r="O84" s="828"/>
      <c r="P84" s="829"/>
      <c r="Q84" s="827"/>
      <c r="R84" s="828"/>
      <c r="S84" s="828"/>
      <c r="T84" s="828"/>
      <c r="U84" s="829"/>
      <c r="W84" s="753">
        <v>2121</v>
      </c>
      <c r="X84" s="753"/>
      <c r="Y84" s="819" t="s">
        <v>385</v>
      </c>
      <c r="Z84" s="819"/>
      <c r="AA84" s="819"/>
      <c r="AB84" s="819"/>
      <c r="AC84" s="819"/>
      <c r="AD84" s="819"/>
      <c r="AE84" s="819"/>
      <c r="AF84" s="819"/>
      <c r="AG84" s="819"/>
      <c r="AH84" s="819"/>
      <c r="AI84" s="819"/>
      <c r="AJ84" s="819"/>
      <c r="AK84" s="819"/>
      <c r="AL84" s="819"/>
      <c r="AM84" s="754"/>
      <c r="AN84" s="754"/>
      <c r="AO84" s="754"/>
      <c r="AP84" s="818"/>
    </row>
    <row r="85" spans="3:42" ht="16.5" customHeight="1" x14ac:dyDescent="0.25">
      <c r="C85" s="809">
        <v>1501</v>
      </c>
      <c r="D85" s="810"/>
      <c r="E85" s="814" t="s">
        <v>363</v>
      </c>
      <c r="F85" s="815"/>
      <c r="G85" s="815"/>
      <c r="H85" s="815"/>
      <c r="I85" s="815"/>
      <c r="J85" s="815"/>
      <c r="K85" s="815"/>
      <c r="L85" s="815"/>
      <c r="M85" s="815"/>
      <c r="N85" s="815"/>
      <c r="O85" s="815"/>
      <c r="P85" s="816"/>
      <c r="Q85" s="814"/>
      <c r="R85" s="815"/>
      <c r="S85" s="815"/>
      <c r="T85" s="815"/>
      <c r="U85" s="816"/>
      <c r="W85" s="753">
        <v>2998</v>
      </c>
      <c r="X85" s="753"/>
      <c r="Y85" s="819" t="s">
        <v>386</v>
      </c>
      <c r="Z85" s="819"/>
      <c r="AA85" s="819"/>
      <c r="AB85" s="819"/>
      <c r="AC85" s="819"/>
      <c r="AD85" s="819"/>
      <c r="AE85" s="819"/>
      <c r="AF85" s="819"/>
      <c r="AG85" s="819"/>
      <c r="AH85" s="819"/>
      <c r="AI85" s="819"/>
      <c r="AJ85" s="819"/>
      <c r="AK85" s="819"/>
      <c r="AL85" s="819"/>
      <c r="AM85" s="754"/>
      <c r="AN85" s="754"/>
      <c r="AO85" s="754"/>
      <c r="AP85" s="818"/>
    </row>
    <row r="86" spans="3:42" ht="16.5" customHeight="1" x14ac:dyDescent="0.25">
      <c r="C86" s="809">
        <v>1523</v>
      </c>
      <c r="D86" s="810"/>
      <c r="E86" s="814" t="s">
        <v>364</v>
      </c>
      <c r="F86" s="815"/>
      <c r="G86" s="815"/>
      <c r="H86" s="815"/>
      <c r="I86" s="815"/>
      <c r="J86" s="815"/>
      <c r="K86" s="815"/>
      <c r="L86" s="815"/>
      <c r="M86" s="815"/>
      <c r="N86" s="815"/>
      <c r="O86" s="815"/>
      <c r="P86" s="816"/>
      <c r="Q86" s="814"/>
      <c r="R86" s="815"/>
      <c r="S86" s="815"/>
      <c r="T86" s="815"/>
      <c r="U86" s="816"/>
      <c r="W86" s="753">
        <v>2999</v>
      </c>
      <c r="X86" s="753"/>
      <c r="Y86" s="819" t="s">
        <v>387</v>
      </c>
      <c r="Z86" s="819"/>
      <c r="AA86" s="819"/>
      <c r="AB86" s="819"/>
      <c r="AC86" s="819"/>
      <c r="AD86" s="819"/>
      <c r="AE86" s="819"/>
      <c r="AF86" s="819"/>
      <c r="AG86" s="819"/>
      <c r="AH86" s="819"/>
      <c r="AI86" s="819"/>
      <c r="AJ86" s="819"/>
      <c r="AK86" s="819"/>
      <c r="AL86" s="819"/>
      <c r="AM86" s="754"/>
      <c r="AN86" s="754"/>
      <c r="AO86" s="754"/>
      <c r="AP86" s="818"/>
    </row>
    <row r="87" spans="3:42" ht="16.5" customHeight="1" x14ac:dyDescent="0.25">
      <c r="C87" s="809">
        <v>1524</v>
      </c>
      <c r="D87" s="810"/>
      <c r="E87" s="814" t="s">
        <v>419</v>
      </c>
      <c r="F87" s="815"/>
      <c r="G87" s="815"/>
      <c r="H87" s="815"/>
      <c r="I87" s="815"/>
      <c r="J87" s="815"/>
      <c r="K87" s="815"/>
      <c r="L87" s="815"/>
      <c r="M87" s="815"/>
      <c r="N87" s="815"/>
      <c r="O87" s="815"/>
      <c r="P87" s="816"/>
      <c r="Q87" s="814"/>
      <c r="R87" s="815"/>
      <c r="S87" s="815"/>
      <c r="T87" s="815"/>
      <c r="U87" s="816"/>
      <c r="W87" s="820"/>
      <c r="X87" s="820"/>
      <c r="Y87" s="821" t="s">
        <v>381</v>
      </c>
      <c r="Z87" s="821"/>
      <c r="AA87" s="821"/>
      <c r="AB87" s="821"/>
      <c r="AC87" s="821"/>
      <c r="AD87" s="821"/>
      <c r="AE87" s="821"/>
      <c r="AF87" s="821"/>
      <c r="AG87" s="821"/>
      <c r="AH87" s="821"/>
      <c r="AI87" s="821"/>
      <c r="AJ87" s="821"/>
      <c r="AK87" s="821"/>
      <c r="AL87" s="821"/>
      <c r="AM87" s="822"/>
      <c r="AN87" s="822"/>
      <c r="AO87" s="822"/>
      <c r="AP87" s="823"/>
    </row>
    <row r="88" spans="3:42" ht="16.5" customHeight="1" x14ac:dyDescent="0.25">
      <c r="C88" s="809">
        <v>1525</v>
      </c>
      <c r="D88" s="810"/>
      <c r="E88" s="814" t="s">
        <v>418</v>
      </c>
      <c r="F88" s="815"/>
      <c r="G88" s="815"/>
      <c r="H88" s="815"/>
      <c r="I88" s="815"/>
      <c r="J88" s="815"/>
      <c r="K88" s="815"/>
      <c r="L88" s="815"/>
      <c r="M88" s="815"/>
      <c r="N88" s="815"/>
      <c r="O88" s="815"/>
      <c r="P88" s="816"/>
      <c r="Q88" s="814"/>
      <c r="R88" s="815"/>
      <c r="S88" s="815"/>
      <c r="T88" s="815"/>
      <c r="U88" s="816"/>
      <c r="W88" s="753">
        <v>3102</v>
      </c>
      <c r="X88" s="753"/>
      <c r="Y88" s="819" t="s">
        <v>388</v>
      </c>
      <c r="Z88" s="819"/>
      <c r="AA88" s="819"/>
      <c r="AB88" s="819"/>
      <c r="AC88" s="819"/>
      <c r="AD88" s="819"/>
      <c r="AE88" s="819"/>
      <c r="AF88" s="819"/>
      <c r="AG88" s="819"/>
      <c r="AH88" s="819"/>
      <c r="AI88" s="819"/>
      <c r="AJ88" s="819"/>
      <c r="AK88" s="819"/>
      <c r="AL88" s="819"/>
      <c r="AM88" s="754"/>
      <c r="AN88" s="754"/>
      <c r="AO88" s="754"/>
      <c r="AP88" s="818"/>
    </row>
    <row r="89" spans="3:42" ht="16.5" customHeight="1" x14ac:dyDescent="0.25">
      <c r="C89" s="809">
        <v>1526</v>
      </c>
      <c r="D89" s="810"/>
      <c r="E89" s="814" t="s">
        <v>419</v>
      </c>
      <c r="F89" s="815"/>
      <c r="G89" s="815"/>
      <c r="H89" s="815"/>
      <c r="I89" s="815"/>
      <c r="J89" s="815"/>
      <c r="K89" s="815"/>
      <c r="L89" s="815"/>
      <c r="M89" s="815"/>
      <c r="N89" s="815"/>
      <c r="O89" s="815"/>
      <c r="P89" s="816"/>
      <c r="Q89" s="814"/>
      <c r="R89" s="815"/>
      <c r="S89" s="815"/>
      <c r="T89" s="815"/>
      <c r="U89" s="816"/>
      <c r="W89" s="753">
        <v>3120</v>
      </c>
      <c r="X89" s="753"/>
      <c r="Y89" s="819" t="s">
        <v>389</v>
      </c>
      <c r="Z89" s="819"/>
      <c r="AA89" s="819"/>
      <c r="AB89" s="819"/>
      <c r="AC89" s="819"/>
      <c r="AD89" s="819"/>
      <c r="AE89" s="819"/>
      <c r="AF89" s="819"/>
      <c r="AG89" s="819"/>
      <c r="AH89" s="819"/>
      <c r="AI89" s="819"/>
      <c r="AJ89" s="819"/>
      <c r="AK89" s="819"/>
      <c r="AL89" s="819"/>
      <c r="AM89" s="754"/>
      <c r="AN89" s="754"/>
      <c r="AO89" s="754"/>
      <c r="AP89" s="818"/>
    </row>
    <row r="90" spans="3:42" ht="16.5" customHeight="1" x14ac:dyDescent="0.25">
      <c r="C90" s="809">
        <v>1527</v>
      </c>
      <c r="D90" s="810"/>
      <c r="E90" s="814" t="s">
        <v>420</v>
      </c>
      <c r="F90" s="815"/>
      <c r="G90" s="815"/>
      <c r="H90" s="815"/>
      <c r="I90" s="815"/>
      <c r="J90" s="815"/>
      <c r="K90" s="815"/>
      <c r="L90" s="815"/>
      <c r="M90" s="815"/>
      <c r="N90" s="815"/>
      <c r="O90" s="815"/>
      <c r="P90" s="816"/>
      <c r="Q90" s="814"/>
      <c r="R90" s="815"/>
      <c r="S90" s="815"/>
      <c r="T90" s="815"/>
      <c r="U90" s="816"/>
      <c r="W90" s="753">
        <v>3200</v>
      </c>
      <c r="X90" s="753"/>
      <c r="Y90" s="819" t="s">
        <v>390</v>
      </c>
      <c r="Z90" s="819"/>
      <c r="AA90" s="819"/>
      <c r="AB90" s="819"/>
      <c r="AC90" s="819"/>
      <c r="AD90" s="819"/>
      <c r="AE90" s="819"/>
      <c r="AF90" s="819"/>
      <c r="AG90" s="819"/>
      <c r="AH90" s="819"/>
      <c r="AI90" s="819"/>
      <c r="AJ90" s="819"/>
      <c r="AK90" s="819"/>
      <c r="AL90" s="819"/>
      <c r="AM90" s="754"/>
      <c r="AN90" s="754"/>
      <c r="AO90" s="754"/>
      <c r="AP90" s="818"/>
    </row>
    <row r="91" spans="3:42" ht="16.5" customHeight="1" x14ac:dyDescent="0.25">
      <c r="C91" s="809">
        <v>1528</v>
      </c>
      <c r="D91" s="810"/>
      <c r="E91" s="814" t="s">
        <v>419</v>
      </c>
      <c r="F91" s="815"/>
      <c r="G91" s="815"/>
      <c r="H91" s="815"/>
      <c r="I91" s="815"/>
      <c r="J91" s="815"/>
      <c r="K91" s="815"/>
      <c r="L91" s="815"/>
      <c r="M91" s="815"/>
      <c r="N91" s="815"/>
      <c r="O91" s="815"/>
      <c r="P91" s="816"/>
      <c r="Q91" s="814"/>
      <c r="R91" s="815"/>
      <c r="S91" s="815"/>
      <c r="T91" s="815"/>
      <c r="U91" s="816"/>
      <c r="W91" s="753">
        <v>3208</v>
      </c>
      <c r="X91" s="753"/>
      <c r="Y91" s="819" t="s">
        <v>391</v>
      </c>
      <c r="Z91" s="819"/>
      <c r="AA91" s="819"/>
      <c r="AB91" s="819"/>
      <c r="AC91" s="819"/>
      <c r="AD91" s="819"/>
      <c r="AE91" s="819"/>
      <c r="AF91" s="819"/>
      <c r="AG91" s="819"/>
      <c r="AH91" s="819"/>
      <c r="AI91" s="819"/>
      <c r="AJ91" s="819"/>
      <c r="AK91" s="819"/>
      <c r="AL91" s="819"/>
      <c r="AM91" s="754"/>
      <c r="AN91" s="754"/>
      <c r="AO91" s="754"/>
      <c r="AP91" s="818"/>
    </row>
    <row r="92" spans="3:42" ht="16.5" customHeight="1" x14ac:dyDescent="0.25">
      <c r="C92" s="809">
        <v>1529</v>
      </c>
      <c r="D92" s="810"/>
      <c r="E92" s="814" t="s">
        <v>365</v>
      </c>
      <c r="F92" s="815"/>
      <c r="G92" s="815"/>
      <c r="H92" s="815"/>
      <c r="I92" s="815"/>
      <c r="J92" s="815"/>
      <c r="K92" s="815"/>
      <c r="L92" s="815"/>
      <c r="M92" s="815"/>
      <c r="N92" s="815"/>
      <c r="O92" s="815"/>
      <c r="P92" s="816"/>
      <c r="Q92" s="814"/>
      <c r="R92" s="815"/>
      <c r="S92" s="815"/>
      <c r="T92" s="815"/>
      <c r="U92" s="816"/>
      <c r="W92" s="912">
        <v>3209</v>
      </c>
      <c r="X92" s="912"/>
      <c r="Y92" s="913" t="s">
        <v>392</v>
      </c>
      <c r="Z92" s="913"/>
      <c r="AA92" s="913"/>
      <c r="AB92" s="913"/>
      <c r="AC92" s="913"/>
      <c r="AD92" s="913"/>
      <c r="AE92" s="913"/>
      <c r="AF92" s="913"/>
      <c r="AG92" s="913"/>
      <c r="AH92" s="913"/>
      <c r="AI92" s="913"/>
      <c r="AJ92" s="913"/>
      <c r="AK92" s="913"/>
      <c r="AL92" s="913"/>
      <c r="AM92" s="914"/>
      <c r="AN92" s="914"/>
      <c r="AO92" s="914"/>
      <c r="AP92" s="915"/>
    </row>
    <row r="93" spans="3:42" ht="16.5" customHeight="1" x14ac:dyDescent="0.25">
      <c r="C93" s="809">
        <v>1530</v>
      </c>
      <c r="D93" s="810"/>
      <c r="E93" s="814" t="s">
        <v>636</v>
      </c>
      <c r="F93" s="815"/>
      <c r="G93" s="815"/>
      <c r="H93" s="815"/>
      <c r="I93" s="815"/>
      <c r="J93" s="815"/>
      <c r="K93" s="815"/>
      <c r="L93" s="815"/>
      <c r="M93" s="815"/>
      <c r="N93" s="815"/>
      <c r="O93" s="815"/>
      <c r="P93" s="816"/>
      <c r="Q93" s="814"/>
      <c r="R93" s="815"/>
      <c r="S93" s="815"/>
      <c r="T93" s="815"/>
      <c r="U93" s="816"/>
      <c r="W93" s="674">
        <v>3300</v>
      </c>
      <c r="X93" s="674"/>
      <c r="Y93" s="911" t="s">
        <v>393</v>
      </c>
      <c r="Z93" s="911"/>
      <c r="AA93" s="911"/>
      <c r="AB93" s="911"/>
      <c r="AC93" s="911"/>
      <c r="AD93" s="911"/>
      <c r="AE93" s="911"/>
      <c r="AF93" s="911"/>
      <c r="AG93" s="911"/>
      <c r="AH93" s="911"/>
      <c r="AI93" s="911"/>
      <c r="AJ93" s="911"/>
      <c r="AK93" s="911"/>
      <c r="AL93" s="911"/>
      <c r="AM93" s="592"/>
      <c r="AN93" s="592"/>
      <c r="AO93" s="592"/>
      <c r="AP93" s="592"/>
    </row>
    <row r="94" spans="3:42" ht="16.5" customHeight="1" x14ac:dyDescent="0.25">
      <c r="C94" s="809">
        <v>1541</v>
      </c>
      <c r="D94" s="810"/>
      <c r="E94" s="814" t="s">
        <v>366</v>
      </c>
      <c r="F94" s="815"/>
      <c r="G94" s="815"/>
      <c r="H94" s="815"/>
      <c r="I94" s="815"/>
      <c r="J94" s="815"/>
      <c r="K94" s="815"/>
      <c r="L94" s="815"/>
      <c r="M94" s="815"/>
      <c r="N94" s="815"/>
      <c r="O94" s="815"/>
      <c r="P94" s="816"/>
      <c r="Q94" s="814"/>
      <c r="R94" s="815"/>
      <c r="S94" s="815"/>
      <c r="T94" s="815"/>
      <c r="U94" s="816"/>
      <c r="W94" s="149"/>
      <c r="X94" s="149"/>
      <c r="Y94" s="215"/>
      <c r="Z94" s="215"/>
      <c r="AA94" s="215"/>
      <c r="AB94" s="215"/>
      <c r="AC94" s="215"/>
      <c r="AD94" s="215"/>
      <c r="AE94" s="215"/>
      <c r="AF94" s="215"/>
      <c r="AG94" s="215"/>
      <c r="AH94" s="215"/>
      <c r="AI94" s="215"/>
      <c r="AJ94" s="215"/>
      <c r="AK94" s="215"/>
      <c r="AL94" s="215"/>
      <c r="AM94" s="213"/>
      <c r="AN94" s="213"/>
      <c r="AO94" s="213"/>
      <c r="AP94" s="213"/>
    </row>
    <row r="95" spans="3:42" ht="16.5" customHeight="1" x14ac:dyDescent="0.25">
      <c r="C95" s="809">
        <v>1590</v>
      </c>
      <c r="D95" s="810"/>
      <c r="E95" s="814" t="s">
        <v>367</v>
      </c>
      <c r="F95" s="815"/>
      <c r="G95" s="815"/>
      <c r="H95" s="815"/>
      <c r="I95" s="815"/>
      <c r="J95" s="815"/>
      <c r="K95" s="815"/>
      <c r="L95" s="815"/>
      <c r="M95" s="815"/>
      <c r="N95" s="815"/>
      <c r="O95" s="815"/>
      <c r="P95" s="816"/>
      <c r="Q95" s="814"/>
      <c r="R95" s="815"/>
      <c r="S95" s="815"/>
      <c r="T95" s="815"/>
      <c r="U95" s="816"/>
      <c r="W95" s="149"/>
      <c r="X95" s="149"/>
      <c r="Y95" s="215"/>
      <c r="Z95" s="215"/>
      <c r="AA95" s="215"/>
      <c r="AB95" s="215"/>
      <c r="AC95" s="215"/>
      <c r="AD95" s="215"/>
      <c r="AE95" s="215"/>
      <c r="AF95" s="215"/>
      <c r="AG95" s="215"/>
      <c r="AH95" s="215"/>
      <c r="AI95" s="215"/>
      <c r="AJ95" s="215"/>
      <c r="AK95" s="215"/>
      <c r="AL95" s="215"/>
      <c r="AM95" s="213"/>
      <c r="AN95" s="213"/>
      <c r="AO95" s="213"/>
      <c r="AP95" s="213"/>
    </row>
    <row r="96" spans="3:42" ht="16.5" customHeight="1" x14ac:dyDescent="0.25">
      <c r="C96" s="809">
        <v>1600</v>
      </c>
      <c r="D96" s="810"/>
      <c r="E96" s="814" t="s">
        <v>637</v>
      </c>
      <c r="F96" s="815"/>
      <c r="G96" s="815"/>
      <c r="H96" s="815"/>
      <c r="I96" s="815"/>
      <c r="J96" s="815"/>
      <c r="K96" s="815"/>
      <c r="L96" s="815"/>
      <c r="M96" s="815"/>
      <c r="N96" s="815"/>
      <c r="O96" s="815"/>
      <c r="P96" s="816"/>
      <c r="Q96" s="814"/>
      <c r="R96" s="815"/>
      <c r="S96" s="815"/>
      <c r="T96" s="815"/>
      <c r="U96" s="816"/>
      <c r="W96" s="149"/>
      <c r="X96" s="149"/>
      <c r="Y96" s="215"/>
      <c r="Z96" s="215"/>
      <c r="AA96" s="215"/>
      <c r="AB96" s="215"/>
      <c r="AC96" s="215"/>
      <c r="AD96" s="215"/>
      <c r="AE96" s="215"/>
      <c r="AF96" s="215"/>
      <c r="AG96" s="215"/>
      <c r="AH96" s="215"/>
      <c r="AI96" s="215"/>
      <c r="AJ96" s="215"/>
      <c r="AK96" s="215"/>
      <c r="AL96" s="215"/>
      <c r="AM96" s="213"/>
      <c r="AN96" s="213"/>
      <c r="AO96" s="213"/>
      <c r="AP96" s="213"/>
    </row>
    <row r="97" spans="3:42" ht="16.5" customHeight="1" x14ac:dyDescent="0.25">
      <c r="C97" s="809">
        <v>1611</v>
      </c>
      <c r="D97" s="810"/>
      <c r="E97" s="814" t="s">
        <v>369</v>
      </c>
      <c r="F97" s="815"/>
      <c r="G97" s="815"/>
      <c r="H97" s="815"/>
      <c r="I97" s="815"/>
      <c r="J97" s="815"/>
      <c r="K97" s="815"/>
      <c r="L97" s="815"/>
      <c r="M97" s="815"/>
      <c r="N97" s="815"/>
      <c r="O97" s="815"/>
      <c r="P97" s="816"/>
      <c r="Q97" s="814"/>
      <c r="R97" s="815"/>
      <c r="S97" s="815"/>
      <c r="T97" s="815"/>
      <c r="U97" s="816"/>
      <c r="W97" s="149"/>
      <c r="X97" s="149"/>
      <c r="Y97" s="215"/>
      <c r="Z97" s="215"/>
      <c r="AA97" s="215"/>
      <c r="AB97" s="215"/>
      <c r="AC97" s="215"/>
      <c r="AD97" s="215"/>
      <c r="AE97" s="215"/>
      <c r="AF97" s="215"/>
      <c r="AG97" s="215"/>
      <c r="AH97" s="215"/>
      <c r="AI97" s="215"/>
      <c r="AJ97" s="215"/>
      <c r="AK97" s="215"/>
      <c r="AL97" s="215"/>
      <c r="AM97" s="213"/>
      <c r="AN97" s="213"/>
      <c r="AO97" s="213"/>
      <c r="AP97" s="213"/>
    </row>
    <row r="98" spans="3:42" ht="14.25" customHeight="1" x14ac:dyDescent="0.25">
      <c r="C98" s="809">
        <v>1699</v>
      </c>
      <c r="D98" s="810"/>
      <c r="E98" s="814" t="s">
        <v>370</v>
      </c>
      <c r="F98" s="815"/>
      <c r="G98" s="815"/>
      <c r="H98" s="815"/>
      <c r="I98" s="815"/>
      <c r="J98" s="815"/>
      <c r="K98" s="815"/>
      <c r="L98" s="815"/>
      <c r="M98" s="815"/>
      <c r="N98" s="815"/>
      <c r="O98" s="815"/>
      <c r="P98" s="816"/>
      <c r="Q98" s="814"/>
      <c r="R98" s="815"/>
      <c r="S98" s="815"/>
      <c r="T98" s="815"/>
      <c r="U98" s="816"/>
    </row>
    <row r="99" spans="3:42" ht="14.25" customHeight="1" x14ac:dyDescent="0.25">
      <c r="C99" s="809">
        <v>1700</v>
      </c>
      <c r="D99" s="810"/>
      <c r="E99" s="811" t="s">
        <v>371</v>
      </c>
      <c r="F99" s="812"/>
      <c r="G99" s="812"/>
      <c r="H99" s="812"/>
      <c r="I99" s="812"/>
      <c r="J99" s="812"/>
      <c r="K99" s="812"/>
      <c r="L99" s="812"/>
      <c r="M99" s="812"/>
      <c r="N99" s="812"/>
      <c r="O99" s="812"/>
      <c r="P99" s="813"/>
      <c r="Q99" s="814"/>
      <c r="R99" s="815"/>
      <c r="S99" s="815"/>
      <c r="T99" s="815"/>
      <c r="U99" s="816"/>
    </row>
    <row r="100" spans="3:42" ht="17.649999999999999" customHeight="1" x14ac:dyDescent="0.25">
      <c r="C100" s="241"/>
      <c r="D100" s="216"/>
      <c r="E100" s="212"/>
      <c r="F100" s="212"/>
      <c r="G100" s="212"/>
      <c r="H100" s="212"/>
      <c r="I100" s="212"/>
      <c r="J100" s="212"/>
      <c r="K100" s="212"/>
      <c r="L100" s="212"/>
      <c r="M100" s="212"/>
      <c r="N100" s="212"/>
      <c r="O100" s="212"/>
      <c r="P100" s="212"/>
      <c r="Q100" s="216"/>
      <c r="R100" s="216"/>
      <c r="S100" s="216"/>
      <c r="T100" s="216"/>
      <c r="U100" s="216"/>
      <c r="V100" s="1"/>
      <c r="W100" s="216"/>
      <c r="X100" s="216"/>
      <c r="Y100" s="212"/>
      <c r="Z100" s="212"/>
      <c r="AA100" s="212"/>
      <c r="AB100" s="212"/>
      <c r="AC100" s="212"/>
      <c r="AD100" s="212"/>
      <c r="AE100" s="212"/>
      <c r="AF100" s="212"/>
      <c r="AG100" s="212"/>
      <c r="AH100" s="212"/>
      <c r="AI100" s="212"/>
      <c r="AJ100" s="212"/>
      <c r="AK100" s="212"/>
      <c r="AL100" s="212"/>
      <c r="AM100" s="188"/>
      <c r="AN100" s="188"/>
      <c r="AO100" s="188"/>
      <c r="AP100" s="242"/>
    </row>
    <row r="101" spans="3:42" ht="12" customHeight="1" x14ac:dyDescent="0.25">
      <c r="C101" s="804"/>
      <c r="D101" s="805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43"/>
    </row>
    <row r="102" spans="3:42" ht="18.75" x14ac:dyDescent="0.25">
      <c r="C102" s="806"/>
      <c r="D102" s="651"/>
      <c r="E102" s="237" t="s">
        <v>394</v>
      </c>
      <c r="F102" s="219"/>
      <c r="G102" s="219"/>
      <c r="H102" s="219"/>
      <c r="I102" s="219"/>
      <c r="J102" s="219"/>
      <c r="K102" s="219"/>
      <c r="L102" s="219"/>
      <c r="M102" s="217"/>
      <c r="N102" s="238" t="s">
        <v>395</v>
      </c>
      <c r="O102" s="219"/>
      <c r="P102" s="219"/>
      <c r="Q102" s="219"/>
      <c r="R102" s="217"/>
      <c r="S102" s="238" t="s">
        <v>396</v>
      </c>
      <c r="T102" s="219"/>
      <c r="U102" s="219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43"/>
    </row>
    <row r="103" spans="3:42" x14ac:dyDescent="0.25">
      <c r="C103" s="804"/>
      <c r="D103" s="805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43"/>
    </row>
    <row r="104" spans="3:42" x14ac:dyDescent="0.25">
      <c r="C104" s="807"/>
      <c r="D104" s="808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57"/>
    </row>
    <row r="105" spans="3:42" x14ac:dyDescent="0.25">
      <c r="C105" s="799"/>
      <c r="D105" s="800"/>
      <c r="E105" s="163"/>
      <c r="F105" s="163"/>
      <c r="G105" s="163"/>
      <c r="H105" s="163"/>
      <c r="I105" s="163"/>
      <c r="J105" s="163"/>
      <c r="K105" s="163"/>
      <c r="L105" s="163"/>
      <c r="M105" s="163"/>
      <c r="N105" s="163"/>
      <c r="O105" s="163"/>
      <c r="P105" s="163"/>
      <c r="Q105" s="163"/>
      <c r="R105" s="163"/>
      <c r="S105" s="163"/>
      <c r="T105" s="163"/>
      <c r="U105" s="163"/>
      <c r="V105" s="163"/>
      <c r="W105" s="163"/>
      <c r="X105" s="163"/>
      <c r="Y105" s="163"/>
      <c r="Z105" s="163"/>
      <c r="AA105" s="163"/>
      <c r="AB105" s="163"/>
      <c r="AC105" s="163"/>
      <c r="AD105" s="163"/>
      <c r="AE105" s="163"/>
      <c r="AF105" s="163"/>
      <c r="AG105" s="163"/>
      <c r="AH105" s="163"/>
      <c r="AI105" s="163"/>
      <c r="AJ105" s="163"/>
      <c r="AK105" s="163"/>
      <c r="AL105" s="163"/>
      <c r="AM105" s="163"/>
      <c r="AN105" s="163"/>
      <c r="AO105" s="163"/>
      <c r="AP105" s="173"/>
    </row>
    <row r="106" spans="3:42" x14ac:dyDescent="0.25">
      <c r="C106" s="799"/>
      <c r="D106" s="800"/>
      <c r="E106" s="172" t="s">
        <v>397</v>
      </c>
      <c r="F106" s="163"/>
      <c r="G106" s="163"/>
      <c r="H106" s="163"/>
      <c r="I106" s="163"/>
      <c r="J106" s="163"/>
      <c r="K106" s="163"/>
      <c r="L106" s="163"/>
      <c r="M106" s="163"/>
      <c r="N106" s="163"/>
      <c r="O106" s="163"/>
      <c r="P106" s="163"/>
      <c r="Q106" s="163"/>
      <c r="R106" s="163"/>
      <c r="S106" s="163"/>
      <c r="T106" s="163"/>
      <c r="U106" s="163"/>
      <c r="V106" s="222"/>
      <c r="W106" s="163"/>
      <c r="X106" s="163"/>
      <c r="Y106" s="172" t="s">
        <v>399</v>
      </c>
      <c r="Z106" s="163"/>
      <c r="AA106" s="163"/>
      <c r="AB106" s="163"/>
      <c r="AC106" s="163"/>
      <c r="AD106" s="163"/>
      <c r="AE106" s="163"/>
      <c r="AF106" s="163"/>
      <c r="AG106" s="163"/>
      <c r="AH106" s="163"/>
      <c r="AI106" s="163"/>
      <c r="AJ106" s="163"/>
      <c r="AK106" s="163"/>
      <c r="AL106" s="163"/>
      <c r="AM106" s="163"/>
      <c r="AN106" s="163"/>
      <c r="AO106" s="163"/>
      <c r="AP106" s="173"/>
    </row>
    <row r="107" spans="3:42" x14ac:dyDescent="0.25">
      <c r="C107" s="799"/>
      <c r="D107" s="800"/>
      <c r="E107" s="151"/>
      <c r="F107" s="151"/>
      <c r="G107" s="151"/>
      <c r="H107" s="151"/>
      <c r="I107" s="151"/>
      <c r="J107" s="151"/>
      <c r="K107" s="151"/>
      <c r="L107" s="151"/>
      <c r="M107" s="151"/>
      <c r="N107" s="151"/>
      <c r="O107" s="151"/>
      <c r="P107" s="151"/>
      <c r="Q107" s="151"/>
      <c r="R107" s="151"/>
      <c r="S107" s="151"/>
      <c r="T107" s="151"/>
      <c r="U107" s="163"/>
      <c r="V107" s="222"/>
      <c r="W107" s="163"/>
      <c r="X107" s="163"/>
      <c r="Y107" s="151"/>
      <c r="Z107" s="151"/>
      <c r="AA107" s="151"/>
      <c r="AB107" s="151"/>
      <c r="AC107" s="151"/>
      <c r="AD107" s="151"/>
      <c r="AE107" s="151"/>
      <c r="AF107" s="151"/>
      <c r="AG107" s="151"/>
      <c r="AH107" s="151"/>
      <c r="AI107" s="151"/>
      <c r="AJ107" s="151"/>
      <c r="AK107" s="151"/>
      <c r="AL107" s="151"/>
      <c r="AM107" s="151"/>
      <c r="AN107" s="151"/>
      <c r="AO107" s="163"/>
      <c r="AP107" s="173"/>
    </row>
    <row r="108" spans="3:42" x14ac:dyDescent="0.25">
      <c r="C108" s="799"/>
      <c r="D108" s="800"/>
      <c r="E108" s="163"/>
      <c r="F108" s="163"/>
      <c r="G108" s="163"/>
      <c r="H108" s="163"/>
      <c r="I108" s="163"/>
      <c r="J108" s="163"/>
      <c r="K108" s="163"/>
      <c r="L108" s="163"/>
      <c r="M108" s="163"/>
      <c r="N108" s="163"/>
      <c r="O108" s="163"/>
      <c r="P108" s="163"/>
      <c r="Q108" s="163"/>
      <c r="R108" s="163"/>
      <c r="S108" s="163"/>
      <c r="T108" s="163"/>
      <c r="U108" s="163"/>
      <c r="V108" s="222"/>
      <c r="W108" s="163"/>
      <c r="X108" s="163"/>
      <c r="Y108" s="163"/>
      <c r="Z108" s="163"/>
      <c r="AA108" s="163"/>
      <c r="AB108" s="163"/>
      <c r="AC108" s="163"/>
      <c r="AD108" s="163"/>
      <c r="AE108" s="163"/>
      <c r="AF108" s="163"/>
      <c r="AG108" s="163"/>
      <c r="AH108" s="163"/>
      <c r="AI108" s="163"/>
      <c r="AJ108" s="163"/>
      <c r="AK108" s="163"/>
      <c r="AL108" s="163"/>
      <c r="AM108" s="163"/>
      <c r="AN108" s="163"/>
      <c r="AO108" s="163"/>
      <c r="AP108" s="173"/>
    </row>
    <row r="109" spans="3:42" x14ac:dyDescent="0.25">
      <c r="C109" s="799"/>
      <c r="D109" s="800"/>
      <c r="E109" s="172" t="s">
        <v>398</v>
      </c>
      <c r="F109" s="163"/>
      <c r="G109" s="163"/>
      <c r="H109" s="163"/>
      <c r="I109" s="163"/>
      <c r="J109" s="163"/>
      <c r="K109" s="163"/>
      <c r="L109" s="163"/>
      <c r="M109" s="163"/>
      <c r="N109" s="163"/>
      <c r="O109" s="163"/>
      <c r="P109" s="163"/>
      <c r="Q109" s="163"/>
      <c r="R109" s="163"/>
      <c r="S109" s="163"/>
      <c r="T109" s="163"/>
      <c r="U109" s="163"/>
      <c r="V109" s="222"/>
      <c r="W109" s="163"/>
      <c r="X109" s="163"/>
      <c r="Y109" s="172" t="s">
        <v>400</v>
      </c>
      <c r="Z109" s="163"/>
      <c r="AA109" s="163"/>
      <c r="AB109" s="163"/>
      <c r="AC109" s="163"/>
      <c r="AD109" s="163"/>
      <c r="AE109" s="163"/>
      <c r="AF109" s="163"/>
      <c r="AG109" s="163"/>
      <c r="AH109" s="163"/>
      <c r="AI109" s="163"/>
      <c r="AJ109" s="163"/>
      <c r="AK109" s="163"/>
      <c r="AL109" s="163"/>
      <c r="AM109" s="163"/>
      <c r="AN109" s="163"/>
      <c r="AO109" s="163"/>
      <c r="AP109" s="173"/>
    </row>
    <row r="110" spans="3:42" x14ac:dyDescent="0.25">
      <c r="C110" s="799"/>
      <c r="D110" s="800"/>
      <c r="E110" s="801"/>
      <c r="F110" s="802"/>
      <c r="G110" s="802"/>
      <c r="H110" s="802"/>
      <c r="I110" s="802"/>
      <c r="J110" s="802"/>
      <c r="K110" s="802"/>
      <c r="L110" s="802"/>
      <c r="M110" s="802"/>
      <c r="N110" s="802"/>
      <c r="O110" s="802"/>
      <c r="P110" s="802"/>
      <c r="Q110" s="802"/>
      <c r="R110" s="802"/>
      <c r="S110" s="802"/>
      <c r="T110" s="803"/>
      <c r="U110" s="163"/>
      <c r="V110" s="222"/>
      <c r="W110" s="223"/>
      <c r="X110" s="163"/>
      <c r="Y110" s="801"/>
      <c r="Z110" s="802"/>
      <c r="AA110" s="802"/>
      <c r="AB110" s="802"/>
      <c r="AC110" s="802"/>
      <c r="AD110" s="802"/>
      <c r="AE110" s="802"/>
      <c r="AF110" s="802"/>
      <c r="AG110" s="802"/>
      <c r="AH110" s="802"/>
      <c r="AI110" s="802"/>
      <c r="AJ110" s="802"/>
      <c r="AK110" s="802"/>
      <c r="AL110" s="802"/>
      <c r="AM110" s="802"/>
      <c r="AN110" s="803"/>
      <c r="AO110" s="163"/>
      <c r="AP110" s="173"/>
    </row>
    <row r="111" spans="3:42" x14ac:dyDescent="0.25">
      <c r="C111" s="797"/>
      <c r="D111" s="798"/>
      <c r="E111" s="244"/>
      <c r="F111" s="244"/>
      <c r="G111" s="244"/>
      <c r="H111" s="244"/>
      <c r="I111" s="244"/>
      <c r="J111" s="244"/>
      <c r="K111" s="244"/>
      <c r="L111" s="244"/>
      <c r="M111" s="244"/>
      <c r="N111" s="244"/>
      <c r="O111" s="244"/>
      <c r="P111" s="244"/>
      <c r="Q111" s="244"/>
      <c r="R111" s="244"/>
      <c r="S111" s="244"/>
      <c r="T111" s="244"/>
      <c r="U111" s="244"/>
      <c r="V111" s="244"/>
      <c r="W111" s="244"/>
      <c r="X111" s="244"/>
      <c r="Y111" s="244"/>
      <c r="Z111" s="244"/>
      <c r="AA111" s="244"/>
      <c r="AB111" s="244"/>
      <c r="AC111" s="244"/>
      <c r="AD111" s="244"/>
      <c r="AE111" s="244"/>
      <c r="AF111" s="244"/>
      <c r="AG111" s="244"/>
      <c r="AH111" s="244"/>
      <c r="AI111" s="244"/>
      <c r="AJ111" s="244"/>
      <c r="AK111" s="244"/>
      <c r="AL111" s="244"/>
      <c r="AM111" s="244"/>
      <c r="AN111" s="244"/>
      <c r="AO111" s="244"/>
      <c r="AP111" s="245"/>
    </row>
    <row r="112" spans="3:42" x14ac:dyDescent="0.25">
      <c r="C112" s="792"/>
      <c r="D112" s="568"/>
    </row>
    <row r="113" spans="3:4" x14ac:dyDescent="0.25">
      <c r="C113" s="792"/>
      <c r="D113" s="568"/>
    </row>
    <row r="114" spans="3:4" x14ac:dyDescent="0.25">
      <c r="C114" s="792"/>
      <c r="D114" s="568"/>
    </row>
    <row r="115" spans="3:4" x14ac:dyDescent="0.25">
      <c r="C115" s="792"/>
      <c r="D115" s="568"/>
    </row>
    <row r="116" spans="3:4" x14ac:dyDescent="0.25">
      <c r="C116" s="792"/>
      <c r="D116" s="568"/>
    </row>
    <row r="117" spans="3:4" x14ac:dyDescent="0.25">
      <c r="C117" s="792"/>
      <c r="D117" s="568"/>
    </row>
    <row r="118" spans="3:4" x14ac:dyDescent="0.25">
      <c r="C118" s="792"/>
      <c r="D118" s="568"/>
    </row>
    <row r="119" spans="3:4" x14ac:dyDescent="0.25">
      <c r="C119" s="792"/>
      <c r="D119" s="568"/>
    </row>
    <row r="120" spans="3:4" x14ac:dyDescent="0.25">
      <c r="C120" s="792"/>
      <c r="D120" s="568"/>
    </row>
    <row r="121" spans="3:4" x14ac:dyDescent="0.25">
      <c r="C121" s="792"/>
      <c r="D121" s="568"/>
    </row>
    <row r="122" spans="3:4" x14ac:dyDescent="0.25">
      <c r="C122" s="792"/>
      <c r="D122" s="568"/>
    </row>
    <row r="123" spans="3:4" x14ac:dyDescent="0.25">
      <c r="C123" s="792"/>
      <c r="D123" s="568"/>
    </row>
    <row r="124" spans="3:4" x14ac:dyDescent="0.25">
      <c r="C124" s="792"/>
      <c r="D124" s="568"/>
    </row>
    <row r="125" spans="3:4" x14ac:dyDescent="0.25">
      <c r="C125" s="792"/>
      <c r="D125" s="568"/>
    </row>
    <row r="126" spans="3:4" x14ac:dyDescent="0.25">
      <c r="C126" s="792"/>
      <c r="D126" s="568"/>
    </row>
    <row r="127" spans="3:4" x14ac:dyDescent="0.25">
      <c r="C127" s="792"/>
      <c r="D127" s="568"/>
    </row>
    <row r="128" spans="3:4" x14ac:dyDescent="0.25">
      <c r="C128" s="792"/>
      <c r="D128" s="568"/>
    </row>
    <row r="129" spans="3:4" x14ac:dyDescent="0.25">
      <c r="C129" s="792"/>
      <c r="D129" s="568"/>
    </row>
  </sheetData>
  <mergeCells count="618">
    <mergeCell ref="O5:AG7"/>
    <mergeCell ref="AI5:AO9"/>
    <mergeCell ref="O9:AG11"/>
    <mergeCell ref="C19:D21"/>
    <mergeCell ref="E19:K21"/>
    <mergeCell ref="L19:O21"/>
    <mergeCell ref="P19:R21"/>
    <mergeCell ref="S19:V21"/>
    <mergeCell ref="W19:Z21"/>
    <mergeCell ref="AA19:AD21"/>
    <mergeCell ref="AE19:AH21"/>
    <mergeCell ref="AI19:AL21"/>
    <mergeCell ref="AM19:AP21"/>
    <mergeCell ref="AM22:AP22"/>
    <mergeCell ref="C23:D23"/>
    <mergeCell ref="E23:K23"/>
    <mergeCell ref="L23:O23"/>
    <mergeCell ref="P23:R23"/>
    <mergeCell ref="S23:V23"/>
    <mergeCell ref="W23:Z23"/>
    <mergeCell ref="AA23:AD23"/>
    <mergeCell ref="AE23:AH23"/>
    <mergeCell ref="AI23:AL23"/>
    <mergeCell ref="AM23:AP23"/>
    <mergeCell ref="C22:D22"/>
    <mergeCell ref="E22:K22"/>
    <mergeCell ref="L22:O22"/>
    <mergeCell ref="P22:R22"/>
    <mergeCell ref="S22:V22"/>
    <mergeCell ref="W22:Z22"/>
    <mergeCell ref="AA22:AD22"/>
    <mergeCell ref="AE22:AH22"/>
    <mergeCell ref="AI22:AL22"/>
    <mergeCell ref="AM24:AP24"/>
    <mergeCell ref="C25:D25"/>
    <mergeCell ref="E25:K25"/>
    <mergeCell ref="L25:O25"/>
    <mergeCell ref="P25:R25"/>
    <mergeCell ref="S25:V25"/>
    <mergeCell ref="W25:Z25"/>
    <mergeCell ref="AA25:AD25"/>
    <mergeCell ref="AE25:AH25"/>
    <mergeCell ref="AI25:AL25"/>
    <mergeCell ref="AM25:AP25"/>
    <mergeCell ref="C24:D24"/>
    <mergeCell ref="E24:K24"/>
    <mergeCell ref="L24:O24"/>
    <mergeCell ref="P24:R24"/>
    <mergeCell ref="S24:V24"/>
    <mergeCell ref="W24:Z24"/>
    <mergeCell ref="AA24:AD24"/>
    <mergeCell ref="AE24:AH24"/>
    <mergeCell ref="AI24:AL24"/>
    <mergeCell ref="AM26:AP26"/>
    <mergeCell ref="C27:D27"/>
    <mergeCell ref="E27:K27"/>
    <mergeCell ref="L27:O27"/>
    <mergeCell ref="P27:R27"/>
    <mergeCell ref="S27:V27"/>
    <mergeCell ref="W27:Z27"/>
    <mergeCell ref="AA27:AD27"/>
    <mergeCell ref="AE27:AH27"/>
    <mergeCell ref="AI27:AL27"/>
    <mergeCell ref="AM27:AP27"/>
    <mergeCell ref="C26:D26"/>
    <mergeCell ref="E26:K26"/>
    <mergeCell ref="L26:O26"/>
    <mergeCell ref="P26:R26"/>
    <mergeCell ref="S26:V26"/>
    <mergeCell ref="W26:Z26"/>
    <mergeCell ref="AA26:AD26"/>
    <mergeCell ref="AE26:AH26"/>
    <mergeCell ref="AI26:AL26"/>
    <mergeCell ref="AM28:AP28"/>
    <mergeCell ref="C29:D29"/>
    <mergeCell ref="E29:K29"/>
    <mergeCell ref="L29:O29"/>
    <mergeCell ref="P29:R29"/>
    <mergeCell ref="S29:V29"/>
    <mergeCell ref="W29:Z29"/>
    <mergeCell ref="AA29:AD29"/>
    <mergeCell ref="AE29:AH29"/>
    <mergeCell ref="AI29:AL29"/>
    <mergeCell ref="AM29:AP29"/>
    <mergeCell ref="C28:D28"/>
    <mergeCell ref="E28:K28"/>
    <mergeCell ref="L28:O28"/>
    <mergeCell ref="P28:R28"/>
    <mergeCell ref="S28:V28"/>
    <mergeCell ref="W28:Z28"/>
    <mergeCell ref="AA28:AD28"/>
    <mergeCell ref="AE28:AH28"/>
    <mergeCell ref="AI28:AL28"/>
    <mergeCell ref="AM30:AP30"/>
    <mergeCell ref="C33:D33"/>
    <mergeCell ref="E33:K33"/>
    <mergeCell ref="L33:O33"/>
    <mergeCell ref="P33:R33"/>
    <mergeCell ref="S33:V33"/>
    <mergeCell ref="W33:Z33"/>
    <mergeCell ref="AA33:AD33"/>
    <mergeCell ref="AE33:AH33"/>
    <mergeCell ref="AI33:AL33"/>
    <mergeCell ref="AM33:AP33"/>
    <mergeCell ref="AM31:AP31"/>
    <mergeCell ref="AM32:AP32"/>
    <mergeCell ref="C30:D30"/>
    <mergeCell ref="E30:K30"/>
    <mergeCell ref="L30:O30"/>
    <mergeCell ref="P30:R30"/>
    <mergeCell ref="S30:V30"/>
    <mergeCell ref="W30:Z30"/>
    <mergeCell ref="AA30:AD30"/>
    <mergeCell ref="AE30:AH30"/>
    <mergeCell ref="AI30:AL30"/>
    <mergeCell ref="AE31:AH31"/>
    <mergeCell ref="AE32:AH32"/>
    <mergeCell ref="C34:D34"/>
    <mergeCell ref="E34:K34"/>
    <mergeCell ref="L34:O34"/>
    <mergeCell ref="P34:R34"/>
    <mergeCell ref="S34:V34"/>
    <mergeCell ref="W34:Z34"/>
    <mergeCell ref="AA34:AD34"/>
    <mergeCell ref="AE34:AH34"/>
    <mergeCell ref="AI34:AL34"/>
    <mergeCell ref="C35:D35"/>
    <mergeCell ref="E35:K35"/>
    <mergeCell ref="L35:O35"/>
    <mergeCell ref="P35:R35"/>
    <mergeCell ref="S35:V35"/>
    <mergeCell ref="W35:Z35"/>
    <mergeCell ref="AA35:AD35"/>
    <mergeCell ref="AE35:AH35"/>
    <mergeCell ref="AI35:AL35"/>
    <mergeCell ref="C36:D36"/>
    <mergeCell ref="E36:K36"/>
    <mergeCell ref="L36:O36"/>
    <mergeCell ref="P36:R36"/>
    <mergeCell ref="S36:V36"/>
    <mergeCell ref="W36:Z36"/>
    <mergeCell ref="AA36:AD36"/>
    <mergeCell ref="AE36:AH36"/>
    <mergeCell ref="AI36:AL36"/>
    <mergeCell ref="C37:D37"/>
    <mergeCell ref="E37:K37"/>
    <mergeCell ref="L37:O37"/>
    <mergeCell ref="P37:R37"/>
    <mergeCell ref="S37:V37"/>
    <mergeCell ref="W37:Z37"/>
    <mergeCell ref="AA37:AD37"/>
    <mergeCell ref="AM38:AP38"/>
    <mergeCell ref="AM37:AP37"/>
    <mergeCell ref="AE38:AH38"/>
    <mergeCell ref="AI38:AL38"/>
    <mergeCell ref="AM49:AP49"/>
    <mergeCell ref="C48:D48"/>
    <mergeCell ref="E48:K48"/>
    <mergeCell ref="L48:O48"/>
    <mergeCell ref="P48:R48"/>
    <mergeCell ref="S48:V48"/>
    <mergeCell ref="W48:Z48"/>
    <mergeCell ref="AA48:AD48"/>
    <mergeCell ref="AE37:AH37"/>
    <mergeCell ref="AI37:AL37"/>
    <mergeCell ref="C38:D38"/>
    <mergeCell ref="E38:K38"/>
    <mergeCell ref="L38:O38"/>
    <mergeCell ref="P38:R38"/>
    <mergeCell ref="S38:V38"/>
    <mergeCell ref="W38:Z38"/>
    <mergeCell ref="AA38:AD38"/>
    <mergeCell ref="AE48:AH48"/>
    <mergeCell ref="AI48:AL48"/>
    <mergeCell ref="C39:D39"/>
    <mergeCell ref="E39:K39"/>
    <mergeCell ref="L39:O39"/>
    <mergeCell ref="P39:R39"/>
    <mergeCell ref="S39:V39"/>
    <mergeCell ref="C49:D49"/>
    <mergeCell ref="E49:K49"/>
    <mergeCell ref="L49:O49"/>
    <mergeCell ref="P49:R49"/>
    <mergeCell ref="S49:V49"/>
    <mergeCell ref="W49:Z49"/>
    <mergeCell ref="AA49:AD49"/>
    <mergeCell ref="AE49:AH49"/>
    <mergeCell ref="AI49:AL49"/>
    <mergeCell ref="C50:D50"/>
    <mergeCell ref="E50:K50"/>
    <mergeCell ref="L50:O50"/>
    <mergeCell ref="P50:R50"/>
    <mergeCell ref="S50:V50"/>
    <mergeCell ref="W50:Z50"/>
    <mergeCell ref="AA50:AD50"/>
    <mergeCell ref="AE50:AH50"/>
    <mergeCell ref="AI50:AL50"/>
    <mergeCell ref="C51:D51"/>
    <mergeCell ref="E51:K51"/>
    <mergeCell ref="L51:O51"/>
    <mergeCell ref="P51:R51"/>
    <mergeCell ref="S51:V51"/>
    <mergeCell ref="W51:Z51"/>
    <mergeCell ref="AA51:AD51"/>
    <mergeCell ref="AE51:AH51"/>
    <mergeCell ref="AI51:AL51"/>
    <mergeCell ref="C52:D52"/>
    <mergeCell ref="E52:K52"/>
    <mergeCell ref="L52:O52"/>
    <mergeCell ref="P52:R52"/>
    <mergeCell ref="S52:V52"/>
    <mergeCell ref="W52:Z52"/>
    <mergeCell ref="AA52:AD52"/>
    <mergeCell ref="AE52:AH52"/>
    <mergeCell ref="AI52:AL52"/>
    <mergeCell ref="C53:D53"/>
    <mergeCell ref="E53:K53"/>
    <mergeCell ref="L53:O53"/>
    <mergeCell ref="P53:R53"/>
    <mergeCell ref="S53:V53"/>
    <mergeCell ref="W53:Z53"/>
    <mergeCell ref="AA53:AD53"/>
    <mergeCell ref="AE53:AH53"/>
    <mergeCell ref="AI53:AL53"/>
    <mergeCell ref="C54:D54"/>
    <mergeCell ref="E54:K54"/>
    <mergeCell ref="L54:O54"/>
    <mergeCell ref="P54:R54"/>
    <mergeCell ref="S54:V54"/>
    <mergeCell ref="W54:Z54"/>
    <mergeCell ref="AA54:AD54"/>
    <mergeCell ref="AE54:AH54"/>
    <mergeCell ref="AI54:AL54"/>
    <mergeCell ref="C55:D55"/>
    <mergeCell ref="E55:K55"/>
    <mergeCell ref="L55:O55"/>
    <mergeCell ref="P55:R55"/>
    <mergeCell ref="S55:V55"/>
    <mergeCell ref="W55:Z55"/>
    <mergeCell ref="AA55:AD55"/>
    <mergeCell ref="AE55:AH55"/>
    <mergeCell ref="AI55:AL55"/>
    <mergeCell ref="C56:D56"/>
    <mergeCell ref="E56:K56"/>
    <mergeCell ref="L56:O56"/>
    <mergeCell ref="P56:R56"/>
    <mergeCell ref="S56:V56"/>
    <mergeCell ref="W56:Z56"/>
    <mergeCell ref="AA56:AD56"/>
    <mergeCell ref="AE56:AH56"/>
    <mergeCell ref="AI56:AL56"/>
    <mergeCell ref="C57:D57"/>
    <mergeCell ref="E57:K57"/>
    <mergeCell ref="L57:O57"/>
    <mergeCell ref="P57:R57"/>
    <mergeCell ref="S57:V57"/>
    <mergeCell ref="W57:Z57"/>
    <mergeCell ref="AA57:AD57"/>
    <mergeCell ref="AE57:AH57"/>
    <mergeCell ref="AI57:AL57"/>
    <mergeCell ref="C58:D58"/>
    <mergeCell ref="E58:K58"/>
    <mergeCell ref="L58:O58"/>
    <mergeCell ref="P58:R58"/>
    <mergeCell ref="S58:V58"/>
    <mergeCell ref="W58:Z58"/>
    <mergeCell ref="AA58:AD58"/>
    <mergeCell ref="AE58:AH58"/>
    <mergeCell ref="AI58:AL58"/>
    <mergeCell ref="C59:D59"/>
    <mergeCell ref="E59:K59"/>
    <mergeCell ref="L59:O59"/>
    <mergeCell ref="P59:R59"/>
    <mergeCell ref="S59:V59"/>
    <mergeCell ref="W59:Z59"/>
    <mergeCell ref="AA59:AD59"/>
    <mergeCell ref="AE59:AH59"/>
    <mergeCell ref="AI59:AL59"/>
    <mergeCell ref="AE60:AH60"/>
    <mergeCell ref="AI60:AL60"/>
    <mergeCell ref="AM60:AP60"/>
    <mergeCell ref="C61:D61"/>
    <mergeCell ref="E61:K61"/>
    <mergeCell ref="L61:O61"/>
    <mergeCell ref="P61:R61"/>
    <mergeCell ref="S61:V61"/>
    <mergeCell ref="W61:Z61"/>
    <mergeCell ref="AA61:AD61"/>
    <mergeCell ref="C60:D60"/>
    <mergeCell ref="E60:K60"/>
    <mergeCell ref="L60:O60"/>
    <mergeCell ref="P60:R60"/>
    <mergeCell ref="S60:V60"/>
    <mergeCell ref="W60:Z60"/>
    <mergeCell ref="AA60:AD60"/>
    <mergeCell ref="AE61:AH61"/>
    <mergeCell ref="AI61:AL61"/>
    <mergeCell ref="C68:D68"/>
    <mergeCell ref="E68:U68"/>
    <mergeCell ref="W68:X68"/>
    <mergeCell ref="Y68:AP68"/>
    <mergeCell ref="C69:D69"/>
    <mergeCell ref="W69:X69"/>
    <mergeCell ref="Y69:AL69"/>
    <mergeCell ref="AM69:AP69"/>
    <mergeCell ref="C66:D67"/>
    <mergeCell ref="E66:U67"/>
    <mergeCell ref="W66:X67"/>
    <mergeCell ref="Y66:AP67"/>
    <mergeCell ref="C71:D71"/>
    <mergeCell ref="E71:P71"/>
    <mergeCell ref="Q71:U71"/>
    <mergeCell ref="W71:X71"/>
    <mergeCell ref="Y71:AL71"/>
    <mergeCell ref="AM71:AP71"/>
    <mergeCell ref="C70:D70"/>
    <mergeCell ref="E70:P70"/>
    <mergeCell ref="Q70:U70"/>
    <mergeCell ref="W70:X70"/>
    <mergeCell ref="Y70:AL70"/>
    <mergeCell ref="AM70:AP70"/>
    <mergeCell ref="C73:D73"/>
    <mergeCell ref="E73:P73"/>
    <mergeCell ref="Q73:U73"/>
    <mergeCell ref="W73:X73"/>
    <mergeCell ref="Y73:AL73"/>
    <mergeCell ref="AM73:AP73"/>
    <mergeCell ref="C72:D72"/>
    <mergeCell ref="E72:P72"/>
    <mergeCell ref="Q72:U72"/>
    <mergeCell ref="W72:X72"/>
    <mergeCell ref="Y72:AL72"/>
    <mergeCell ref="AM72:AP72"/>
    <mergeCell ref="C75:D75"/>
    <mergeCell ref="E75:P75"/>
    <mergeCell ref="Q75:U75"/>
    <mergeCell ref="W75:X75"/>
    <mergeCell ref="Y75:AL75"/>
    <mergeCell ref="AM75:AP75"/>
    <mergeCell ref="C74:D74"/>
    <mergeCell ref="E74:P74"/>
    <mergeCell ref="Q74:U74"/>
    <mergeCell ref="W74:X74"/>
    <mergeCell ref="Y74:AL74"/>
    <mergeCell ref="AM74:AP74"/>
    <mergeCell ref="C79:D79"/>
    <mergeCell ref="E79:P79"/>
    <mergeCell ref="Q79:U79"/>
    <mergeCell ref="W79:X79"/>
    <mergeCell ref="Y79:AL79"/>
    <mergeCell ref="AM79:AP79"/>
    <mergeCell ref="C76:D76"/>
    <mergeCell ref="E76:P76"/>
    <mergeCell ref="Q76:U76"/>
    <mergeCell ref="W76:X76"/>
    <mergeCell ref="Y76:AL76"/>
    <mergeCell ref="AM76:AP76"/>
    <mergeCell ref="W78:X78"/>
    <mergeCell ref="Y78:AL78"/>
    <mergeCell ref="AM78:AP78"/>
    <mergeCell ref="C77:D77"/>
    <mergeCell ref="E77:P77"/>
    <mergeCell ref="Q77:U77"/>
    <mergeCell ref="W77:X77"/>
    <mergeCell ref="Y77:AL77"/>
    <mergeCell ref="AM77:AP77"/>
    <mergeCell ref="C78:D78"/>
    <mergeCell ref="E78:P78"/>
    <mergeCell ref="Q78:U78"/>
    <mergeCell ref="W80:X80"/>
    <mergeCell ref="Y80:AL80"/>
    <mergeCell ref="AM80:AP80"/>
    <mergeCell ref="C81:D81"/>
    <mergeCell ref="E81:P81"/>
    <mergeCell ref="Q81:U81"/>
    <mergeCell ref="W81:X81"/>
    <mergeCell ref="Y81:AL81"/>
    <mergeCell ref="AM81:AP81"/>
    <mergeCell ref="C80:D80"/>
    <mergeCell ref="E80:P80"/>
    <mergeCell ref="Q80:U80"/>
    <mergeCell ref="W82:X82"/>
    <mergeCell ref="Y82:AL82"/>
    <mergeCell ref="AM82:AP82"/>
    <mergeCell ref="C83:D83"/>
    <mergeCell ref="E83:P83"/>
    <mergeCell ref="Q83:U83"/>
    <mergeCell ref="W83:X83"/>
    <mergeCell ref="Y83:AL83"/>
    <mergeCell ref="AM83:AP83"/>
    <mergeCell ref="C82:D82"/>
    <mergeCell ref="E82:P82"/>
    <mergeCell ref="Q82:U82"/>
    <mergeCell ref="W84:X84"/>
    <mergeCell ref="Y84:AL84"/>
    <mergeCell ref="AM84:AP84"/>
    <mergeCell ref="C85:D85"/>
    <mergeCell ref="E85:P85"/>
    <mergeCell ref="Q85:U85"/>
    <mergeCell ref="W85:X85"/>
    <mergeCell ref="Y85:AL85"/>
    <mergeCell ref="AM85:AP85"/>
    <mergeCell ref="C84:D84"/>
    <mergeCell ref="E84:P84"/>
    <mergeCell ref="Q84:U84"/>
    <mergeCell ref="W86:X86"/>
    <mergeCell ref="Y86:AL86"/>
    <mergeCell ref="AM86:AP86"/>
    <mergeCell ref="C87:D87"/>
    <mergeCell ref="E87:P87"/>
    <mergeCell ref="Q87:U87"/>
    <mergeCell ref="W87:X87"/>
    <mergeCell ref="Y87:AL87"/>
    <mergeCell ref="AM87:AP87"/>
    <mergeCell ref="C86:D86"/>
    <mergeCell ref="E86:P86"/>
    <mergeCell ref="Q86:U86"/>
    <mergeCell ref="C90:D90"/>
    <mergeCell ref="E90:P90"/>
    <mergeCell ref="Q90:U90"/>
    <mergeCell ref="W88:X88"/>
    <mergeCell ref="Y88:AL88"/>
    <mergeCell ref="AM88:AP88"/>
    <mergeCell ref="C89:D89"/>
    <mergeCell ref="E89:P89"/>
    <mergeCell ref="Q89:U89"/>
    <mergeCell ref="C88:D88"/>
    <mergeCell ref="E88:P88"/>
    <mergeCell ref="Q88:U88"/>
    <mergeCell ref="Y91:AL91"/>
    <mergeCell ref="AM91:AP91"/>
    <mergeCell ref="E110:T110"/>
    <mergeCell ref="Y110:AN110"/>
    <mergeCell ref="C101:D101"/>
    <mergeCell ref="C102:D102"/>
    <mergeCell ref="C103:D103"/>
    <mergeCell ref="C104:D104"/>
    <mergeCell ref="C105:D105"/>
    <mergeCell ref="C106:D106"/>
    <mergeCell ref="C99:D99"/>
    <mergeCell ref="E99:P99"/>
    <mergeCell ref="Q99:U99"/>
    <mergeCell ref="C98:D98"/>
    <mergeCell ref="E98:P98"/>
    <mergeCell ref="Q98:U98"/>
    <mergeCell ref="W92:X92"/>
    <mergeCell ref="Y92:AL92"/>
    <mergeCell ref="AM92:AP92"/>
    <mergeCell ref="C93:D93"/>
    <mergeCell ref="E93:P93"/>
    <mergeCell ref="Q93:U93"/>
    <mergeCell ref="C113:D113"/>
    <mergeCell ref="C114:D114"/>
    <mergeCell ref="C115:D115"/>
    <mergeCell ref="C116:D116"/>
    <mergeCell ref="C107:D107"/>
    <mergeCell ref="C108:D108"/>
    <mergeCell ref="C109:D109"/>
    <mergeCell ref="C110:D110"/>
    <mergeCell ref="W91:X91"/>
    <mergeCell ref="C129:D129"/>
    <mergeCell ref="C31:D31"/>
    <mergeCell ref="C32:D32"/>
    <mergeCell ref="E31:K31"/>
    <mergeCell ref="E32:K32"/>
    <mergeCell ref="L31:O31"/>
    <mergeCell ref="L32:O32"/>
    <mergeCell ref="C96:D96"/>
    <mergeCell ref="C97:D97"/>
    <mergeCell ref="E96:P96"/>
    <mergeCell ref="C123:D123"/>
    <mergeCell ref="C124:D124"/>
    <mergeCell ref="C125:D125"/>
    <mergeCell ref="C126:D126"/>
    <mergeCell ref="C127:D127"/>
    <mergeCell ref="C128:D128"/>
    <mergeCell ref="C117:D117"/>
    <mergeCell ref="C118:D118"/>
    <mergeCell ref="C119:D119"/>
    <mergeCell ref="C120:D120"/>
    <mergeCell ref="C121:D121"/>
    <mergeCell ref="C122:D122"/>
    <mergeCell ref="C111:D111"/>
    <mergeCell ref="C112:D112"/>
    <mergeCell ref="AI31:AL31"/>
    <mergeCell ref="AI32:AL32"/>
    <mergeCell ref="P31:R31"/>
    <mergeCell ref="P32:R32"/>
    <mergeCell ref="S31:V31"/>
    <mergeCell ref="S32:V32"/>
    <mergeCell ref="W31:Z31"/>
    <mergeCell ref="W32:Z32"/>
    <mergeCell ref="AM39:AP39"/>
    <mergeCell ref="AI39:AL39"/>
    <mergeCell ref="AA31:AD31"/>
    <mergeCell ref="AA32:AD32"/>
    <mergeCell ref="AM36:AP36"/>
    <mergeCell ref="AM34:AP34"/>
    <mergeCell ref="AM35:AP35"/>
    <mergeCell ref="C40:D40"/>
    <mergeCell ref="E40:K40"/>
    <mergeCell ref="L40:O40"/>
    <mergeCell ref="P40:R40"/>
    <mergeCell ref="S40:V40"/>
    <mergeCell ref="W40:Z40"/>
    <mergeCell ref="AA40:AD40"/>
    <mergeCell ref="AE40:AH40"/>
    <mergeCell ref="AI40:AL40"/>
    <mergeCell ref="AM40:AP40"/>
    <mergeCell ref="AA39:AD39"/>
    <mergeCell ref="AE39:AH39"/>
    <mergeCell ref="W39:Z39"/>
    <mergeCell ref="AM41:AP41"/>
    <mergeCell ref="C42:D42"/>
    <mergeCell ref="E42:K42"/>
    <mergeCell ref="L42:O42"/>
    <mergeCell ref="P42:R42"/>
    <mergeCell ref="S42:V42"/>
    <mergeCell ref="W42:Z42"/>
    <mergeCell ref="AA42:AD42"/>
    <mergeCell ref="AE42:AH42"/>
    <mergeCell ref="AI42:AL42"/>
    <mergeCell ref="AM42:AP42"/>
    <mergeCell ref="C41:D41"/>
    <mergeCell ref="E41:K41"/>
    <mergeCell ref="L41:O41"/>
    <mergeCell ref="P41:R41"/>
    <mergeCell ref="S41:V41"/>
    <mergeCell ref="W41:Z41"/>
    <mergeCell ref="AA41:AD41"/>
    <mergeCell ref="AE41:AH41"/>
    <mergeCell ref="AI41:AL41"/>
    <mergeCell ref="AM43:AP43"/>
    <mergeCell ref="C44:D44"/>
    <mergeCell ref="E44:K44"/>
    <mergeCell ref="L44:O44"/>
    <mergeCell ref="P44:R44"/>
    <mergeCell ref="S44:V44"/>
    <mergeCell ref="W44:Z44"/>
    <mergeCell ref="AA44:AD44"/>
    <mergeCell ref="AE44:AH44"/>
    <mergeCell ref="AI44:AL44"/>
    <mergeCell ref="AM44:AP44"/>
    <mergeCell ref="C43:D43"/>
    <mergeCell ref="E43:K43"/>
    <mergeCell ref="L43:O43"/>
    <mergeCell ref="P43:R43"/>
    <mergeCell ref="S43:V43"/>
    <mergeCell ref="W43:Z43"/>
    <mergeCell ref="AA43:AD43"/>
    <mergeCell ref="AE43:AH43"/>
    <mergeCell ref="AI43:AL43"/>
    <mergeCell ref="C45:D45"/>
    <mergeCell ref="E45:K45"/>
    <mergeCell ref="L45:O45"/>
    <mergeCell ref="P45:R45"/>
    <mergeCell ref="S45:V45"/>
    <mergeCell ref="W45:Z45"/>
    <mergeCell ref="AA45:AD45"/>
    <mergeCell ref="AE45:AH45"/>
    <mergeCell ref="AI45:AL45"/>
    <mergeCell ref="C46:D46"/>
    <mergeCell ref="E46:K46"/>
    <mergeCell ref="L46:O46"/>
    <mergeCell ref="P46:R46"/>
    <mergeCell ref="S46:V46"/>
    <mergeCell ref="W46:Z46"/>
    <mergeCell ref="AA46:AD46"/>
    <mergeCell ref="AE46:AH46"/>
    <mergeCell ref="AI46:AL46"/>
    <mergeCell ref="W47:Z47"/>
    <mergeCell ref="AA47:AD47"/>
    <mergeCell ref="AE47:AH47"/>
    <mergeCell ref="E97:P97"/>
    <mergeCell ref="Q94:U94"/>
    <mergeCell ref="Q95:U95"/>
    <mergeCell ref="Q96:U96"/>
    <mergeCell ref="Q97:U97"/>
    <mergeCell ref="AM45:AP45"/>
    <mergeCell ref="AM46:AP46"/>
    <mergeCell ref="Y89:AL89"/>
    <mergeCell ref="AM89:AP89"/>
    <mergeCell ref="AM61:AP61"/>
    <mergeCell ref="AM58:AP58"/>
    <mergeCell ref="AM59:AP59"/>
    <mergeCell ref="AM56:AP56"/>
    <mergeCell ref="AM57:AP57"/>
    <mergeCell ref="AM54:AP54"/>
    <mergeCell ref="AM55:AP55"/>
    <mergeCell ref="AM52:AP52"/>
    <mergeCell ref="AM53:AP53"/>
    <mergeCell ref="AM50:AP50"/>
    <mergeCell ref="AM51:AP51"/>
    <mergeCell ref="AM48:AP48"/>
    <mergeCell ref="AI47:AL47"/>
    <mergeCell ref="AM47:AP47"/>
    <mergeCell ref="E95:P95"/>
    <mergeCell ref="C95:D95"/>
    <mergeCell ref="E94:P94"/>
    <mergeCell ref="C94:D94"/>
    <mergeCell ref="W93:X93"/>
    <mergeCell ref="Y93:AL93"/>
    <mergeCell ref="AM93:AP93"/>
    <mergeCell ref="C92:D92"/>
    <mergeCell ref="E92:P92"/>
    <mergeCell ref="Q92:U92"/>
    <mergeCell ref="W90:X90"/>
    <mergeCell ref="Y90:AL90"/>
    <mergeCell ref="AM90:AP90"/>
    <mergeCell ref="C91:D91"/>
    <mergeCell ref="E91:P91"/>
    <mergeCell ref="Q91:U91"/>
    <mergeCell ref="W89:X89"/>
    <mergeCell ref="C47:D47"/>
    <mergeCell ref="E47:K47"/>
    <mergeCell ref="L47:O47"/>
    <mergeCell ref="P47:R47"/>
    <mergeCell ref="S47:V47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F9393-CF6D-4629-B66E-079CCBA76288}">
  <sheetPr>
    <pageSetUpPr fitToPage="1"/>
  </sheetPr>
  <dimension ref="C4:BB93"/>
  <sheetViews>
    <sheetView showGridLines="0" topLeftCell="A8" zoomScale="85" zoomScaleNormal="85" workbookViewId="0">
      <selection activeCell="AS55" sqref="AS55"/>
    </sheetView>
  </sheetViews>
  <sheetFormatPr defaultRowHeight="15" x14ac:dyDescent="0.25"/>
  <cols>
    <col min="1" max="2" width="3.85546875" customWidth="1"/>
    <col min="3" max="3" width="4.28515625" customWidth="1"/>
    <col min="4" max="4" width="5.28515625" customWidth="1"/>
    <col min="5" max="5" width="4.42578125" customWidth="1"/>
    <col min="6" max="7" width="4.5703125" customWidth="1"/>
    <col min="8" max="8" width="4.42578125" customWidth="1"/>
    <col min="9" max="9" width="4.5703125" customWidth="1"/>
    <col min="10" max="10" width="4.7109375" customWidth="1"/>
    <col min="11" max="11" width="4.5703125" customWidth="1"/>
    <col min="12" max="14" width="4.28515625" customWidth="1"/>
    <col min="15" max="15" width="3.42578125" customWidth="1"/>
    <col min="16" max="20" width="4.28515625" customWidth="1"/>
    <col min="21" max="21" width="4" customWidth="1"/>
    <col min="22" max="34" width="4.28515625" customWidth="1"/>
    <col min="35" max="35" width="5.28515625" customWidth="1"/>
    <col min="36" max="36" width="4.28515625" customWidth="1"/>
    <col min="37" max="37" width="4.7109375" customWidth="1"/>
    <col min="38" max="45" width="4.28515625" customWidth="1"/>
  </cols>
  <sheetData>
    <row r="4" spans="3:44" x14ac:dyDescent="0.25">
      <c r="C4" s="190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2"/>
      <c r="O4" s="192"/>
      <c r="P4" s="192"/>
      <c r="Q4" s="192"/>
      <c r="R4" s="192"/>
      <c r="S4" s="192"/>
      <c r="T4" s="192"/>
      <c r="U4" s="192"/>
      <c r="V4" s="192"/>
      <c r="W4" s="192"/>
      <c r="X4" s="192"/>
      <c r="Y4" s="192"/>
      <c r="Z4" s="192"/>
      <c r="AA4" s="192"/>
      <c r="AB4" s="192"/>
      <c r="AC4" s="192"/>
      <c r="AD4" s="192"/>
      <c r="AE4" s="192"/>
      <c r="AF4" s="192"/>
      <c r="AG4" s="192"/>
      <c r="AH4" s="192"/>
      <c r="AI4" s="192"/>
      <c r="AJ4" s="192"/>
      <c r="AK4" s="192"/>
      <c r="AL4" s="192"/>
      <c r="AM4" s="192"/>
      <c r="AN4" s="192"/>
      <c r="AO4" s="192"/>
      <c r="AP4" s="193"/>
    </row>
    <row r="5" spans="3:44" ht="15.6" customHeight="1" x14ac:dyDescent="0.4">
      <c r="C5" s="194"/>
      <c r="D5" s="170" t="s">
        <v>202</v>
      </c>
      <c r="E5" s="14"/>
      <c r="F5" s="14"/>
      <c r="G5" s="14"/>
      <c r="H5" s="14"/>
      <c r="I5" s="14"/>
      <c r="J5" s="14"/>
      <c r="K5" s="14"/>
      <c r="L5" s="14"/>
      <c r="M5" s="14"/>
      <c r="N5" s="163"/>
      <c r="O5" s="247" t="s">
        <v>28</v>
      </c>
      <c r="P5" s="247" t="s">
        <v>638</v>
      </c>
      <c r="Q5" s="248"/>
      <c r="R5" s="248"/>
      <c r="S5" s="248"/>
      <c r="T5" s="248"/>
      <c r="U5" s="248"/>
      <c r="V5" s="248"/>
      <c r="W5" s="248"/>
      <c r="X5" s="248"/>
      <c r="Y5" s="248"/>
      <c r="Z5" s="248"/>
      <c r="AA5" s="248"/>
      <c r="AB5" s="248"/>
      <c r="AC5" s="248"/>
      <c r="AD5" s="248"/>
      <c r="AE5" s="248"/>
      <c r="AF5" s="248"/>
      <c r="AG5" s="248"/>
      <c r="AH5" s="163"/>
      <c r="AI5" s="887" t="s">
        <v>639</v>
      </c>
      <c r="AJ5" s="887"/>
      <c r="AK5" s="887"/>
      <c r="AL5" s="887"/>
      <c r="AM5" s="887"/>
      <c r="AN5" s="887"/>
      <c r="AO5" s="887"/>
      <c r="AP5" s="195"/>
    </row>
    <row r="6" spans="3:44" ht="2.65" customHeight="1" x14ac:dyDescent="0.4">
      <c r="C6" s="194"/>
      <c r="D6" s="14"/>
      <c r="E6" s="14"/>
      <c r="F6" s="14"/>
      <c r="G6" s="14"/>
      <c r="H6" s="14"/>
      <c r="I6" s="14"/>
      <c r="J6" s="14"/>
      <c r="K6" s="14"/>
      <c r="L6" s="14"/>
      <c r="M6" s="14"/>
      <c r="N6" s="163"/>
      <c r="O6" s="247"/>
      <c r="P6" s="247"/>
      <c r="Q6" s="248"/>
      <c r="R6" s="248"/>
      <c r="S6" s="248"/>
      <c r="T6" s="248"/>
      <c r="U6" s="248"/>
      <c r="V6" s="248"/>
      <c r="W6" s="248"/>
      <c r="X6" s="248"/>
      <c r="Y6" s="248"/>
      <c r="Z6" s="248"/>
      <c r="AA6" s="248"/>
      <c r="AB6" s="248"/>
      <c r="AC6" s="248"/>
      <c r="AD6" s="248"/>
      <c r="AE6" s="248"/>
      <c r="AF6" s="248"/>
      <c r="AG6" s="248"/>
      <c r="AH6" s="163"/>
      <c r="AI6" s="887"/>
      <c r="AJ6" s="887"/>
      <c r="AK6" s="887"/>
      <c r="AL6" s="887"/>
      <c r="AM6" s="887"/>
      <c r="AN6" s="887"/>
      <c r="AO6" s="887"/>
      <c r="AP6" s="195"/>
    </row>
    <row r="7" spans="3:44" ht="14.65" customHeight="1" x14ac:dyDescent="0.4">
      <c r="C7" s="194"/>
      <c r="D7" s="224" t="s">
        <v>305</v>
      </c>
      <c r="E7" s="225"/>
      <c r="F7" s="225"/>
      <c r="G7" s="225"/>
      <c r="H7" s="225"/>
      <c r="I7" s="225"/>
      <c r="J7" s="225"/>
      <c r="K7" s="225"/>
      <c r="L7" s="225"/>
      <c r="M7" s="225"/>
      <c r="N7" s="163"/>
      <c r="O7" s="247"/>
      <c r="P7" s="247" t="s">
        <v>425</v>
      </c>
      <c r="Q7" s="248"/>
      <c r="R7" s="248"/>
      <c r="S7" s="248"/>
      <c r="T7" s="248"/>
      <c r="U7" s="248"/>
      <c r="V7" s="248"/>
      <c r="W7" s="248"/>
      <c r="X7" s="248"/>
      <c r="Y7" s="248"/>
      <c r="Z7" s="248"/>
      <c r="AA7" s="248"/>
      <c r="AB7" s="248"/>
      <c r="AC7" s="248"/>
      <c r="AD7" s="248"/>
      <c r="AE7" s="248"/>
      <c r="AF7" s="248"/>
      <c r="AG7" s="248"/>
      <c r="AH7" s="163"/>
      <c r="AI7" s="887"/>
      <c r="AJ7" s="887"/>
      <c r="AK7" s="887"/>
      <c r="AL7" s="887"/>
      <c r="AM7" s="887"/>
      <c r="AN7" s="887"/>
      <c r="AO7" s="887"/>
      <c r="AP7" s="195"/>
    </row>
    <row r="8" spans="3:44" ht="2.65" customHeight="1" x14ac:dyDescent="0.35">
      <c r="C8" s="194"/>
      <c r="D8" s="226"/>
      <c r="E8" s="225"/>
      <c r="F8" s="225"/>
      <c r="G8" s="225"/>
      <c r="H8" s="225"/>
      <c r="I8" s="225"/>
      <c r="J8" s="225"/>
      <c r="K8" s="225"/>
      <c r="L8" s="225"/>
      <c r="M8" s="225"/>
      <c r="N8" s="163"/>
      <c r="O8" s="247"/>
      <c r="P8" s="247"/>
      <c r="Q8" s="163"/>
      <c r="R8" s="163"/>
      <c r="S8" s="163"/>
      <c r="T8" s="163"/>
      <c r="U8" s="163"/>
      <c r="V8" s="163"/>
      <c r="W8" s="163"/>
      <c r="X8" s="163"/>
      <c r="Y8" s="163"/>
      <c r="Z8" s="163"/>
      <c r="AA8" s="163"/>
      <c r="AB8" s="163"/>
      <c r="AC8" s="163"/>
      <c r="AD8" s="163"/>
      <c r="AE8" s="163"/>
      <c r="AF8" s="163"/>
      <c r="AG8" s="163"/>
      <c r="AH8" s="163"/>
      <c r="AI8" s="887"/>
      <c r="AJ8" s="887"/>
      <c r="AK8" s="887"/>
      <c r="AL8" s="887"/>
      <c r="AM8" s="887"/>
      <c r="AN8" s="887"/>
      <c r="AO8" s="887"/>
      <c r="AP8" s="195"/>
    </row>
    <row r="9" spans="3:44" ht="18.600000000000001" customHeight="1" x14ac:dyDescent="0.25">
      <c r="C9" s="194"/>
      <c r="D9" s="224" t="s">
        <v>422</v>
      </c>
      <c r="E9" s="227"/>
      <c r="F9" s="227"/>
      <c r="G9" s="227"/>
      <c r="H9" s="227"/>
      <c r="I9" s="227"/>
      <c r="J9" s="227"/>
      <c r="K9" s="227"/>
      <c r="L9" s="227"/>
      <c r="M9" s="227"/>
      <c r="N9" s="163"/>
      <c r="O9" s="247" t="s">
        <v>51</v>
      </c>
      <c r="P9" s="247" t="s">
        <v>426</v>
      </c>
      <c r="Q9" s="249"/>
      <c r="R9" s="249"/>
      <c r="S9" s="249"/>
      <c r="T9" s="249"/>
      <c r="U9" s="249"/>
      <c r="V9" s="249"/>
      <c r="W9" s="249"/>
      <c r="X9" s="249"/>
      <c r="Y9" s="249"/>
      <c r="Z9" s="249"/>
      <c r="AA9" s="249"/>
      <c r="AB9" s="249"/>
      <c r="AC9" s="249"/>
      <c r="AD9" s="249"/>
      <c r="AE9" s="249"/>
      <c r="AF9" s="249"/>
      <c r="AG9" s="249"/>
      <c r="AH9" s="163"/>
      <c r="AI9" s="887"/>
      <c r="AJ9" s="887"/>
      <c r="AK9" s="887"/>
      <c r="AL9" s="887"/>
      <c r="AM9" s="887"/>
      <c r="AN9" s="887"/>
      <c r="AO9" s="887"/>
      <c r="AP9" s="195"/>
    </row>
    <row r="10" spans="3:44" ht="2.65" customHeight="1" x14ac:dyDescent="0.25">
      <c r="C10" s="194"/>
      <c r="D10" s="226"/>
      <c r="E10" s="227"/>
      <c r="F10" s="227"/>
      <c r="G10" s="227"/>
      <c r="H10" s="227"/>
      <c r="I10" s="227"/>
      <c r="J10" s="227"/>
      <c r="K10" s="227"/>
      <c r="L10" s="227"/>
      <c r="M10" s="227"/>
      <c r="N10" s="163"/>
      <c r="O10" s="250"/>
      <c r="P10" s="250"/>
      <c r="Q10" s="249"/>
      <c r="R10" s="249"/>
      <c r="S10" s="249"/>
      <c r="T10" s="249"/>
      <c r="U10" s="249"/>
      <c r="V10" s="249"/>
      <c r="W10" s="249"/>
      <c r="X10" s="249"/>
      <c r="Y10" s="249"/>
      <c r="Z10" s="249"/>
      <c r="AA10" s="249"/>
      <c r="AB10" s="249"/>
      <c r="AC10" s="249"/>
      <c r="AD10" s="249"/>
      <c r="AE10" s="249"/>
      <c r="AF10" s="249"/>
      <c r="AG10" s="249"/>
      <c r="AH10" s="163"/>
      <c r="AI10" s="228"/>
      <c r="AJ10" s="228"/>
      <c r="AK10" s="228"/>
      <c r="AL10" s="228"/>
      <c r="AM10" s="228"/>
      <c r="AN10" s="228"/>
      <c r="AO10" s="228"/>
      <c r="AP10" s="195"/>
    </row>
    <row r="11" spans="3:44" ht="14.65" customHeight="1" x14ac:dyDescent="0.25">
      <c r="C11" s="194"/>
      <c r="D11" s="224" t="s">
        <v>423</v>
      </c>
      <c r="E11" s="227"/>
      <c r="F11" s="227"/>
      <c r="G11" s="227"/>
      <c r="H11" s="227"/>
      <c r="I11" s="227"/>
      <c r="J11" s="227"/>
      <c r="K11" s="227"/>
      <c r="L11" s="227"/>
      <c r="M11" s="227"/>
      <c r="N11" s="163"/>
      <c r="O11" s="250"/>
      <c r="P11" s="250"/>
      <c r="Q11" s="249"/>
      <c r="R11" s="249"/>
      <c r="S11" s="249"/>
      <c r="T11" s="249"/>
      <c r="U11" s="249"/>
      <c r="V11" s="249"/>
      <c r="W11" s="249"/>
      <c r="X11" s="249"/>
      <c r="Y11" s="249"/>
      <c r="Z11" s="249"/>
      <c r="AA11" s="249"/>
      <c r="AB11" s="249"/>
      <c r="AC11" s="249"/>
      <c r="AD11" s="249"/>
      <c r="AE11" s="249"/>
      <c r="AF11" s="249"/>
      <c r="AG11" s="249"/>
      <c r="AH11" s="163"/>
      <c r="AI11" s="229"/>
      <c r="AJ11" s="229"/>
      <c r="AK11" s="229"/>
      <c r="AL11" s="229"/>
      <c r="AM11" s="229"/>
      <c r="AN11" s="229"/>
      <c r="AO11" s="229"/>
      <c r="AP11" s="195"/>
    </row>
    <row r="12" spans="3:44" ht="2.65" customHeight="1" x14ac:dyDescent="0.25">
      <c r="C12" s="194"/>
      <c r="D12" s="226"/>
      <c r="E12" s="227"/>
      <c r="F12" s="227"/>
      <c r="G12" s="227"/>
      <c r="H12" s="227"/>
      <c r="I12" s="227"/>
      <c r="J12" s="227"/>
      <c r="K12" s="227"/>
      <c r="L12" s="227"/>
      <c r="M12" s="227"/>
      <c r="N12" s="163"/>
      <c r="O12" s="171"/>
      <c r="P12" s="172"/>
      <c r="Q12" s="163"/>
      <c r="R12" s="163"/>
      <c r="S12" s="163"/>
      <c r="T12" s="163"/>
      <c r="U12" s="163"/>
      <c r="V12" s="163"/>
      <c r="W12" s="163"/>
      <c r="X12" s="163"/>
      <c r="Y12" s="163"/>
      <c r="Z12" s="163"/>
      <c r="AA12" s="163"/>
      <c r="AB12" s="163"/>
      <c r="AC12" s="163"/>
      <c r="AD12" s="163"/>
      <c r="AE12" s="163"/>
      <c r="AF12" s="163"/>
      <c r="AG12" s="163"/>
      <c r="AH12" s="163"/>
      <c r="AI12" s="196"/>
      <c r="AJ12" s="196"/>
      <c r="AK12" s="196"/>
      <c r="AL12" s="196"/>
      <c r="AM12" s="196"/>
      <c r="AN12" s="196"/>
      <c r="AO12" s="196"/>
      <c r="AP12" s="195"/>
    </row>
    <row r="13" spans="3:44" ht="16.5" customHeight="1" x14ac:dyDescent="0.25">
      <c r="C13" s="194"/>
      <c r="D13" s="224" t="s">
        <v>424</v>
      </c>
      <c r="E13" s="227"/>
      <c r="F13" s="227"/>
      <c r="G13" s="227"/>
      <c r="H13" s="227"/>
      <c r="I13" s="227"/>
      <c r="J13" s="227"/>
      <c r="K13" s="227"/>
      <c r="L13" s="227"/>
      <c r="M13" s="227"/>
      <c r="N13" s="230"/>
      <c r="O13" s="231" t="s">
        <v>36</v>
      </c>
      <c r="P13" s="176"/>
      <c r="Q13" s="45"/>
      <c r="R13" s="365">
        <f>'Lampiran 1.1'!N17</f>
        <v>3</v>
      </c>
      <c r="S13" s="365">
        <f>'Lampiran 1.1'!O17</f>
        <v>4</v>
      </c>
      <c r="T13" s="365">
        <f>'Lampiran 1.1'!P17</f>
        <v>0</v>
      </c>
      <c r="U13" s="365">
        <f>'Lampiran 1.1'!Q17</f>
        <v>2</v>
      </c>
      <c r="V13" s="365">
        <f>'Lampiran 1.1'!R17</f>
        <v>0</v>
      </c>
      <c r="W13" s="365">
        <f>'Lampiran 1.1'!S17</f>
        <v>1</v>
      </c>
      <c r="X13" s="365">
        <f>'Lampiran 1.1'!T17</f>
        <v>1</v>
      </c>
      <c r="Y13" s="365">
        <f>'Lampiran 1.1'!U17</f>
        <v>2</v>
      </c>
      <c r="Z13" s="365">
        <f>'Lampiran 1.1'!V17</f>
        <v>3</v>
      </c>
      <c r="AA13" s="365">
        <f>'Lampiran 1.1'!W17</f>
        <v>4</v>
      </c>
      <c r="AB13" s="365">
        <f>'Lampiran 1.1'!X17</f>
        <v>5</v>
      </c>
      <c r="AC13" s="365">
        <f>'Lampiran 1.1'!Y17</f>
        <v>6</v>
      </c>
      <c r="AD13" s="365">
        <f>'Lampiran 1.1'!Z17</f>
        <v>0</v>
      </c>
      <c r="AE13" s="365">
        <f>'Lampiran 1.1'!AA17</f>
        <v>0</v>
      </c>
      <c r="AF13" s="365">
        <f>'Lampiran 1.1'!AB17</f>
        <v>0</v>
      </c>
      <c r="AG13" s="365">
        <f>'Lampiran 1.1'!AC17</f>
        <v>1</v>
      </c>
      <c r="AH13" s="163"/>
      <c r="AI13" s="214" t="s">
        <v>11</v>
      </c>
      <c r="AJ13" s="163"/>
      <c r="AK13" s="163"/>
      <c r="AL13" s="364">
        <f>'Lampiran 1.1'!AJ17</f>
        <v>2</v>
      </c>
      <c r="AM13" s="364">
        <f>'Lampiran 1.1'!AK17</f>
        <v>0</v>
      </c>
      <c r="AN13" s="364">
        <f>'Lampiran 1.1'!AL17</f>
        <v>2</v>
      </c>
      <c r="AO13" s="364">
        <f>'Lampiran 1.1'!AM17</f>
        <v>5</v>
      </c>
      <c r="AP13" s="195"/>
    </row>
    <row r="14" spans="3:44" ht="2.65" customHeight="1" x14ac:dyDescent="0.25">
      <c r="C14" s="194"/>
      <c r="D14" s="2"/>
      <c r="E14" s="175"/>
      <c r="F14" s="175"/>
      <c r="G14" s="175"/>
      <c r="H14" s="175"/>
      <c r="I14" s="175"/>
      <c r="J14" s="175"/>
      <c r="K14" s="175"/>
      <c r="L14" s="175"/>
      <c r="M14" s="175"/>
      <c r="N14" s="163"/>
      <c r="O14" s="176"/>
      <c r="P14" s="176"/>
      <c r="Q14" s="163"/>
      <c r="R14" s="163"/>
      <c r="S14" s="163"/>
      <c r="T14" s="163"/>
      <c r="U14" s="163"/>
      <c r="V14" s="163"/>
      <c r="W14" s="163"/>
      <c r="X14" s="163"/>
      <c r="Y14" s="163"/>
      <c r="Z14" s="163"/>
      <c r="AA14" s="163"/>
      <c r="AB14" s="163"/>
      <c r="AC14" s="163"/>
      <c r="AD14" s="163"/>
      <c r="AE14" s="163"/>
      <c r="AF14" s="163"/>
      <c r="AG14" s="163"/>
      <c r="AH14" s="163"/>
      <c r="AI14" s="163"/>
      <c r="AJ14" s="163"/>
      <c r="AK14" s="163"/>
      <c r="AL14" s="163"/>
      <c r="AM14" s="163"/>
      <c r="AN14" s="163"/>
      <c r="AO14" s="163"/>
      <c r="AP14" s="195"/>
    </row>
    <row r="15" spans="3:44" ht="11.65" customHeight="1" x14ac:dyDescent="0.25">
      <c r="C15" s="194"/>
      <c r="D15" s="174"/>
      <c r="E15" s="14"/>
      <c r="F15" s="14"/>
      <c r="G15" s="14"/>
      <c r="H15" s="14"/>
      <c r="I15" s="14"/>
      <c r="J15" s="14"/>
      <c r="K15" s="14"/>
      <c r="L15" s="14"/>
      <c r="M15" s="14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  <c r="AA15" s="163"/>
      <c r="AB15" s="163"/>
      <c r="AC15" s="163"/>
      <c r="AD15" s="163"/>
      <c r="AE15" s="163"/>
      <c r="AF15" s="163"/>
      <c r="AG15" s="163"/>
      <c r="AH15" s="163"/>
      <c r="AI15" s="163"/>
      <c r="AJ15" s="163"/>
      <c r="AK15" s="163"/>
      <c r="AL15" s="163"/>
      <c r="AM15" s="163"/>
      <c r="AN15" s="163"/>
      <c r="AO15" s="163"/>
      <c r="AP15" s="195"/>
    </row>
    <row r="16" spans="3:44" ht="2.65" customHeight="1" x14ac:dyDescent="0.25">
      <c r="C16" s="197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98"/>
      <c r="AQ16" s="115"/>
      <c r="AR16" s="115"/>
    </row>
    <row r="17" spans="3:54" ht="15.75" x14ac:dyDescent="0.25">
      <c r="C17" s="331" t="s">
        <v>28</v>
      </c>
      <c r="D17" s="247" t="s">
        <v>427</v>
      </c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200"/>
    </row>
    <row r="18" spans="3:54" ht="3.6" customHeight="1" x14ac:dyDescent="0.25">
      <c r="C18" s="201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202"/>
      <c r="AQ18" s="115"/>
      <c r="AR18" s="115"/>
      <c r="AS18" s="115"/>
      <c r="AT18" s="115"/>
      <c r="AU18" s="115"/>
      <c r="AV18" s="115"/>
      <c r="AW18" s="115"/>
      <c r="AX18" s="115"/>
      <c r="AY18" s="115"/>
      <c r="AZ18" s="115"/>
      <c r="BA18" s="115"/>
      <c r="BB18" s="116"/>
    </row>
    <row r="19" spans="3:54" x14ac:dyDescent="0.25">
      <c r="C19" s="921" t="s">
        <v>263</v>
      </c>
      <c r="D19" s="691"/>
      <c r="E19" s="691" t="s">
        <v>431</v>
      </c>
      <c r="F19" s="691"/>
      <c r="G19" s="691"/>
      <c r="H19" s="691"/>
      <c r="I19" s="691"/>
      <c r="J19" s="691"/>
      <c r="K19" s="691"/>
      <c r="L19" s="691" t="s">
        <v>428</v>
      </c>
      <c r="M19" s="691"/>
      <c r="N19" s="691"/>
      <c r="O19" s="691"/>
      <c r="P19" s="691"/>
      <c r="Q19" s="691"/>
      <c r="R19" s="691"/>
      <c r="S19" s="691"/>
      <c r="T19" s="691" t="s">
        <v>429</v>
      </c>
      <c r="U19" s="691"/>
      <c r="V19" s="691"/>
      <c r="W19" s="691"/>
      <c r="X19" s="691"/>
      <c r="Y19" s="691"/>
      <c r="Z19" s="691"/>
      <c r="AA19" s="691"/>
      <c r="AB19" s="691" t="s">
        <v>430</v>
      </c>
      <c r="AC19" s="691"/>
      <c r="AD19" s="691"/>
      <c r="AE19" s="691"/>
      <c r="AF19" s="691"/>
      <c r="AG19" s="691"/>
      <c r="AH19" s="691"/>
      <c r="AI19" s="691"/>
      <c r="AJ19" s="691" t="s">
        <v>266</v>
      </c>
      <c r="AK19" s="691"/>
      <c r="AL19" s="691"/>
      <c r="AM19" s="691"/>
      <c r="AN19" s="691"/>
      <c r="AO19" s="691"/>
      <c r="AP19" s="925"/>
      <c r="AQ19" s="153"/>
      <c r="AR19" s="153"/>
      <c r="AS19" s="153"/>
      <c r="AT19" s="153"/>
      <c r="AU19" s="153"/>
      <c r="AV19" s="153"/>
      <c r="AW19" s="153"/>
      <c r="AX19" s="153"/>
      <c r="AY19" s="153"/>
      <c r="AZ19" s="153"/>
      <c r="BA19" s="154"/>
      <c r="BB19" s="154"/>
    </row>
    <row r="20" spans="3:54" x14ac:dyDescent="0.25">
      <c r="C20" s="921"/>
      <c r="D20" s="691"/>
      <c r="E20" s="691"/>
      <c r="F20" s="691"/>
      <c r="G20" s="691"/>
      <c r="H20" s="691"/>
      <c r="I20" s="691"/>
      <c r="J20" s="691"/>
      <c r="K20" s="691"/>
      <c r="L20" s="691"/>
      <c r="M20" s="691"/>
      <c r="N20" s="691"/>
      <c r="O20" s="691"/>
      <c r="P20" s="691"/>
      <c r="Q20" s="691"/>
      <c r="R20" s="691"/>
      <c r="S20" s="691"/>
      <c r="T20" s="691"/>
      <c r="U20" s="691"/>
      <c r="V20" s="691"/>
      <c r="W20" s="691"/>
      <c r="X20" s="691"/>
      <c r="Y20" s="691"/>
      <c r="Z20" s="691"/>
      <c r="AA20" s="691"/>
      <c r="AB20" s="691"/>
      <c r="AC20" s="691"/>
      <c r="AD20" s="691"/>
      <c r="AE20" s="691"/>
      <c r="AF20" s="691"/>
      <c r="AG20" s="691"/>
      <c r="AH20" s="691"/>
      <c r="AI20" s="691"/>
      <c r="AJ20" s="691"/>
      <c r="AK20" s="691"/>
      <c r="AL20" s="691"/>
      <c r="AM20" s="691"/>
      <c r="AN20" s="691"/>
      <c r="AO20" s="691"/>
      <c r="AP20" s="925"/>
    </row>
    <row r="21" spans="3:54" x14ac:dyDescent="0.25">
      <c r="C21" s="920" t="s">
        <v>213</v>
      </c>
      <c r="D21" s="592"/>
      <c r="E21" s="606" t="s">
        <v>214</v>
      </c>
      <c r="F21" s="592"/>
      <c r="G21" s="592"/>
      <c r="H21" s="592"/>
      <c r="I21" s="592"/>
      <c r="J21" s="592"/>
      <c r="K21" s="592"/>
      <c r="L21" s="606" t="s">
        <v>215</v>
      </c>
      <c r="M21" s="592"/>
      <c r="N21" s="592"/>
      <c r="O21" s="592"/>
      <c r="P21" s="592"/>
      <c r="Q21" s="592"/>
      <c r="R21" s="592"/>
      <c r="S21" s="592"/>
      <c r="T21" s="606" t="s">
        <v>216</v>
      </c>
      <c r="U21" s="592"/>
      <c r="V21" s="592"/>
      <c r="W21" s="592"/>
      <c r="X21" s="592"/>
      <c r="Y21" s="592"/>
      <c r="Z21" s="592"/>
      <c r="AA21" s="592"/>
      <c r="AB21" s="606" t="s">
        <v>217</v>
      </c>
      <c r="AC21" s="592"/>
      <c r="AD21" s="592"/>
      <c r="AE21" s="592"/>
      <c r="AF21" s="592"/>
      <c r="AG21" s="592"/>
      <c r="AH21" s="592"/>
      <c r="AI21" s="592"/>
      <c r="AJ21" s="606" t="s">
        <v>218</v>
      </c>
      <c r="AK21" s="592"/>
      <c r="AL21" s="592"/>
      <c r="AM21" s="592"/>
      <c r="AN21" s="592"/>
      <c r="AO21" s="592"/>
      <c r="AP21" s="919"/>
    </row>
    <row r="22" spans="3:54" x14ac:dyDescent="0.25">
      <c r="C22" s="920"/>
      <c r="D22" s="606"/>
      <c r="E22" s="592"/>
      <c r="F22" s="592"/>
      <c r="G22" s="592"/>
      <c r="H22" s="592"/>
      <c r="I22" s="592"/>
      <c r="J22" s="592"/>
      <c r="K22" s="592"/>
      <c r="L22" s="592"/>
      <c r="M22" s="592"/>
      <c r="N22" s="592"/>
      <c r="O22" s="592"/>
      <c r="P22" s="592"/>
      <c r="Q22" s="592"/>
      <c r="R22" s="592"/>
      <c r="S22" s="592"/>
      <c r="T22" s="592"/>
      <c r="U22" s="592"/>
      <c r="V22" s="592"/>
      <c r="W22" s="592"/>
      <c r="X22" s="592"/>
      <c r="Y22" s="592"/>
      <c r="Z22" s="592"/>
      <c r="AA22" s="592"/>
      <c r="AB22" s="592"/>
      <c r="AC22" s="592"/>
      <c r="AD22" s="592"/>
      <c r="AE22" s="592"/>
      <c r="AF22" s="592"/>
      <c r="AG22" s="592"/>
      <c r="AH22" s="592"/>
      <c r="AI22" s="592"/>
      <c r="AJ22" s="592"/>
      <c r="AK22" s="592"/>
      <c r="AL22" s="592"/>
      <c r="AM22" s="592"/>
      <c r="AN22" s="592"/>
      <c r="AO22" s="592"/>
      <c r="AP22" s="919"/>
    </row>
    <row r="23" spans="3:54" x14ac:dyDescent="0.25">
      <c r="C23" s="920"/>
      <c r="D23" s="606"/>
      <c r="E23" s="592"/>
      <c r="F23" s="592"/>
      <c r="G23" s="592"/>
      <c r="H23" s="592"/>
      <c r="I23" s="592"/>
      <c r="J23" s="592"/>
      <c r="K23" s="592"/>
      <c r="L23" s="592"/>
      <c r="M23" s="592"/>
      <c r="N23" s="592"/>
      <c r="O23" s="592"/>
      <c r="P23" s="592"/>
      <c r="Q23" s="592"/>
      <c r="R23" s="592"/>
      <c r="S23" s="592"/>
      <c r="T23" s="592"/>
      <c r="U23" s="592"/>
      <c r="V23" s="592"/>
      <c r="W23" s="592"/>
      <c r="X23" s="592"/>
      <c r="Y23" s="592"/>
      <c r="Z23" s="592"/>
      <c r="AA23" s="592"/>
      <c r="AB23" s="592"/>
      <c r="AC23" s="592"/>
      <c r="AD23" s="592"/>
      <c r="AE23" s="592"/>
      <c r="AF23" s="592"/>
      <c r="AG23" s="592"/>
      <c r="AH23" s="592"/>
      <c r="AI23" s="592"/>
      <c r="AJ23" s="592"/>
      <c r="AK23" s="592"/>
      <c r="AL23" s="592"/>
      <c r="AM23" s="592"/>
      <c r="AN23" s="592"/>
      <c r="AO23" s="592"/>
      <c r="AP23" s="919"/>
    </row>
    <row r="24" spans="3:54" hidden="1" x14ac:dyDescent="0.25">
      <c r="C24" s="920"/>
      <c r="D24" s="606"/>
      <c r="E24" s="592"/>
      <c r="F24" s="592"/>
      <c r="G24" s="592"/>
      <c r="H24" s="592"/>
      <c r="I24" s="592"/>
      <c r="J24" s="592"/>
      <c r="K24" s="592"/>
      <c r="L24" s="592"/>
      <c r="M24" s="592"/>
      <c r="N24" s="592"/>
      <c r="O24" s="592"/>
      <c r="P24" s="592"/>
      <c r="Q24" s="592"/>
      <c r="R24" s="592"/>
      <c r="S24" s="592"/>
      <c r="T24" s="592"/>
      <c r="U24" s="592"/>
      <c r="V24" s="592"/>
      <c r="W24" s="592"/>
      <c r="X24" s="592"/>
      <c r="Y24" s="592"/>
      <c r="Z24" s="592"/>
      <c r="AA24" s="592"/>
      <c r="AB24" s="592"/>
      <c r="AC24" s="592"/>
      <c r="AD24" s="592"/>
      <c r="AE24" s="592"/>
      <c r="AF24" s="592"/>
      <c r="AG24" s="592"/>
      <c r="AH24" s="592"/>
      <c r="AI24" s="592"/>
      <c r="AJ24" s="592"/>
      <c r="AK24" s="592"/>
      <c r="AL24" s="592"/>
      <c r="AM24" s="592"/>
      <c r="AN24" s="592"/>
      <c r="AO24" s="592"/>
      <c r="AP24" s="919"/>
    </row>
    <row r="25" spans="3:54" hidden="1" x14ac:dyDescent="0.25">
      <c r="C25" s="920"/>
      <c r="D25" s="606"/>
      <c r="E25" s="592"/>
      <c r="F25" s="592"/>
      <c r="G25" s="592"/>
      <c r="H25" s="592"/>
      <c r="I25" s="592"/>
      <c r="J25" s="592"/>
      <c r="K25" s="592"/>
      <c r="L25" s="592"/>
      <c r="M25" s="592"/>
      <c r="N25" s="592"/>
      <c r="O25" s="592"/>
      <c r="P25" s="592"/>
      <c r="Q25" s="592"/>
      <c r="R25" s="592"/>
      <c r="S25" s="592"/>
      <c r="T25" s="592"/>
      <c r="U25" s="592"/>
      <c r="V25" s="592"/>
      <c r="W25" s="592"/>
      <c r="X25" s="592"/>
      <c r="Y25" s="592"/>
      <c r="Z25" s="592"/>
      <c r="AA25" s="592"/>
      <c r="AB25" s="592"/>
      <c r="AC25" s="592"/>
      <c r="AD25" s="592"/>
      <c r="AE25" s="592"/>
      <c r="AF25" s="592"/>
      <c r="AG25" s="592"/>
      <c r="AH25" s="592"/>
      <c r="AI25" s="592"/>
      <c r="AJ25" s="592"/>
      <c r="AK25" s="592"/>
      <c r="AL25" s="592"/>
      <c r="AM25" s="592"/>
      <c r="AN25" s="592"/>
      <c r="AO25" s="592"/>
      <c r="AP25" s="919"/>
    </row>
    <row r="26" spans="3:54" hidden="1" x14ac:dyDescent="0.25">
      <c r="C26" s="920"/>
      <c r="D26" s="606"/>
      <c r="E26" s="592"/>
      <c r="F26" s="592"/>
      <c r="G26" s="592"/>
      <c r="H26" s="592"/>
      <c r="I26" s="592"/>
      <c r="J26" s="592"/>
      <c r="K26" s="592"/>
      <c r="L26" s="592"/>
      <c r="M26" s="592"/>
      <c r="N26" s="592"/>
      <c r="O26" s="592"/>
      <c r="P26" s="592"/>
      <c r="Q26" s="592"/>
      <c r="R26" s="592"/>
      <c r="S26" s="592"/>
      <c r="T26" s="592"/>
      <c r="U26" s="592"/>
      <c r="V26" s="592"/>
      <c r="W26" s="592"/>
      <c r="X26" s="592"/>
      <c r="Y26" s="592"/>
      <c r="Z26" s="592"/>
      <c r="AA26" s="592"/>
      <c r="AB26" s="592"/>
      <c r="AC26" s="592"/>
      <c r="AD26" s="592"/>
      <c r="AE26" s="592"/>
      <c r="AF26" s="592"/>
      <c r="AG26" s="592"/>
      <c r="AH26" s="592"/>
      <c r="AI26" s="592"/>
      <c r="AJ26" s="592"/>
      <c r="AK26" s="592"/>
      <c r="AL26" s="592"/>
      <c r="AM26" s="592"/>
      <c r="AN26" s="592"/>
      <c r="AO26" s="592"/>
      <c r="AP26" s="919"/>
    </row>
    <row r="27" spans="3:54" hidden="1" x14ac:dyDescent="0.25">
      <c r="C27" s="920"/>
      <c r="D27" s="606"/>
      <c r="E27" s="592"/>
      <c r="F27" s="592"/>
      <c r="G27" s="592"/>
      <c r="H27" s="592"/>
      <c r="I27" s="592"/>
      <c r="J27" s="592"/>
      <c r="K27" s="592"/>
      <c r="L27" s="592"/>
      <c r="M27" s="592"/>
      <c r="N27" s="592"/>
      <c r="O27" s="592"/>
      <c r="P27" s="592"/>
      <c r="Q27" s="592"/>
      <c r="R27" s="592"/>
      <c r="S27" s="592"/>
      <c r="T27" s="592"/>
      <c r="U27" s="592"/>
      <c r="V27" s="592"/>
      <c r="W27" s="592"/>
      <c r="X27" s="592"/>
      <c r="Y27" s="592"/>
      <c r="Z27" s="592"/>
      <c r="AA27" s="592"/>
      <c r="AB27" s="592"/>
      <c r="AC27" s="592"/>
      <c r="AD27" s="592"/>
      <c r="AE27" s="592"/>
      <c r="AF27" s="592"/>
      <c r="AG27" s="592"/>
      <c r="AH27" s="592"/>
      <c r="AI27" s="592"/>
      <c r="AJ27" s="592"/>
      <c r="AK27" s="592"/>
      <c r="AL27" s="592"/>
      <c r="AM27" s="592"/>
      <c r="AN27" s="592"/>
      <c r="AO27" s="592"/>
      <c r="AP27" s="919"/>
    </row>
    <row r="28" spans="3:54" hidden="1" x14ac:dyDescent="0.25">
      <c r="C28" s="920"/>
      <c r="D28" s="606"/>
      <c r="E28" s="592"/>
      <c r="F28" s="592"/>
      <c r="G28" s="592"/>
      <c r="H28" s="592"/>
      <c r="I28" s="592"/>
      <c r="J28" s="592"/>
      <c r="K28" s="592"/>
      <c r="L28" s="592"/>
      <c r="M28" s="592"/>
      <c r="N28" s="592"/>
      <c r="O28" s="592"/>
      <c r="P28" s="592"/>
      <c r="Q28" s="592"/>
      <c r="R28" s="592"/>
      <c r="S28" s="592"/>
      <c r="T28" s="592"/>
      <c r="U28" s="592"/>
      <c r="V28" s="592"/>
      <c r="W28" s="592"/>
      <c r="X28" s="592"/>
      <c r="Y28" s="592"/>
      <c r="Z28" s="592"/>
      <c r="AA28" s="592"/>
      <c r="AB28" s="592"/>
      <c r="AC28" s="592"/>
      <c r="AD28" s="592"/>
      <c r="AE28" s="592"/>
      <c r="AF28" s="592"/>
      <c r="AG28" s="592"/>
      <c r="AH28" s="592"/>
      <c r="AI28" s="592"/>
      <c r="AJ28" s="592"/>
      <c r="AK28" s="592"/>
      <c r="AL28" s="592"/>
      <c r="AM28" s="592"/>
      <c r="AN28" s="592"/>
      <c r="AO28" s="592"/>
      <c r="AP28" s="919"/>
    </row>
    <row r="29" spans="3:54" hidden="1" x14ac:dyDescent="0.25">
      <c r="C29" s="920"/>
      <c r="D29" s="606"/>
      <c r="E29" s="592"/>
      <c r="F29" s="592"/>
      <c r="G29" s="592"/>
      <c r="H29" s="592"/>
      <c r="I29" s="592"/>
      <c r="J29" s="592"/>
      <c r="K29" s="592"/>
      <c r="L29" s="592"/>
      <c r="M29" s="592"/>
      <c r="N29" s="592"/>
      <c r="O29" s="592"/>
      <c r="P29" s="592"/>
      <c r="Q29" s="592"/>
      <c r="R29" s="592"/>
      <c r="S29" s="592"/>
      <c r="T29" s="592"/>
      <c r="U29" s="592"/>
      <c r="V29" s="592"/>
      <c r="W29" s="592"/>
      <c r="X29" s="592"/>
      <c r="Y29" s="592"/>
      <c r="Z29" s="592"/>
      <c r="AA29" s="592"/>
      <c r="AB29" s="592"/>
      <c r="AC29" s="592"/>
      <c r="AD29" s="592"/>
      <c r="AE29" s="592"/>
      <c r="AF29" s="592"/>
      <c r="AG29" s="592"/>
      <c r="AH29" s="592"/>
      <c r="AI29" s="592"/>
      <c r="AJ29" s="592"/>
      <c r="AK29" s="592"/>
      <c r="AL29" s="592"/>
      <c r="AM29" s="592"/>
      <c r="AN29" s="592"/>
      <c r="AO29" s="592"/>
      <c r="AP29" s="919"/>
    </row>
    <row r="30" spans="3:54" hidden="1" x14ac:dyDescent="0.25">
      <c r="C30" s="920"/>
      <c r="D30" s="606"/>
      <c r="E30" s="592"/>
      <c r="F30" s="592"/>
      <c r="G30" s="592"/>
      <c r="H30" s="592"/>
      <c r="I30" s="592"/>
      <c r="J30" s="592"/>
      <c r="K30" s="592"/>
      <c r="L30" s="592"/>
      <c r="M30" s="592"/>
      <c r="N30" s="592"/>
      <c r="O30" s="592"/>
      <c r="P30" s="592"/>
      <c r="Q30" s="592"/>
      <c r="R30" s="592"/>
      <c r="S30" s="592"/>
      <c r="T30" s="592"/>
      <c r="U30" s="592"/>
      <c r="V30" s="592"/>
      <c r="W30" s="592"/>
      <c r="X30" s="592"/>
      <c r="Y30" s="592"/>
      <c r="Z30" s="592"/>
      <c r="AA30" s="592"/>
      <c r="AB30" s="592"/>
      <c r="AC30" s="592"/>
      <c r="AD30" s="592"/>
      <c r="AE30" s="592"/>
      <c r="AF30" s="592"/>
      <c r="AG30" s="592"/>
      <c r="AH30" s="592"/>
      <c r="AI30" s="592"/>
      <c r="AJ30" s="592"/>
      <c r="AK30" s="592"/>
      <c r="AL30" s="592"/>
      <c r="AM30" s="592"/>
      <c r="AN30" s="592"/>
      <c r="AO30" s="592"/>
      <c r="AP30" s="919"/>
    </row>
    <row r="31" spans="3:54" hidden="1" x14ac:dyDescent="0.25">
      <c r="C31" s="920"/>
      <c r="D31" s="606"/>
      <c r="E31" s="592"/>
      <c r="F31" s="592"/>
      <c r="G31" s="592"/>
      <c r="H31" s="592"/>
      <c r="I31" s="592"/>
      <c r="J31" s="592"/>
      <c r="K31" s="592"/>
      <c r="L31" s="592"/>
      <c r="M31" s="592"/>
      <c r="N31" s="592"/>
      <c r="O31" s="592"/>
      <c r="P31" s="592"/>
      <c r="Q31" s="592"/>
      <c r="R31" s="592"/>
      <c r="S31" s="592"/>
      <c r="T31" s="592"/>
      <c r="U31" s="592"/>
      <c r="V31" s="592"/>
      <c r="W31" s="592"/>
      <c r="X31" s="592"/>
      <c r="Y31" s="592"/>
      <c r="Z31" s="592"/>
      <c r="AA31" s="592"/>
      <c r="AB31" s="592"/>
      <c r="AC31" s="592"/>
      <c r="AD31" s="592"/>
      <c r="AE31" s="592"/>
      <c r="AF31" s="592"/>
      <c r="AG31" s="592"/>
      <c r="AH31" s="592"/>
      <c r="AI31" s="592"/>
      <c r="AJ31" s="592"/>
      <c r="AK31" s="592"/>
      <c r="AL31" s="592"/>
      <c r="AM31" s="592"/>
      <c r="AN31" s="592"/>
      <c r="AO31" s="592"/>
      <c r="AP31" s="919"/>
    </row>
    <row r="32" spans="3:54" hidden="1" x14ac:dyDescent="0.25">
      <c r="C32" s="920"/>
      <c r="D32" s="606"/>
      <c r="E32" s="592"/>
      <c r="F32" s="592"/>
      <c r="G32" s="592"/>
      <c r="H32" s="592"/>
      <c r="I32" s="592"/>
      <c r="J32" s="592"/>
      <c r="K32" s="592"/>
      <c r="L32" s="592"/>
      <c r="M32" s="592"/>
      <c r="N32" s="592"/>
      <c r="O32" s="592"/>
      <c r="P32" s="592"/>
      <c r="Q32" s="592"/>
      <c r="R32" s="592"/>
      <c r="S32" s="592"/>
      <c r="T32" s="592"/>
      <c r="U32" s="592"/>
      <c r="V32" s="592"/>
      <c r="W32" s="592"/>
      <c r="X32" s="592"/>
      <c r="Y32" s="592"/>
      <c r="Z32" s="592"/>
      <c r="AA32" s="592"/>
      <c r="AB32" s="592"/>
      <c r="AC32" s="592"/>
      <c r="AD32" s="592"/>
      <c r="AE32" s="592"/>
      <c r="AF32" s="592"/>
      <c r="AG32" s="592"/>
      <c r="AH32" s="592"/>
      <c r="AI32" s="592"/>
      <c r="AJ32" s="592"/>
      <c r="AK32" s="592"/>
      <c r="AL32" s="592"/>
      <c r="AM32" s="592"/>
      <c r="AN32" s="592"/>
      <c r="AO32" s="592"/>
      <c r="AP32" s="919"/>
    </row>
    <row r="33" spans="3:42" hidden="1" x14ac:dyDescent="0.25">
      <c r="C33" s="920"/>
      <c r="D33" s="606"/>
      <c r="E33" s="592"/>
      <c r="F33" s="592"/>
      <c r="G33" s="592"/>
      <c r="H33" s="592"/>
      <c r="I33" s="592"/>
      <c r="J33" s="592"/>
      <c r="K33" s="592"/>
      <c r="L33" s="592"/>
      <c r="M33" s="592"/>
      <c r="N33" s="592"/>
      <c r="O33" s="592"/>
      <c r="P33" s="592"/>
      <c r="Q33" s="592"/>
      <c r="R33" s="592"/>
      <c r="S33" s="592"/>
      <c r="T33" s="592"/>
      <c r="U33" s="592"/>
      <c r="V33" s="592"/>
      <c r="W33" s="592"/>
      <c r="X33" s="592"/>
      <c r="Y33" s="592"/>
      <c r="Z33" s="592"/>
      <c r="AA33" s="592"/>
      <c r="AB33" s="592"/>
      <c r="AC33" s="592"/>
      <c r="AD33" s="592"/>
      <c r="AE33" s="592"/>
      <c r="AF33" s="592"/>
      <c r="AG33" s="592"/>
      <c r="AH33" s="592"/>
      <c r="AI33" s="592"/>
      <c r="AJ33" s="592"/>
      <c r="AK33" s="592"/>
      <c r="AL33" s="592"/>
      <c r="AM33" s="592"/>
      <c r="AN33" s="592"/>
      <c r="AO33" s="592"/>
      <c r="AP33" s="919"/>
    </row>
    <row r="34" spans="3:42" hidden="1" x14ac:dyDescent="0.25">
      <c r="C34" s="920"/>
      <c r="D34" s="606"/>
      <c r="E34" s="592"/>
      <c r="F34" s="592"/>
      <c r="G34" s="592"/>
      <c r="H34" s="592"/>
      <c r="I34" s="592"/>
      <c r="J34" s="592"/>
      <c r="K34" s="592"/>
      <c r="L34" s="592"/>
      <c r="M34" s="592"/>
      <c r="N34" s="592"/>
      <c r="O34" s="592"/>
      <c r="P34" s="592"/>
      <c r="Q34" s="592"/>
      <c r="R34" s="592"/>
      <c r="S34" s="592"/>
      <c r="T34" s="592"/>
      <c r="U34" s="592"/>
      <c r="V34" s="592"/>
      <c r="W34" s="592"/>
      <c r="X34" s="592"/>
      <c r="Y34" s="592"/>
      <c r="Z34" s="592"/>
      <c r="AA34" s="592"/>
      <c r="AB34" s="592"/>
      <c r="AC34" s="592"/>
      <c r="AD34" s="592"/>
      <c r="AE34" s="592"/>
      <c r="AF34" s="592"/>
      <c r="AG34" s="592"/>
      <c r="AH34" s="592"/>
      <c r="AI34" s="592"/>
      <c r="AJ34" s="592"/>
      <c r="AK34" s="592"/>
      <c r="AL34" s="592"/>
      <c r="AM34" s="592"/>
      <c r="AN34" s="592"/>
      <c r="AO34" s="592"/>
      <c r="AP34" s="919"/>
    </row>
    <row r="35" spans="3:42" hidden="1" x14ac:dyDescent="0.25">
      <c r="C35" s="920"/>
      <c r="D35" s="606"/>
      <c r="E35" s="592"/>
      <c r="F35" s="592"/>
      <c r="G35" s="592"/>
      <c r="H35" s="592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Y35" s="592"/>
      <c r="Z35" s="592"/>
      <c r="AA35" s="592"/>
      <c r="AB35" s="592"/>
      <c r="AC35" s="592"/>
      <c r="AD35" s="592"/>
      <c r="AE35" s="592"/>
      <c r="AF35" s="592"/>
      <c r="AG35" s="592"/>
      <c r="AH35" s="592"/>
      <c r="AI35" s="592"/>
      <c r="AJ35" s="592"/>
      <c r="AK35" s="592"/>
      <c r="AL35" s="592"/>
      <c r="AM35" s="592"/>
      <c r="AN35" s="592"/>
      <c r="AO35" s="592"/>
      <c r="AP35" s="919"/>
    </row>
    <row r="36" spans="3:42" hidden="1" x14ac:dyDescent="0.25">
      <c r="C36" s="920"/>
      <c r="D36" s="606"/>
      <c r="E36" s="592"/>
      <c r="F36" s="592"/>
      <c r="G36" s="592"/>
      <c r="H36" s="592"/>
      <c r="I36" s="592"/>
      <c r="J36" s="592"/>
      <c r="K36" s="592"/>
      <c r="L36" s="592"/>
      <c r="M36" s="592"/>
      <c r="N36" s="592"/>
      <c r="O36" s="592"/>
      <c r="P36" s="592"/>
      <c r="Q36" s="592"/>
      <c r="R36" s="592"/>
      <c r="S36" s="592"/>
      <c r="T36" s="592"/>
      <c r="U36" s="592"/>
      <c r="V36" s="592"/>
      <c r="W36" s="592"/>
      <c r="X36" s="592"/>
      <c r="Y36" s="592"/>
      <c r="Z36" s="592"/>
      <c r="AA36" s="592"/>
      <c r="AB36" s="592"/>
      <c r="AC36" s="592"/>
      <c r="AD36" s="592"/>
      <c r="AE36" s="592"/>
      <c r="AF36" s="592"/>
      <c r="AG36" s="592"/>
      <c r="AH36" s="592"/>
      <c r="AI36" s="592"/>
      <c r="AJ36" s="592"/>
      <c r="AK36" s="592"/>
      <c r="AL36" s="592"/>
      <c r="AM36" s="592"/>
      <c r="AN36" s="592"/>
      <c r="AO36" s="592"/>
      <c r="AP36" s="919"/>
    </row>
    <row r="37" spans="3:42" hidden="1" x14ac:dyDescent="0.25">
      <c r="C37" s="920"/>
      <c r="D37" s="606"/>
      <c r="E37" s="592"/>
      <c r="F37" s="592"/>
      <c r="G37" s="592"/>
      <c r="H37" s="592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Y37" s="592"/>
      <c r="Z37" s="592"/>
      <c r="AA37" s="592"/>
      <c r="AB37" s="592"/>
      <c r="AC37" s="592"/>
      <c r="AD37" s="592"/>
      <c r="AE37" s="592"/>
      <c r="AF37" s="592"/>
      <c r="AG37" s="592"/>
      <c r="AH37" s="592"/>
      <c r="AI37" s="592"/>
      <c r="AJ37" s="592"/>
      <c r="AK37" s="592"/>
      <c r="AL37" s="592"/>
      <c r="AM37" s="592"/>
      <c r="AN37" s="592"/>
      <c r="AO37" s="592"/>
      <c r="AP37" s="919"/>
    </row>
    <row r="38" spans="3:42" hidden="1" x14ac:dyDescent="0.25">
      <c r="C38" s="920"/>
      <c r="D38" s="606"/>
      <c r="E38" s="592"/>
      <c r="F38" s="592"/>
      <c r="G38" s="592"/>
      <c r="H38" s="592"/>
      <c r="I38" s="592"/>
      <c r="J38" s="592"/>
      <c r="K38" s="592"/>
      <c r="L38" s="592"/>
      <c r="M38" s="592"/>
      <c r="N38" s="592"/>
      <c r="O38" s="592"/>
      <c r="P38" s="592"/>
      <c r="Q38" s="592"/>
      <c r="R38" s="592"/>
      <c r="S38" s="592"/>
      <c r="T38" s="592"/>
      <c r="U38" s="592"/>
      <c r="V38" s="592"/>
      <c r="W38" s="592"/>
      <c r="X38" s="592"/>
      <c r="Y38" s="592"/>
      <c r="Z38" s="592"/>
      <c r="AA38" s="592"/>
      <c r="AB38" s="592"/>
      <c r="AC38" s="592"/>
      <c r="AD38" s="592"/>
      <c r="AE38" s="592"/>
      <c r="AF38" s="592"/>
      <c r="AG38" s="592"/>
      <c r="AH38" s="592"/>
      <c r="AI38" s="592"/>
      <c r="AJ38" s="592"/>
      <c r="AK38" s="592"/>
      <c r="AL38" s="592"/>
      <c r="AM38" s="592"/>
      <c r="AN38" s="592"/>
      <c r="AO38" s="592"/>
      <c r="AP38" s="919"/>
    </row>
    <row r="39" spans="3:42" hidden="1" x14ac:dyDescent="0.25">
      <c r="C39" s="920"/>
      <c r="D39" s="606"/>
      <c r="E39" s="592"/>
      <c r="F39" s="592"/>
      <c r="G39" s="592"/>
      <c r="H39" s="592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Y39" s="592"/>
      <c r="Z39" s="592"/>
      <c r="AA39" s="592"/>
      <c r="AB39" s="592"/>
      <c r="AC39" s="592"/>
      <c r="AD39" s="592"/>
      <c r="AE39" s="592"/>
      <c r="AF39" s="592"/>
      <c r="AG39" s="592"/>
      <c r="AH39" s="592"/>
      <c r="AI39" s="592"/>
      <c r="AJ39" s="592"/>
      <c r="AK39" s="592"/>
      <c r="AL39" s="592"/>
      <c r="AM39" s="592"/>
      <c r="AN39" s="592"/>
      <c r="AO39" s="592"/>
      <c r="AP39" s="919"/>
    </row>
    <row r="40" spans="3:42" hidden="1" x14ac:dyDescent="0.25">
      <c r="C40" s="920"/>
      <c r="D40" s="606"/>
      <c r="E40" s="592"/>
      <c r="F40" s="592"/>
      <c r="G40" s="592"/>
      <c r="H40" s="592"/>
      <c r="I40" s="592"/>
      <c r="J40" s="592"/>
      <c r="K40" s="592"/>
      <c r="L40" s="592"/>
      <c r="M40" s="592"/>
      <c r="N40" s="592"/>
      <c r="O40" s="592"/>
      <c r="P40" s="592"/>
      <c r="Q40" s="592"/>
      <c r="R40" s="592"/>
      <c r="S40" s="592"/>
      <c r="T40" s="592"/>
      <c r="U40" s="592"/>
      <c r="V40" s="592"/>
      <c r="W40" s="592"/>
      <c r="X40" s="592"/>
      <c r="Y40" s="592"/>
      <c r="Z40" s="592"/>
      <c r="AA40" s="592"/>
      <c r="AB40" s="592"/>
      <c r="AC40" s="592"/>
      <c r="AD40" s="592"/>
      <c r="AE40" s="592"/>
      <c r="AF40" s="592"/>
      <c r="AG40" s="592"/>
      <c r="AH40" s="592"/>
      <c r="AI40" s="592"/>
      <c r="AJ40" s="592"/>
      <c r="AK40" s="592"/>
      <c r="AL40" s="592"/>
      <c r="AM40" s="592"/>
      <c r="AN40" s="592"/>
      <c r="AO40" s="592"/>
      <c r="AP40" s="919"/>
    </row>
    <row r="41" spans="3:42" hidden="1" x14ac:dyDescent="0.25">
      <c r="C41" s="920"/>
      <c r="D41" s="606"/>
      <c r="E41" s="592"/>
      <c r="F41" s="592"/>
      <c r="G41" s="592"/>
      <c r="H41" s="592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Y41" s="592"/>
      <c r="Z41" s="592"/>
      <c r="AA41" s="592"/>
      <c r="AB41" s="592"/>
      <c r="AC41" s="592"/>
      <c r="AD41" s="592"/>
      <c r="AE41" s="592"/>
      <c r="AF41" s="592"/>
      <c r="AG41" s="592"/>
      <c r="AH41" s="592"/>
      <c r="AI41" s="592"/>
      <c r="AJ41" s="592"/>
      <c r="AK41" s="592"/>
      <c r="AL41" s="592"/>
      <c r="AM41" s="592"/>
      <c r="AN41" s="592"/>
      <c r="AO41" s="592"/>
      <c r="AP41" s="919"/>
    </row>
    <row r="42" spans="3:42" hidden="1" x14ac:dyDescent="0.25">
      <c r="C42" s="920"/>
      <c r="D42" s="606"/>
      <c r="E42" s="592"/>
      <c r="F42" s="592"/>
      <c r="G42" s="592"/>
      <c r="H42" s="592"/>
      <c r="I42" s="592"/>
      <c r="J42" s="592"/>
      <c r="K42" s="592"/>
      <c r="L42" s="592"/>
      <c r="M42" s="592"/>
      <c r="N42" s="592"/>
      <c r="O42" s="592"/>
      <c r="P42" s="592"/>
      <c r="Q42" s="592"/>
      <c r="R42" s="592"/>
      <c r="S42" s="592"/>
      <c r="T42" s="592"/>
      <c r="U42" s="592"/>
      <c r="V42" s="592"/>
      <c r="W42" s="592"/>
      <c r="X42" s="592"/>
      <c r="Y42" s="592"/>
      <c r="Z42" s="592"/>
      <c r="AA42" s="592"/>
      <c r="AB42" s="592"/>
      <c r="AC42" s="592"/>
      <c r="AD42" s="592"/>
      <c r="AE42" s="592"/>
      <c r="AF42" s="592"/>
      <c r="AG42" s="592"/>
      <c r="AH42" s="592"/>
      <c r="AI42" s="592"/>
      <c r="AJ42" s="592"/>
      <c r="AK42" s="592"/>
      <c r="AL42" s="592"/>
      <c r="AM42" s="592"/>
      <c r="AN42" s="592"/>
      <c r="AO42" s="592"/>
      <c r="AP42" s="919"/>
    </row>
    <row r="43" spans="3:42" hidden="1" x14ac:dyDescent="0.25">
      <c r="C43" s="920"/>
      <c r="D43" s="606"/>
      <c r="E43" s="592"/>
      <c r="F43" s="592"/>
      <c r="G43" s="592"/>
      <c r="H43" s="592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Y43" s="592"/>
      <c r="Z43" s="592"/>
      <c r="AA43" s="592"/>
      <c r="AB43" s="592"/>
      <c r="AC43" s="592"/>
      <c r="AD43" s="592"/>
      <c r="AE43" s="592"/>
      <c r="AF43" s="592"/>
      <c r="AG43" s="592"/>
      <c r="AH43" s="592"/>
      <c r="AI43" s="592"/>
      <c r="AJ43" s="592"/>
      <c r="AK43" s="592"/>
      <c r="AL43" s="592"/>
      <c r="AM43" s="592"/>
      <c r="AN43" s="592"/>
      <c r="AO43" s="592"/>
      <c r="AP43" s="919"/>
    </row>
    <row r="44" spans="3:42" hidden="1" x14ac:dyDescent="0.25">
      <c r="C44" s="920"/>
      <c r="D44" s="606"/>
      <c r="E44" s="592"/>
      <c r="F44" s="592"/>
      <c r="G44" s="592"/>
      <c r="H44" s="592"/>
      <c r="I44" s="592"/>
      <c r="J44" s="592"/>
      <c r="K44" s="592"/>
      <c r="L44" s="592"/>
      <c r="M44" s="592"/>
      <c r="N44" s="592"/>
      <c r="O44" s="592"/>
      <c r="P44" s="592"/>
      <c r="Q44" s="592"/>
      <c r="R44" s="592"/>
      <c r="S44" s="592"/>
      <c r="T44" s="592"/>
      <c r="U44" s="592"/>
      <c r="V44" s="592"/>
      <c r="W44" s="592"/>
      <c r="X44" s="592"/>
      <c r="Y44" s="592"/>
      <c r="Z44" s="592"/>
      <c r="AA44" s="592"/>
      <c r="AB44" s="592"/>
      <c r="AC44" s="592"/>
      <c r="AD44" s="592"/>
      <c r="AE44" s="592"/>
      <c r="AF44" s="592"/>
      <c r="AG44" s="592"/>
      <c r="AH44" s="592"/>
      <c r="AI44" s="592"/>
      <c r="AJ44" s="592"/>
      <c r="AK44" s="592"/>
      <c r="AL44" s="592"/>
      <c r="AM44" s="592"/>
      <c r="AN44" s="592"/>
      <c r="AO44" s="592"/>
      <c r="AP44" s="919"/>
    </row>
    <row r="45" spans="3:42" hidden="1" x14ac:dyDescent="0.25">
      <c r="C45" s="920"/>
      <c r="D45" s="606"/>
      <c r="E45" s="592"/>
      <c r="F45" s="592"/>
      <c r="G45" s="592"/>
      <c r="H45" s="592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Y45" s="592"/>
      <c r="Z45" s="592"/>
      <c r="AA45" s="592"/>
      <c r="AB45" s="592"/>
      <c r="AC45" s="592"/>
      <c r="AD45" s="592"/>
      <c r="AE45" s="592"/>
      <c r="AF45" s="592"/>
      <c r="AG45" s="592"/>
      <c r="AH45" s="592"/>
      <c r="AI45" s="592"/>
      <c r="AJ45" s="592"/>
      <c r="AK45" s="592"/>
      <c r="AL45" s="592"/>
      <c r="AM45" s="592"/>
      <c r="AN45" s="592"/>
      <c r="AO45" s="592"/>
      <c r="AP45" s="919"/>
    </row>
    <row r="46" spans="3:42" x14ac:dyDescent="0.25">
      <c r="C46" s="918" t="s">
        <v>290</v>
      </c>
      <c r="D46" s="601"/>
      <c r="E46" s="601"/>
      <c r="F46" s="601"/>
      <c r="G46" s="601"/>
      <c r="H46" s="601"/>
      <c r="I46" s="601"/>
      <c r="J46" s="601"/>
      <c r="K46" s="601"/>
      <c r="L46" s="601"/>
      <c r="M46" s="601"/>
      <c r="N46" s="601"/>
      <c r="O46" s="601"/>
      <c r="P46" s="601"/>
      <c r="Q46" s="601"/>
      <c r="R46" s="601"/>
      <c r="S46" s="601"/>
      <c r="T46" s="592"/>
      <c r="U46" s="592"/>
      <c r="V46" s="592"/>
      <c r="W46" s="592"/>
      <c r="X46" s="592"/>
      <c r="Y46" s="592"/>
      <c r="Z46" s="592"/>
      <c r="AA46" s="592"/>
      <c r="AB46" s="601"/>
      <c r="AC46" s="601"/>
      <c r="AD46" s="601"/>
      <c r="AE46" s="601"/>
      <c r="AF46" s="601"/>
      <c r="AG46" s="601"/>
      <c r="AH46" s="601"/>
      <c r="AI46" s="601"/>
      <c r="AJ46" s="592"/>
      <c r="AK46" s="592"/>
      <c r="AL46" s="592"/>
      <c r="AM46" s="592"/>
      <c r="AN46" s="592"/>
      <c r="AO46" s="592"/>
      <c r="AP46" s="919"/>
    </row>
    <row r="47" spans="3:42" x14ac:dyDescent="0.25">
      <c r="C47" s="207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246" t="s">
        <v>432</v>
      </c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208"/>
    </row>
    <row r="48" spans="3:42" ht="3" customHeight="1" x14ac:dyDescent="0.25">
      <c r="C48" s="207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208"/>
    </row>
    <row r="49" spans="3:42" ht="15.6" customHeight="1" x14ac:dyDescent="0.25">
      <c r="C49" s="331" t="s">
        <v>51</v>
      </c>
      <c r="D49" s="247" t="s">
        <v>426</v>
      </c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200"/>
    </row>
    <row r="50" spans="3:42" ht="4.1500000000000004" customHeight="1" x14ac:dyDescent="0.25">
      <c r="C50" s="201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202"/>
    </row>
    <row r="51" spans="3:42" x14ac:dyDescent="0.25">
      <c r="C51" s="921" t="s">
        <v>263</v>
      </c>
      <c r="D51" s="922"/>
      <c r="E51" s="728" t="s">
        <v>193</v>
      </c>
      <c r="F51" s="728"/>
      <c r="G51" s="728"/>
      <c r="H51" s="728"/>
      <c r="I51" s="728"/>
      <c r="J51" s="728"/>
      <c r="K51" s="728"/>
      <c r="L51" s="728"/>
      <c r="M51" s="728"/>
      <c r="N51" s="728" t="s">
        <v>288</v>
      </c>
      <c r="O51" s="728"/>
      <c r="P51" s="728"/>
      <c r="Q51" s="728"/>
      <c r="R51" s="728"/>
      <c r="S51" s="728"/>
      <c r="T51" s="728"/>
      <c r="U51" s="728"/>
      <c r="V51" s="728"/>
      <c r="W51" s="728"/>
      <c r="X51" s="728"/>
      <c r="Y51" s="728"/>
      <c r="Z51" s="728"/>
      <c r="AA51" s="728"/>
      <c r="AB51" s="728"/>
      <c r="AC51" s="728"/>
      <c r="AD51" s="728"/>
      <c r="AE51" s="728" t="s">
        <v>266</v>
      </c>
      <c r="AF51" s="728"/>
      <c r="AG51" s="728"/>
      <c r="AH51" s="728"/>
      <c r="AI51" s="728"/>
      <c r="AJ51" s="728"/>
      <c r="AK51" s="728"/>
      <c r="AL51" s="728"/>
      <c r="AM51" s="728"/>
      <c r="AN51" s="728"/>
      <c r="AO51" s="728"/>
      <c r="AP51" s="728"/>
    </row>
    <row r="52" spans="3:42" x14ac:dyDescent="0.25">
      <c r="C52" s="923"/>
      <c r="D52" s="746"/>
      <c r="E52" s="924"/>
      <c r="F52" s="924"/>
      <c r="G52" s="924"/>
      <c r="H52" s="924"/>
      <c r="I52" s="924"/>
      <c r="J52" s="924"/>
      <c r="K52" s="924"/>
      <c r="L52" s="924"/>
      <c r="M52" s="924"/>
      <c r="N52" s="924"/>
      <c r="O52" s="924"/>
      <c r="P52" s="924"/>
      <c r="Q52" s="924"/>
      <c r="R52" s="924"/>
      <c r="S52" s="924"/>
      <c r="T52" s="924"/>
      <c r="U52" s="924"/>
      <c r="V52" s="924"/>
      <c r="W52" s="924"/>
      <c r="X52" s="924"/>
      <c r="Y52" s="924"/>
      <c r="Z52" s="924"/>
      <c r="AA52" s="924"/>
      <c r="AB52" s="924"/>
      <c r="AC52" s="924"/>
      <c r="AD52" s="924"/>
      <c r="AE52" s="924"/>
      <c r="AF52" s="924"/>
      <c r="AG52" s="924"/>
      <c r="AH52" s="924"/>
      <c r="AI52" s="924"/>
      <c r="AJ52" s="924"/>
      <c r="AK52" s="924"/>
      <c r="AL52" s="924"/>
      <c r="AM52" s="924"/>
      <c r="AN52" s="924"/>
      <c r="AO52" s="924"/>
      <c r="AP52" s="924"/>
    </row>
    <row r="53" spans="3:42" x14ac:dyDescent="0.25">
      <c r="C53" s="755" t="s">
        <v>213</v>
      </c>
      <c r="D53" s="754"/>
      <c r="E53" s="755" t="s">
        <v>214</v>
      </c>
      <c r="F53" s="754"/>
      <c r="G53" s="754"/>
      <c r="H53" s="754"/>
      <c r="I53" s="754"/>
      <c r="J53" s="754"/>
      <c r="K53" s="754"/>
      <c r="L53" s="754"/>
      <c r="M53" s="754"/>
      <c r="N53" s="755" t="s">
        <v>215</v>
      </c>
      <c r="O53" s="754"/>
      <c r="P53" s="754"/>
      <c r="Q53" s="754"/>
      <c r="R53" s="754"/>
      <c r="S53" s="754"/>
      <c r="T53" s="754"/>
      <c r="U53" s="754"/>
      <c r="V53" s="754"/>
      <c r="W53" s="754"/>
      <c r="X53" s="754"/>
      <c r="Y53" s="754"/>
      <c r="Z53" s="754"/>
      <c r="AA53" s="754"/>
      <c r="AB53" s="754"/>
      <c r="AC53" s="754"/>
      <c r="AD53" s="754"/>
      <c r="AE53" s="755" t="s">
        <v>216</v>
      </c>
      <c r="AF53" s="754"/>
      <c r="AG53" s="754"/>
      <c r="AH53" s="754"/>
      <c r="AI53" s="754"/>
      <c r="AJ53" s="754"/>
      <c r="AK53" s="754"/>
      <c r="AL53" s="754"/>
      <c r="AM53" s="754"/>
      <c r="AN53" s="754"/>
      <c r="AO53" s="754"/>
      <c r="AP53" s="754"/>
    </row>
    <row r="54" spans="3:42" s="355" customFormat="1" x14ac:dyDescent="0.25">
      <c r="C54" s="758">
        <v>1</v>
      </c>
      <c r="D54" s="758"/>
      <c r="E54" s="765">
        <v>302</v>
      </c>
      <c r="F54" s="765"/>
      <c r="G54" s="765"/>
      <c r="H54" s="765"/>
      <c r="I54" s="765"/>
      <c r="J54" s="765"/>
      <c r="K54" s="765"/>
      <c r="L54" s="765"/>
      <c r="M54" s="765"/>
      <c r="N54" s="765" t="s">
        <v>667</v>
      </c>
      <c r="O54" s="765"/>
      <c r="P54" s="765"/>
      <c r="Q54" s="765"/>
      <c r="R54" s="765"/>
      <c r="S54" s="765"/>
      <c r="T54" s="765"/>
      <c r="U54" s="765"/>
      <c r="V54" s="765"/>
      <c r="W54" s="765"/>
      <c r="X54" s="765"/>
      <c r="Y54" s="765"/>
      <c r="Z54" s="765"/>
      <c r="AA54" s="765"/>
      <c r="AB54" s="765"/>
      <c r="AC54" s="765"/>
      <c r="AD54" s="765"/>
      <c r="AE54" s="766">
        <f>'SOAL KASUS'!F49</f>
        <v>12500000</v>
      </c>
      <c r="AF54" s="766"/>
      <c r="AG54" s="766"/>
      <c r="AH54" s="766"/>
      <c r="AI54" s="766"/>
      <c r="AJ54" s="766"/>
      <c r="AK54" s="766"/>
      <c r="AL54" s="766"/>
      <c r="AM54" s="766"/>
      <c r="AN54" s="766"/>
      <c r="AO54" s="766"/>
      <c r="AP54" s="766"/>
    </row>
    <row r="55" spans="3:42" s="355" customFormat="1" x14ac:dyDescent="0.25">
      <c r="C55" s="758"/>
      <c r="D55" s="758"/>
      <c r="E55" s="765"/>
      <c r="F55" s="765"/>
      <c r="G55" s="765"/>
      <c r="H55" s="765"/>
      <c r="I55" s="765"/>
      <c r="J55" s="765"/>
      <c r="K55" s="765"/>
      <c r="L55" s="765"/>
      <c r="M55" s="765"/>
      <c r="N55" s="765"/>
      <c r="O55" s="765"/>
      <c r="P55" s="765"/>
      <c r="Q55" s="765"/>
      <c r="R55" s="765"/>
      <c r="S55" s="765"/>
      <c r="T55" s="765"/>
      <c r="U55" s="765"/>
      <c r="V55" s="765"/>
      <c r="W55" s="765"/>
      <c r="X55" s="765"/>
      <c r="Y55" s="765"/>
      <c r="Z55" s="765"/>
      <c r="AA55" s="765"/>
      <c r="AB55" s="765"/>
      <c r="AC55" s="765"/>
      <c r="AD55" s="765"/>
      <c r="AE55" s="766"/>
      <c r="AF55" s="766"/>
      <c r="AG55" s="766"/>
      <c r="AH55" s="766"/>
      <c r="AI55" s="766"/>
      <c r="AJ55" s="766"/>
      <c r="AK55" s="766"/>
      <c r="AL55" s="766"/>
      <c r="AM55" s="766"/>
      <c r="AN55" s="766"/>
      <c r="AO55" s="766"/>
      <c r="AP55" s="766"/>
    </row>
    <row r="56" spans="3:42" hidden="1" x14ac:dyDescent="0.25">
      <c r="C56" s="755"/>
      <c r="D56" s="755"/>
      <c r="E56" s="754"/>
      <c r="F56" s="754"/>
      <c r="G56" s="754"/>
      <c r="H56" s="754"/>
      <c r="I56" s="754"/>
      <c r="J56" s="754"/>
      <c r="K56" s="754"/>
      <c r="L56" s="754"/>
      <c r="M56" s="754"/>
      <c r="N56" s="754"/>
      <c r="O56" s="754"/>
      <c r="P56" s="754"/>
      <c r="Q56" s="754"/>
      <c r="R56" s="754"/>
      <c r="S56" s="754"/>
      <c r="T56" s="754"/>
      <c r="U56" s="754"/>
      <c r="V56" s="754"/>
      <c r="W56" s="754"/>
      <c r="X56" s="754"/>
      <c r="Y56" s="754"/>
      <c r="Z56" s="754"/>
      <c r="AA56" s="754"/>
      <c r="AB56" s="754"/>
      <c r="AC56" s="754"/>
      <c r="AD56" s="754"/>
      <c r="AE56" s="767"/>
      <c r="AF56" s="767"/>
      <c r="AG56" s="767"/>
      <c r="AH56" s="767"/>
      <c r="AI56" s="767"/>
      <c r="AJ56" s="767"/>
      <c r="AK56" s="767"/>
      <c r="AL56" s="767"/>
      <c r="AM56" s="767"/>
      <c r="AN56" s="767"/>
      <c r="AO56" s="767"/>
      <c r="AP56" s="767"/>
    </row>
    <row r="57" spans="3:42" hidden="1" x14ac:dyDescent="0.25">
      <c r="C57" s="755"/>
      <c r="D57" s="755"/>
      <c r="E57" s="754"/>
      <c r="F57" s="754"/>
      <c r="G57" s="754"/>
      <c r="H57" s="754"/>
      <c r="I57" s="754"/>
      <c r="J57" s="754"/>
      <c r="K57" s="754"/>
      <c r="L57" s="754"/>
      <c r="M57" s="754"/>
      <c r="N57" s="754"/>
      <c r="O57" s="754"/>
      <c r="P57" s="754"/>
      <c r="Q57" s="754"/>
      <c r="R57" s="754"/>
      <c r="S57" s="754"/>
      <c r="T57" s="754"/>
      <c r="U57" s="754"/>
      <c r="V57" s="754"/>
      <c r="W57" s="754"/>
      <c r="X57" s="754"/>
      <c r="Y57" s="754"/>
      <c r="Z57" s="754"/>
      <c r="AA57" s="754"/>
      <c r="AB57" s="754"/>
      <c r="AC57" s="754"/>
      <c r="AD57" s="754"/>
      <c r="AE57" s="767"/>
      <c r="AF57" s="767"/>
      <c r="AG57" s="767"/>
      <c r="AH57" s="767"/>
      <c r="AI57" s="767"/>
      <c r="AJ57" s="767"/>
      <c r="AK57" s="767"/>
      <c r="AL57" s="767"/>
      <c r="AM57" s="767"/>
      <c r="AN57" s="767"/>
      <c r="AO57" s="767"/>
      <c r="AP57" s="767"/>
    </row>
    <row r="58" spans="3:42" hidden="1" x14ac:dyDescent="0.25">
      <c r="C58" s="755"/>
      <c r="D58" s="755"/>
      <c r="E58" s="754"/>
      <c r="F58" s="754"/>
      <c r="G58" s="754"/>
      <c r="H58" s="754"/>
      <c r="I58" s="754"/>
      <c r="J58" s="754"/>
      <c r="K58" s="754"/>
      <c r="L58" s="754"/>
      <c r="M58" s="754"/>
      <c r="N58" s="754"/>
      <c r="O58" s="754"/>
      <c r="P58" s="754"/>
      <c r="Q58" s="754"/>
      <c r="R58" s="754"/>
      <c r="S58" s="754"/>
      <c r="T58" s="754"/>
      <c r="U58" s="754"/>
      <c r="V58" s="754"/>
      <c r="W58" s="754"/>
      <c r="X58" s="754"/>
      <c r="Y58" s="754"/>
      <c r="Z58" s="754"/>
      <c r="AA58" s="754"/>
      <c r="AB58" s="754"/>
      <c r="AC58" s="754"/>
      <c r="AD58" s="754"/>
      <c r="AE58" s="767"/>
      <c r="AF58" s="767"/>
      <c r="AG58" s="767"/>
      <c r="AH58" s="767"/>
      <c r="AI58" s="767"/>
      <c r="AJ58" s="767"/>
      <c r="AK58" s="767"/>
      <c r="AL58" s="767"/>
      <c r="AM58" s="767"/>
      <c r="AN58" s="767"/>
      <c r="AO58" s="767"/>
      <c r="AP58" s="767"/>
    </row>
    <row r="59" spans="3:42" hidden="1" x14ac:dyDescent="0.25">
      <c r="C59" s="755"/>
      <c r="D59" s="755"/>
      <c r="E59" s="754"/>
      <c r="F59" s="754"/>
      <c r="G59" s="754"/>
      <c r="H59" s="754"/>
      <c r="I59" s="754"/>
      <c r="J59" s="754"/>
      <c r="K59" s="754"/>
      <c r="L59" s="754"/>
      <c r="M59" s="754"/>
      <c r="N59" s="754"/>
      <c r="O59" s="754"/>
      <c r="P59" s="754"/>
      <c r="Q59" s="754"/>
      <c r="R59" s="754"/>
      <c r="S59" s="754"/>
      <c r="T59" s="754"/>
      <c r="U59" s="754"/>
      <c r="V59" s="754"/>
      <c r="W59" s="754"/>
      <c r="X59" s="754"/>
      <c r="Y59" s="754"/>
      <c r="Z59" s="754"/>
      <c r="AA59" s="754"/>
      <c r="AB59" s="754"/>
      <c r="AC59" s="754"/>
      <c r="AD59" s="754"/>
      <c r="AE59" s="767"/>
      <c r="AF59" s="767"/>
      <c r="AG59" s="767"/>
      <c r="AH59" s="767"/>
      <c r="AI59" s="767"/>
      <c r="AJ59" s="767"/>
      <c r="AK59" s="767"/>
      <c r="AL59" s="767"/>
      <c r="AM59" s="767"/>
      <c r="AN59" s="767"/>
      <c r="AO59" s="767"/>
      <c r="AP59" s="767"/>
    </row>
    <row r="60" spans="3:42" hidden="1" x14ac:dyDescent="0.25">
      <c r="C60" s="755"/>
      <c r="D60" s="755"/>
      <c r="E60" s="754"/>
      <c r="F60" s="754"/>
      <c r="G60" s="754"/>
      <c r="H60" s="754"/>
      <c r="I60" s="754"/>
      <c r="J60" s="754"/>
      <c r="K60" s="754"/>
      <c r="L60" s="754"/>
      <c r="M60" s="754"/>
      <c r="N60" s="754"/>
      <c r="O60" s="754"/>
      <c r="P60" s="754"/>
      <c r="Q60" s="754"/>
      <c r="R60" s="754"/>
      <c r="S60" s="754"/>
      <c r="T60" s="754"/>
      <c r="U60" s="754"/>
      <c r="V60" s="754"/>
      <c r="W60" s="754"/>
      <c r="X60" s="754"/>
      <c r="Y60" s="754"/>
      <c r="Z60" s="754"/>
      <c r="AA60" s="754"/>
      <c r="AB60" s="754"/>
      <c r="AC60" s="754"/>
      <c r="AD60" s="754"/>
      <c r="AE60" s="767"/>
      <c r="AF60" s="767"/>
      <c r="AG60" s="767"/>
      <c r="AH60" s="767"/>
      <c r="AI60" s="767"/>
      <c r="AJ60" s="767"/>
      <c r="AK60" s="767"/>
      <c r="AL60" s="767"/>
      <c r="AM60" s="767"/>
      <c r="AN60" s="767"/>
      <c r="AO60" s="767"/>
      <c r="AP60" s="767"/>
    </row>
    <row r="61" spans="3:42" hidden="1" x14ac:dyDescent="0.25">
      <c r="C61" s="755"/>
      <c r="D61" s="755"/>
      <c r="E61" s="754"/>
      <c r="F61" s="754"/>
      <c r="G61" s="754"/>
      <c r="H61" s="754"/>
      <c r="I61" s="754"/>
      <c r="J61" s="754"/>
      <c r="K61" s="754"/>
      <c r="L61" s="754"/>
      <c r="M61" s="754"/>
      <c r="N61" s="754"/>
      <c r="O61" s="754"/>
      <c r="P61" s="754"/>
      <c r="Q61" s="754"/>
      <c r="R61" s="754"/>
      <c r="S61" s="754"/>
      <c r="T61" s="754"/>
      <c r="U61" s="754"/>
      <c r="V61" s="754"/>
      <c r="W61" s="754"/>
      <c r="X61" s="754"/>
      <c r="Y61" s="754"/>
      <c r="Z61" s="754"/>
      <c r="AA61" s="754"/>
      <c r="AB61" s="754"/>
      <c r="AC61" s="754"/>
      <c r="AD61" s="754"/>
      <c r="AE61" s="767"/>
      <c r="AF61" s="767"/>
      <c r="AG61" s="767"/>
      <c r="AH61" s="767"/>
      <c r="AI61" s="767"/>
      <c r="AJ61" s="767"/>
      <c r="AK61" s="767"/>
      <c r="AL61" s="767"/>
      <c r="AM61" s="767"/>
      <c r="AN61" s="767"/>
      <c r="AO61" s="767"/>
      <c r="AP61" s="767"/>
    </row>
    <row r="62" spans="3:42" hidden="1" x14ac:dyDescent="0.25">
      <c r="C62" s="755"/>
      <c r="D62" s="755"/>
      <c r="E62" s="754"/>
      <c r="F62" s="754"/>
      <c r="G62" s="754"/>
      <c r="H62" s="754"/>
      <c r="I62" s="754"/>
      <c r="J62" s="754"/>
      <c r="K62" s="754"/>
      <c r="L62" s="754"/>
      <c r="M62" s="754"/>
      <c r="N62" s="754"/>
      <c r="O62" s="754"/>
      <c r="P62" s="754"/>
      <c r="Q62" s="754"/>
      <c r="R62" s="754"/>
      <c r="S62" s="754"/>
      <c r="T62" s="754"/>
      <c r="U62" s="754"/>
      <c r="V62" s="754"/>
      <c r="W62" s="754"/>
      <c r="X62" s="754"/>
      <c r="Y62" s="754"/>
      <c r="Z62" s="754"/>
      <c r="AA62" s="754"/>
      <c r="AB62" s="754"/>
      <c r="AC62" s="754"/>
      <c r="AD62" s="754"/>
      <c r="AE62" s="767"/>
      <c r="AF62" s="767"/>
      <c r="AG62" s="767"/>
      <c r="AH62" s="767"/>
      <c r="AI62" s="767"/>
      <c r="AJ62" s="767"/>
      <c r="AK62" s="767"/>
      <c r="AL62" s="767"/>
      <c r="AM62" s="767"/>
      <c r="AN62" s="767"/>
      <c r="AO62" s="767"/>
      <c r="AP62" s="767"/>
    </row>
    <row r="63" spans="3:42" hidden="1" x14ac:dyDescent="0.25">
      <c r="C63" s="755"/>
      <c r="D63" s="755"/>
      <c r="E63" s="754"/>
      <c r="F63" s="754"/>
      <c r="G63" s="754"/>
      <c r="H63" s="754"/>
      <c r="I63" s="754"/>
      <c r="J63" s="754"/>
      <c r="K63" s="754"/>
      <c r="L63" s="754"/>
      <c r="M63" s="754"/>
      <c r="N63" s="754"/>
      <c r="O63" s="754"/>
      <c r="P63" s="754"/>
      <c r="Q63" s="754"/>
      <c r="R63" s="754"/>
      <c r="S63" s="754"/>
      <c r="T63" s="754"/>
      <c r="U63" s="754"/>
      <c r="V63" s="754"/>
      <c r="W63" s="754"/>
      <c r="X63" s="754"/>
      <c r="Y63" s="754"/>
      <c r="Z63" s="754"/>
      <c r="AA63" s="754"/>
      <c r="AB63" s="754"/>
      <c r="AC63" s="754"/>
      <c r="AD63" s="754"/>
      <c r="AE63" s="767"/>
      <c r="AF63" s="767"/>
      <c r="AG63" s="767"/>
      <c r="AH63" s="767"/>
      <c r="AI63" s="767"/>
      <c r="AJ63" s="767"/>
      <c r="AK63" s="767"/>
      <c r="AL63" s="767"/>
      <c r="AM63" s="767"/>
      <c r="AN63" s="767"/>
      <c r="AO63" s="767"/>
      <c r="AP63" s="767"/>
    </row>
    <row r="64" spans="3:42" hidden="1" x14ac:dyDescent="0.25">
      <c r="C64" s="755"/>
      <c r="D64" s="755"/>
      <c r="E64" s="754"/>
      <c r="F64" s="754"/>
      <c r="G64" s="754"/>
      <c r="H64" s="754"/>
      <c r="I64" s="754"/>
      <c r="J64" s="754"/>
      <c r="K64" s="754"/>
      <c r="L64" s="754"/>
      <c r="M64" s="754"/>
      <c r="N64" s="754"/>
      <c r="O64" s="754"/>
      <c r="P64" s="754"/>
      <c r="Q64" s="754"/>
      <c r="R64" s="754"/>
      <c r="S64" s="754"/>
      <c r="T64" s="754"/>
      <c r="U64" s="754"/>
      <c r="V64" s="754"/>
      <c r="W64" s="754"/>
      <c r="X64" s="754"/>
      <c r="Y64" s="754"/>
      <c r="Z64" s="754"/>
      <c r="AA64" s="754"/>
      <c r="AB64" s="754"/>
      <c r="AC64" s="754"/>
      <c r="AD64" s="754"/>
      <c r="AE64" s="767"/>
      <c r="AF64" s="767"/>
      <c r="AG64" s="767"/>
      <c r="AH64" s="767"/>
      <c r="AI64" s="767"/>
      <c r="AJ64" s="767"/>
      <c r="AK64" s="767"/>
      <c r="AL64" s="767"/>
      <c r="AM64" s="767"/>
      <c r="AN64" s="767"/>
      <c r="AO64" s="767"/>
      <c r="AP64" s="767"/>
    </row>
    <row r="65" spans="3:42" hidden="1" x14ac:dyDescent="0.25">
      <c r="C65" s="755"/>
      <c r="D65" s="755"/>
      <c r="E65" s="754"/>
      <c r="F65" s="754"/>
      <c r="G65" s="754"/>
      <c r="H65" s="754"/>
      <c r="I65" s="754"/>
      <c r="J65" s="754"/>
      <c r="K65" s="754"/>
      <c r="L65" s="754"/>
      <c r="M65" s="754"/>
      <c r="N65" s="754"/>
      <c r="O65" s="754"/>
      <c r="P65" s="754"/>
      <c r="Q65" s="754"/>
      <c r="R65" s="754"/>
      <c r="S65" s="754"/>
      <c r="T65" s="754"/>
      <c r="U65" s="754"/>
      <c r="V65" s="754"/>
      <c r="W65" s="754"/>
      <c r="X65" s="754"/>
      <c r="Y65" s="754"/>
      <c r="Z65" s="754"/>
      <c r="AA65" s="754"/>
      <c r="AB65" s="754"/>
      <c r="AC65" s="754"/>
      <c r="AD65" s="754"/>
      <c r="AE65" s="767"/>
      <c r="AF65" s="767"/>
      <c r="AG65" s="767"/>
      <c r="AH65" s="767"/>
      <c r="AI65" s="767"/>
      <c r="AJ65" s="767"/>
      <c r="AK65" s="767"/>
      <c r="AL65" s="767"/>
      <c r="AM65" s="767"/>
      <c r="AN65" s="767"/>
      <c r="AO65" s="767"/>
      <c r="AP65" s="767"/>
    </row>
    <row r="66" spans="3:42" hidden="1" x14ac:dyDescent="0.25">
      <c r="C66" s="755"/>
      <c r="D66" s="755"/>
      <c r="E66" s="754"/>
      <c r="F66" s="754"/>
      <c r="G66" s="754"/>
      <c r="H66" s="754"/>
      <c r="I66" s="754"/>
      <c r="J66" s="754"/>
      <c r="K66" s="754"/>
      <c r="L66" s="754"/>
      <c r="M66" s="754"/>
      <c r="N66" s="754"/>
      <c r="O66" s="754"/>
      <c r="P66" s="754"/>
      <c r="Q66" s="754"/>
      <c r="R66" s="754"/>
      <c r="S66" s="754"/>
      <c r="T66" s="754"/>
      <c r="U66" s="754"/>
      <c r="V66" s="754"/>
      <c r="W66" s="754"/>
      <c r="X66" s="754"/>
      <c r="Y66" s="754"/>
      <c r="Z66" s="754"/>
      <c r="AA66" s="754"/>
      <c r="AB66" s="754"/>
      <c r="AC66" s="754"/>
      <c r="AD66" s="754"/>
      <c r="AE66" s="767"/>
      <c r="AF66" s="767"/>
      <c r="AG66" s="767"/>
      <c r="AH66" s="767"/>
      <c r="AI66" s="767"/>
      <c r="AJ66" s="767"/>
      <c r="AK66" s="767"/>
      <c r="AL66" s="767"/>
      <c r="AM66" s="767"/>
      <c r="AN66" s="767"/>
      <c r="AO66" s="767"/>
      <c r="AP66" s="767"/>
    </row>
    <row r="67" spans="3:42" hidden="1" x14ac:dyDescent="0.25">
      <c r="C67" s="755"/>
      <c r="D67" s="755"/>
      <c r="E67" s="754"/>
      <c r="F67" s="754"/>
      <c r="G67" s="754"/>
      <c r="H67" s="754"/>
      <c r="I67" s="754"/>
      <c r="J67" s="754"/>
      <c r="K67" s="754"/>
      <c r="L67" s="754"/>
      <c r="M67" s="754"/>
      <c r="N67" s="754"/>
      <c r="O67" s="754"/>
      <c r="P67" s="754"/>
      <c r="Q67" s="754"/>
      <c r="R67" s="754"/>
      <c r="S67" s="754"/>
      <c r="T67" s="754"/>
      <c r="U67" s="754"/>
      <c r="V67" s="754"/>
      <c r="W67" s="754"/>
      <c r="X67" s="754"/>
      <c r="Y67" s="754"/>
      <c r="Z67" s="754"/>
      <c r="AA67" s="754"/>
      <c r="AB67" s="754"/>
      <c r="AC67" s="754"/>
      <c r="AD67" s="754"/>
      <c r="AE67" s="767"/>
      <c r="AF67" s="767"/>
      <c r="AG67" s="767"/>
      <c r="AH67" s="767"/>
      <c r="AI67" s="767"/>
      <c r="AJ67" s="767"/>
      <c r="AK67" s="767"/>
      <c r="AL67" s="767"/>
      <c r="AM67" s="767"/>
      <c r="AN67" s="767"/>
      <c r="AO67" s="767"/>
      <c r="AP67" s="767"/>
    </row>
    <row r="68" spans="3:42" hidden="1" x14ac:dyDescent="0.25">
      <c r="C68" s="755"/>
      <c r="D68" s="755"/>
      <c r="E68" s="754"/>
      <c r="F68" s="754"/>
      <c r="G68" s="754"/>
      <c r="H68" s="754"/>
      <c r="I68" s="754"/>
      <c r="J68" s="754"/>
      <c r="K68" s="754"/>
      <c r="L68" s="754"/>
      <c r="M68" s="754"/>
      <c r="N68" s="754"/>
      <c r="O68" s="754"/>
      <c r="P68" s="754"/>
      <c r="Q68" s="754"/>
      <c r="R68" s="754"/>
      <c r="S68" s="754"/>
      <c r="T68" s="754"/>
      <c r="U68" s="754"/>
      <c r="V68" s="754"/>
      <c r="W68" s="754"/>
      <c r="X68" s="754"/>
      <c r="Y68" s="754"/>
      <c r="Z68" s="754"/>
      <c r="AA68" s="754"/>
      <c r="AB68" s="754"/>
      <c r="AC68" s="754"/>
      <c r="AD68" s="754"/>
      <c r="AE68" s="767"/>
      <c r="AF68" s="767"/>
      <c r="AG68" s="767"/>
      <c r="AH68" s="767"/>
      <c r="AI68" s="767"/>
      <c r="AJ68" s="767"/>
      <c r="AK68" s="767"/>
      <c r="AL68" s="767"/>
      <c r="AM68" s="767"/>
      <c r="AN68" s="767"/>
      <c r="AO68" s="767"/>
      <c r="AP68" s="767"/>
    </row>
    <row r="69" spans="3:42" hidden="1" x14ac:dyDescent="0.25">
      <c r="C69" s="755"/>
      <c r="D69" s="755"/>
      <c r="E69" s="754"/>
      <c r="F69" s="754"/>
      <c r="G69" s="754"/>
      <c r="H69" s="754"/>
      <c r="I69" s="754"/>
      <c r="J69" s="754"/>
      <c r="K69" s="754"/>
      <c r="L69" s="754"/>
      <c r="M69" s="754"/>
      <c r="N69" s="754"/>
      <c r="O69" s="754"/>
      <c r="P69" s="754"/>
      <c r="Q69" s="754"/>
      <c r="R69" s="754"/>
      <c r="S69" s="754"/>
      <c r="T69" s="754"/>
      <c r="U69" s="754"/>
      <c r="V69" s="754"/>
      <c r="W69" s="754"/>
      <c r="X69" s="754"/>
      <c r="Y69" s="754"/>
      <c r="Z69" s="754"/>
      <c r="AA69" s="754"/>
      <c r="AB69" s="754"/>
      <c r="AC69" s="754"/>
      <c r="AD69" s="754"/>
      <c r="AE69" s="767"/>
      <c r="AF69" s="767"/>
      <c r="AG69" s="767"/>
      <c r="AH69" s="767"/>
      <c r="AI69" s="767"/>
      <c r="AJ69" s="767"/>
      <c r="AK69" s="767"/>
      <c r="AL69" s="767"/>
      <c r="AM69" s="767"/>
      <c r="AN69" s="767"/>
      <c r="AO69" s="767"/>
      <c r="AP69" s="767"/>
    </row>
    <row r="70" spans="3:42" hidden="1" x14ac:dyDescent="0.25">
      <c r="C70" s="755"/>
      <c r="D70" s="755"/>
      <c r="E70" s="754"/>
      <c r="F70" s="754"/>
      <c r="G70" s="754"/>
      <c r="H70" s="754"/>
      <c r="I70" s="754"/>
      <c r="J70" s="754"/>
      <c r="K70" s="754"/>
      <c r="L70" s="754"/>
      <c r="M70" s="754"/>
      <c r="N70" s="754"/>
      <c r="O70" s="754"/>
      <c r="P70" s="754"/>
      <c r="Q70" s="754"/>
      <c r="R70" s="754"/>
      <c r="S70" s="754"/>
      <c r="T70" s="754"/>
      <c r="U70" s="754"/>
      <c r="V70" s="754"/>
      <c r="W70" s="754"/>
      <c r="X70" s="754"/>
      <c r="Y70" s="754"/>
      <c r="Z70" s="754"/>
      <c r="AA70" s="754"/>
      <c r="AB70" s="754"/>
      <c r="AC70" s="754"/>
      <c r="AD70" s="754"/>
      <c r="AE70" s="767"/>
      <c r="AF70" s="767"/>
      <c r="AG70" s="767"/>
      <c r="AH70" s="767"/>
      <c r="AI70" s="767"/>
      <c r="AJ70" s="767"/>
      <c r="AK70" s="767"/>
      <c r="AL70" s="767"/>
      <c r="AM70" s="767"/>
      <c r="AN70" s="767"/>
      <c r="AO70" s="767"/>
      <c r="AP70" s="767"/>
    </row>
    <row r="71" spans="3:42" hidden="1" x14ac:dyDescent="0.25">
      <c r="C71" s="755"/>
      <c r="D71" s="755"/>
      <c r="E71" s="754"/>
      <c r="F71" s="754"/>
      <c r="G71" s="754"/>
      <c r="H71" s="754"/>
      <c r="I71" s="754"/>
      <c r="J71" s="754"/>
      <c r="K71" s="754"/>
      <c r="L71" s="754"/>
      <c r="M71" s="754"/>
      <c r="N71" s="754"/>
      <c r="O71" s="754"/>
      <c r="P71" s="754"/>
      <c r="Q71" s="754"/>
      <c r="R71" s="754"/>
      <c r="S71" s="754"/>
      <c r="T71" s="754"/>
      <c r="U71" s="754"/>
      <c r="V71" s="754"/>
      <c r="W71" s="754"/>
      <c r="X71" s="754"/>
      <c r="Y71" s="754"/>
      <c r="Z71" s="754"/>
      <c r="AA71" s="754"/>
      <c r="AB71" s="754"/>
      <c r="AC71" s="754"/>
      <c r="AD71" s="754"/>
      <c r="AE71" s="767"/>
      <c r="AF71" s="767"/>
      <c r="AG71" s="767"/>
      <c r="AH71" s="767"/>
      <c r="AI71" s="767"/>
      <c r="AJ71" s="767"/>
      <c r="AK71" s="767"/>
      <c r="AL71" s="767"/>
      <c r="AM71" s="767"/>
      <c r="AN71" s="767"/>
      <c r="AO71" s="767"/>
      <c r="AP71" s="767"/>
    </row>
    <row r="72" spans="3:42" hidden="1" x14ac:dyDescent="0.25">
      <c r="C72" s="755"/>
      <c r="D72" s="755"/>
      <c r="E72" s="754"/>
      <c r="F72" s="754"/>
      <c r="G72" s="754"/>
      <c r="H72" s="754"/>
      <c r="I72" s="754"/>
      <c r="J72" s="754"/>
      <c r="K72" s="754"/>
      <c r="L72" s="754"/>
      <c r="M72" s="754"/>
      <c r="N72" s="754"/>
      <c r="O72" s="754"/>
      <c r="P72" s="754"/>
      <c r="Q72" s="754"/>
      <c r="R72" s="754"/>
      <c r="S72" s="754"/>
      <c r="T72" s="754"/>
      <c r="U72" s="754"/>
      <c r="V72" s="754"/>
      <c r="W72" s="754"/>
      <c r="X72" s="754"/>
      <c r="Y72" s="754"/>
      <c r="Z72" s="754"/>
      <c r="AA72" s="754"/>
      <c r="AB72" s="754"/>
      <c r="AC72" s="754"/>
      <c r="AD72" s="754"/>
      <c r="AE72" s="767"/>
      <c r="AF72" s="767"/>
      <c r="AG72" s="767"/>
      <c r="AH72" s="767"/>
      <c r="AI72" s="767"/>
      <c r="AJ72" s="767"/>
      <c r="AK72" s="767"/>
      <c r="AL72" s="767"/>
      <c r="AM72" s="767"/>
      <c r="AN72" s="767"/>
      <c r="AO72" s="767"/>
      <c r="AP72" s="767"/>
    </row>
    <row r="73" spans="3:42" hidden="1" x14ac:dyDescent="0.25">
      <c r="C73" s="755"/>
      <c r="D73" s="755"/>
      <c r="E73" s="754"/>
      <c r="F73" s="754"/>
      <c r="G73" s="754"/>
      <c r="H73" s="754"/>
      <c r="I73" s="754"/>
      <c r="J73" s="754"/>
      <c r="K73" s="754"/>
      <c r="L73" s="754"/>
      <c r="M73" s="754"/>
      <c r="N73" s="754"/>
      <c r="O73" s="754"/>
      <c r="P73" s="754"/>
      <c r="Q73" s="754"/>
      <c r="R73" s="754"/>
      <c r="S73" s="754"/>
      <c r="T73" s="754"/>
      <c r="U73" s="754"/>
      <c r="V73" s="754"/>
      <c r="W73" s="754"/>
      <c r="X73" s="754"/>
      <c r="Y73" s="754"/>
      <c r="Z73" s="754"/>
      <c r="AA73" s="754"/>
      <c r="AB73" s="754"/>
      <c r="AC73" s="754"/>
      <c r="AD73" s="754"/>
      <c r="AE73" s="767"/>
      <c r="AF73" s="767"/>
      <c r="AG73" s="767"/>
      <c r="AH73" s="767"/>
      <c r="AI73" s="767"/>
      <c r="AJ73" s="767"/>
      <c r="AK73" s="767"/>
      <c r="AL73" s="767"/>
      <c r="AM73" s="767"/>
      <c r="AN73" s="767"/>
      <c r="AO73" s="767"/>
      <c r="AP73" s="767"/>
    </row>
    <row r="74" spans="3:42" hidden="1" x14ac:dyDescent="0.25">
      <c r="C74" s="755"/>
      <c r="D74" s="755"/>
      <c r="E74" s="754"/>
      <c r="F74" s="754"/>
      <c r="G74" s="754"/>
      <c r="H74" s="754"/>
      <c r="I74" s="754"/>
      <c r="J74" s="754"/>
      <c r="K74" s="754"/>
      <c r="L74" s="754"/>
      <c r="M74" s="754"/>
      <c r="N74" s="754"/>
      <c r="O74" s="754"/>
      <c r="P74" s="754"/>
      <c r="Q74" s="754"/>
      <c r="R74" s="754"/>
      <c r="S74" s="754"/>
      <c r="T74" s="754"/>
      <c r="U74" s="754"/>
      <c r="V74" s="754"/>
      <c r="W74" s="754"/>
      <c r="X74" s="754"/>
      <c r="Y74" s="754"/>
      <c r="Z74" s="754"/>
      <c r="AA74" s="754"/>
      <c r="AB74" s="754"/>
      <c r="AC74" s="754"/>
      <c r="AD74" s="754"/>
      <c r="AE74" s="767"/>
      <c r="AF74" s="767"/>
      <c r="AG74" s="767"/>
      <c r="AH74" s="767"/>
      <c r="AI74" s="767"/>
      <c r="AJ74" s="767"/>
      <c r="AK74" s="767"/>
      <c r="AL74" s="767"/>
      <c r="AM74" s="767"/>
      <c r="AN74" s="767"/>
      <c r="AO74" s="767"/>
      <c r="AP74" s="767"/>
    </row>
    <row r="75" spans="3:42" hidden="1" x14ac:dyDescent="0.25">
      <c r="C75" s="755"/>
      <c r="D75" s="755"/>
      <c r="E75" s="754"/>
      <c r="F75" s="754"/>
      <c r="G75" s="754"/>
      <c r="H75" s="754"/>
      <c r="I75" s="754"/>
      <c r="J75" s="754"/>
      <c r="K75" s="754"/>
      <c r="L75" s="754"/>
      <c r="M75" s="754"/>
      <c r="N75" s="754"/>
      <c r="O75" s="754"/>
      <c r="P75" s="754"/>
      <c r="Q75" s="754"/>
      <c r="R75" s="754"/>
      <c r="S75" s="754"/>
      <c r="T75" s="754"/>
      <c r="U75" s="754"/>
      <c r="V75" s="754"/>
      <c r="W75" s="754"/>
      <c r="X75" s="754"/>
      <c r="Y75" s="754"/>
      <c r="Z75" s="754"/>
      <c r="AA75" s="754"/>
      <c r="AB75" s="754"/>
      <c r="AC75" s="754"/>
      <c r="AD75" s="754"/>
      <c r="AE75" s="767"/>
      <c r="AF75" s="767"/>
      <c r="AG75" s="767"/>
      <c r="AH75" s="767"/>
      <c r="AI75" s="767"/>
      <c r="AJ75" s="767"/>
      <c r="AK75" s="767"/>
      <c r="AL75" s="767"/>
      <c r="AM75" s="767"/>
      <c r="AN75" s="767"/>
      <c r="AO75" s="767"/>
      <c r="AP75" s="767"/>
    </row>
    <row r="76" spans="3:42" hidden="1" x14ac:dyDescent="0.25">
      <c r="C76" s="755"/>
      <c r="D76" s="755"/>
      <c r="E76" s="754"/>
      <c r="F76" s="754"/>
      <c r="G76" s="754"/>
      <c r="H76" s="754"/>
      <c r="I76" s="754"/>
      <c r="J76" s="754"/>
      <c r="K76" s="754"/>
      <c r="L76" s="754"/>
      <c r="M76" s="754"/>
      <c r="N76" s="754"/>
      <c r="O76" s="754"/>
      <c r="P76" s="754"/>
      <c r="Q76" s="754"/>
      <c r="R76" s="754"/>
      <c r="S76" s="754"/>
      <c r="T76" s="754"/>
      <c r="U76" s="754"/>
      <c r="V76" s="754"/>
      <c r="W76" s="754"/>
      <c r="X76" s="754"/>
      <c r="Y76" s="754"/>
      <c r="Z76" s="754"/>
      <c r="AA76" s="754"/>
      <c r="AB76" s="754"/>
      <c r="AC76" s="754"/>
      <c r="AD76" s="754"/>
      <c r="AE76" s="767"/>
      <c r="AF76" s="767"/>
      <c r="AG76" s="767"/>
      <c r="AH76" s="767"/>
      <c r="AI76" s="767"/>
      <c r="AJ76" s="767"/>
      <c r="AK76" s="767"/>
      <c r="AL76" s="767"/>
      <c r="AM76" s="767"/>
      <c r="AN76" s="767"/>
      <c r="AO76" s="767"/>
      <c r="AP76" s="767"/>
    </row>
    <row r="77" spans="3:42" hidden="1" x14ac:dyDescent="0.25">
      <c r="C77" s="755"/>
      <c r="D77" s="755"/>
      <c r="E77" s="754"/>
      <c r="F77" s="754"/>
      <c r="G77" s="754"/>
      <c r="H77" s="754"/>
      <c r="I77" s="754"/>
      <c r="J77" s="754"/>
      <c r="K77" s="754"/>
      <c r="L77" s="754"/>
      <c r="M77" s="754"/>
      <c r="N77" s="754"/>
      <c r="O77" s="754"/>
      <c r="P77" s="754"/>
      <c r="Q77" s="754"/>
      <c r="R77" s="754"/>
      <c r="S77" s="754"/>
      <c r="T77" s="754"/>
      <c r="U77" s="754"/>
      <c r="V77" s="754"/>
      <c r="W77" s="754"/>
      <c r="X77" s="754"/>
      <c r="Y77" s="754"/>
      <c r="Z77" s="754"/>
      <c r="AA77" s="754"/>
      <c r="AB77" s="754"/>
      <c r="AC77" s="754"/>
      <c r="AD77" s="754"/>
      <c r="AE77" s="767"/>
      <c r="AF77" s="767"/>
      <c r="AG77" s="767"/>
      <c r="AH77" s="767"/>
      <c r="AI77" s="767"/>
      <c r="AJ77" s="767"/>
      <c r="AK77" s="767"/>
      <c r="AL77" s="767"/>
      <c r="AM77" s="767"/>
      <c r="AN77" s="767"/>
      <c r="AO77" s="767"/>
      <c r="AP77" s="767"/>
    </row>
    <row r="78" spans="3:42" hidden="1" x14ac:dyDescent="0.25">
      <c r="C78" s="755"/>
      <c r="D78" s="755"/>
      <c r="E78" s="754"/>
      <c r="F78" s="754"/>
      <c r="G78" s="754"/>
      <c r="H78" s="754"/>
      <c r="I78" s="754"/>
      <c r="J78" s="754"/>
      <c r="K78" s="754"/>
      <c r="L78" s="754"/>
      <c r="M78" s="754"/>
      <c r="N78" s="754"/>
      <c r="O78" s="754"/>
      <c r="P78" s="754"/>
      <c r="Q78" s="754"/>
      <c r="R78" s="754"/>
      <c r="S78" s="754"/>
      <c r="T78" s="754"/>
      <c r="U78" s="754"/>
      <c r="V78" s="754"/>
      <c r="W78" s="754"/>
      <c r="X78" s="754"/>
      <c r="Y78" s="754"/>
      <c r="Z78" s="754"/>
      <c r="AA78" s="754"/>
      <c r="AB78" s="754"/>
      <c r="AC78" s="754"/>
      <c r="AD78" s="754"/>
      <c r="AE78" s="767"/>
      <c r="AF78" s="767"/>
      <c r="AG78" s="767"/>
      <c r="AH78" s="767"/>
      <c r="AI78" s="767"/>
      <c r="AJ78" s="767"/>
      <c r="AK78" s="767"/>
      <c r="AL78" s="767"/>
      <c r="AM78" s="767"/>
      <c r="AN78" s="767"/>
      <c r="AO78" s="767"/>
      <c r="AP78" s="767"/>
    </row>
    <row r="79" spans="3:42" hidden="1" x14ac:dyDescent="0.25">
      <c r="C79" s="755"/>
      <c r="D79" s="755"/>
      <c r="E79" s="754"/>
      <c r="F79" s="754"/>
      <c r="G79" s="754"/>
      <c r="H79" s="754"/>
      <c r="I79" s="754"/>
      <c r="J79" s="754"/>
      <c r="K79" s="754"/>
      <c r="L79" s="754"/>
      <c r="M79" s="754"/>
      <c r="N79" s="754"/>
      <c r="O79" s="754"/>
      <c r="P79" s="754"/>
      <c r="Q79" s="754"/>
      <c r="R79" s="754"/>
      <c r="S79" s="754"/>
      <c r="T79" s="754"/>
      <c r="U79" s="754"/>
      <c r="V79" s="754"/>
      <c r="W79" s="754"/>
      <c r="X79" s="754"/>
      <c r="Y79" s="754"/>
      <c r="Z79" s="754"/>
      <c r="AA79" s="754"/>
      <c r="AB79" s="754"/>
      <c r="AC79" s="754"/>
      <c r="AD79" s="754"/>
      <c r="AE79" s="767"/>
      <c r="AF79" s="767"/>
      <c r="AG79" s="767"/>
      <c r="AH79" s="767"/>
      <c r="AI79" s="767"/>
      <c r="AJ79" s="767"/>
      <c r="AK79" s="767"/>
      <c r="AL79" s="767"/>
      <c r="AM79" s="767"/>
      <c r="AN79" s="767"/>
      <c r="AO79" s="767"/>
      <c r="AP79" s="767"/>
    </row>
    <row r="80" spans="3:42" hidden="1" x14ac:dyDescent="0.25">
      <c r="C80" s="755"/>
      <c r="D80" s="755"/>
      <c r="E80" s="754"/>
      <c r="F80" s="754"/>
      <c r="G80" s="754"/>
      <c r="H80" s="754"/>
      <c r="I80" s="754"/>
      <c r="J80" s="754"/>
      <c r="K80" s="754"/>
      <c r="L80" s="754"/>
      <c r="M80" s="754"/>
      <c r="N80" s="754"/>
      <c r="O80" s="754"/>
      <c r="P80" s="754"/>
      <c r="Q80" s="754"/>
      <c r="R80" s="754"/>
      <c r="S80" s="754"/>
      <c r="T80" s="754"/>
      <c r="U80" s="754"/>
      <c r="V80" s="754"/>
      <c r="W80" s="754"/>
      <c r="X80" s="754"/>
      <c r="Y80" s="754"/>
      <c r="Z80" s="754"/>
      <c r="AA80" s="754"/>
      <c r="AB80" s="754"/>
      <c r="AC80" s="754"/>
      <c r="AD80" s="754"/>
      <c r="AE80" s="767"/>
      <c r="AF80" s="767"/>
      <c r="AG80" s="767"/>
      <c r="AH80" s="767"/>
      <c r="AI80" s="767"/>
      <c r="AJ80" s="767"/>
      <c r="AK80" s="767"/>
      <c r="AL80" s="767"/>
      <c r="AM80" s="767"/>
      <c r="AN80" s="767"/>
      <c r="AO80" s="767"/>
      <c r="AP80" s="767"/>
    </row>
    <row r="81" spans="3:42" hidden="1" x14ac:dyDescent="0.25">
      <c r="C81" s="755"/>
      <c r="D81" s="755"/>
      <c r="E81" s="754"/>
      <c r="F81" s="754"/>
      <c r="G81" s="754"/>
      <c r="H81" s="754"/>
      <c r="I81" s="754"/>
      <c r="J81" s="754"/>
      <c r="K81" s="754"/>
      <c r="L81" s="754"/>
      <c r="M81" s="754"/>
      <c r="N81" s="754"/>
      <c r="O81" s="754"/>
      <c r="P81" s="754"/>
      <c r="Q81" s="754"/>
      <c r="R81" s="754"/>
      <c r="S81" s="754"/>
      <c r="T81" s="754"/>
      <c r="U81" s="754"/>
      <c r="V81" s="754"/>
      <c r="W81" s="754"/>
      <c r="X81" s="754"/>
      <c r="Y81" s="754"/>
      <c r="Z81" s="754"/>
      <c r="AA81" s="754"/>
      <c r="AB81" s="754"/>
      <c r="AC81" s="754"/>
      <c r="AD81" s="754"/>
      <c r="AE81" s="767"/>
      <c r="AF81" s="767"/>
      <c r="AG81" s="767"/>
      <c r="AH81" s="767"/>
      <c r="AI81" s="767"/>
      <c r="AJ81" s="767"/>
      <c r="AK81" s="767"/>
      <c r="AL81" s="767"/>
      <c r="AM81" s="767"/>
      <c r="AN81" s="767"/>
      <c r="AO81" s="767"/>
      <c r="AP81" s="767"/>
    </row>
    <row r="82" spans="3:42" hidden="1" x14ac:dyDescent="0.25">
      <c r="C82" s="755"/>
      <c r="D82" s="755"/>
      <c r="E82" s="754"/>
      <c r="F82" s="754"/>
      <c r="G82" s="754"/>
      <c r="H82" s="754"/>
      <c r="I82" s="754"/>
      <c r="J82" s="754"/>
      <c r="K82" s="754"/>
      <c r="L82" s="754"/>
      <c r="M82" s="754"/>
      <c r="N82" s="754"/>
      <c r="O82" s="754"/>
      <c r="P82" s="754"/>
      <c r="Q82" s="754"/>
      <c r="R82" s="754"/>
      <c r="S82" s="754"/>
      <c r="T82" s="754"/>
      <c r="U82" s="754"/>
      <c r="V82" s="754"/>
      <c r="W82" s="754"/>
      <c r="X82" s="754"/>
      <c r="Y82" s="754"/>
      <c r="Z82" s="754"/>
      <c r="AA82" s="754"/>
      <c r="AB82" s="754"/>
      <c r="AC82" s="754"/>
      <c r="AD82" s="754"/>
      <c r="AE82" s="767"/>
      <c r="AF82" s="767"/>
      <c r="AG82" s="767"/>
      <c r="AH82" s="767"/>
      <c r="AI82" s="767"/>
      <c r="AJ82" s="767"/>
      <c r="AK82" s="767"/>
      <c r="AL82" s="767"/>
      <c r="AM82" s="767"/>
      <c r="AN82" s="767"/>
      <c r="AO82" s="767"/>
      <c r="AP82" s="767"/>
    </row>
    <row r="83" spans="3:42" hidden="1" x14ac:dyDescent="0.25">
      <c r="C83" s="755"/>
      <c r="D83" s="755"/>
      <c r="E83" s="754"/>
      <c r="F83" s="754"/>
      <c r="G83" s="754"/>
      <c r="H83" s="754"/>
      <c r="I83" s="754"/>
      <c r="J83" s="754"/>
      <c r="K83" s="754"/>
      <c r="L83" s="754"/>
      <c r="M83" s="754"/>
      <c r="N83" s="754"/>
      <c r="O83" s="754"/>
      <c r="P83" s="754"/>
      <c r="Q83" s="754"/>
      <c r="R83" s="754"/>
      <c r="S83" s="754"/>
      <c r="T83" s="754"/>
      <c r="U83" s="754"/>
      <c r="V83" s="754"/>
      <c r="W83" s="754"/>
      <c r="X83" s="754"/>
      <c r="Y83" s="754"/>
      <c r="Z83" s="754"/>
      <c r="AA83" s="754"/>
      <c r="AB83" s="754"/>
      <c r="AC83" s="754"/>
      <c r="AD83" s="754"/>
      <c r="AE83" s="767"/>
      <c r="AF83" s="767"/>
      <c r="AG83" s="767"/>
      <c r="AH83" s="767"/>
      <c r="AI83" s="767"/>
      <c r="AJ83" s="767"/>
      <c r="AK83" s="767"/>
      <c r="AL83" s="767"/>
      <c r="AM83" s="767"/>
      <c r="AN83" s="767"/>
      <c r="AO83" s="767"/>
      <c r="AP83" s="767"/>
    </row>
    <row r="84" spans="3:42" hidden="1" x14ac:dyDescent="0.25">
      <c r="C84" s="755"/>
      <c r="D84" s="755"/>
      <c r="E84" s="754"/>
      <c r="F84" s="754"/>
      <c r="G84" s="754"/>
      <c r="H84" s="754"/>
      <c r="I84" s="754"/>
      <c r="J84" s="754"/>
      <c r="K84" s="754"/>
      <c r="L84" s="754"/>
      <c r="M84" s="754"/>
      <c r="N84" s="754"/>
      <c r="O84" s="754"/>
      <c r="P84" s="754"/>
      <c r="Q84" s="754"/>
      <c r="R84" s="754"/>
      <c r="S84" s="754"/>
      <c r="T84" s="754"/>
      <c r="U84" s="754"/>
      <c r="V84" s="754"/>
      <c r="W84" s="754"/>
      <c r="X84" s="754"/>
      <c r="Y84" s="754"/>
      <c r="Z84" s="754"/>
      <c r="AA84" s="754"/>
      <c r="AB84" s="754"/>
      <c r="AC84" s="754"/>
      <c r="AD84" s="754"/>
      <c r="AE84" s="767"/>
      <c r="AF84" s="767"/>
      <c r="AG84" s="767"/>
      <c r="AH84" s="767"/>
      <c r="AI84" s="767"/>
      <c r="AJ84" s="767"/>
      <c r="AK84" s="767"/>
      <c r="AL84" s="767"/>
      <c r="AM84" s="767"/>
      <c r="AN84" s="767"/>
      <c r="AO84" s="767"/>
      <c r="AP84" s="767"/>
    </row>
    <row r="85" spans="3:42" hidden="1" x14ac:dyDescent="0.25">
      <c r="C85" s="755"/>
      <c r="D85" s="755"/>
      <c r="E85" s="754"/>
      <c r="F85" s="754"/>
      <c r="G85" s="754"/>
      <c r="H85" s="754"/>
      <c r="I85" s="754"/>
      <c r="J85" s="754"/>
      <c r="K85" s="754"/>
      <c r="L85" s="754"/>
      <c r="M85" s="754"/>
      <c r="N85" s="754"/>
      <c r="O85" s="754"/>
      <c r="P85" s="754"/>
      <c r="Q85" s="754"/>
      <c r="R85" s="754"/>
      <c r="S85" s="754"/>
      <c r="T85" s="754"/>
      <c r="U85" s="754"/>
      <c r="V85" s="754"/>
      <c r="W85" s="754"/>
      <c r="X85" s="754"/>
      <c r="Y85" s="754"/>
      <c r="Z85" s="754"/>
      <c r="AA85" s="754"/>
      <c r="AB85" s="754"/>
      <c r="AC85" s="754"/>
      <c r="AD85" s="754"/>
      <c r="AE85" s="767"/>
      <c r="AF85" s="767"/>
      <c r="AG85" s="767"/>
      <c r="AH85" s="767"/>
      <c r="AI85" s="767"/>
      <c r="AJ85" s="767"/>
      <c r="AK85" s="767"/>
      <c r="AL85" s="767"/>
      <c r="AM85" s="767"/>
      <c r="AN85" s="767"/>
      <c r="AO85" s="767"/>
      <c r="AP85" s="767"/>
    </row>
    <row r="86" spans="3:42" hidden="1" x14ac:dyDescent="0.25">
      <c r="C86" s="755"/>
      <c r="D86" s="755"/>
      <c r="E86" s="754"/>
      <c r="F86" s="754"/>
      <c r="G86" s="754"/>
      <c r="H86" s="754"/>
      <c r="I86" s="754"/>
      <c r="J86" s="754"/>
      <c r="K86" s="754"/>
      <c r="L86" s="754"/>
      <c r="M86" s="754"/>
      <c r="N86" s="754"/>
      <c r="O86" s="754"/>
      <c r="P86" s="754"/>
      <c r="Q86" s="754"/>
      <c r="R86" s="754"/>
      <c r="S86" s="754"/>
      <c r="T86" s="754"/>
      <c r="U86" s="754"/>
      <c r="V86" s="754"/>
      <c r="W86" s="754"/>
      <c r="X86" s="754"/>
      <c r="Y86" s="754"/>
      <c r="Z86" s="754"/>
      <c r="AA86" s="754"/>
      <c r="AB86" s="754"/>
      <c r="AC86" s="754"/>
      <c r="AD86" s="754"/>
      <c r="AE86" s="767"/>
      <c r="AF86" s="767"/>
      <c r="AG86" s="767"/>
      <c r="AH86" s="767"/>
      <c r="AI86" s="767"/>
      <c r="AJ86" s="767"/>
      <c r="AK86" s="767"/>
      <c r="AL86" s="767"/>
      <c r="AM86" s="767"/>
      <c r="AN86" s="767"/>
      <c r="AO86" s="767"/>
      <c r="AP86" s="767"/>
    </row>
    <row r="87" spans="3:42" hidden="1" x14ac:dyDescent="0.25">
      <c r="C87" s="755"/>
      <c r="D87" s="755"/>
      <c r="E87" s="754"/>
      <c r="F87" s="754"/>
      <c r="G87" s="754"/>
      <c r="H87" s="754"/>
      <c r="I87" s="754"/>
      <c r="J87" s="754"/>
      <c r="K87" s="754"/>
      <c r="L87" s="754"/>
      <c r="M87" s="754"/>
      <c r="N87" s="754"/>
      <c r="O87" s="754"/>
      <c r="P87" s="754"/>
      <c r="Q87" s="754"/>
      <c r="R87" s="754"/>
      <c r="S87" s="754"/>
      <c r="T87" s="754"/>
      <c r="U87" s="754"/>
      <c r="V87" s="754"/>
      <c r="W87" s="754"/>
      <c r="X87" s="754"/>
      <c r="Y87" s="754"/>
      <c r="Z87" s="754"/>
      <c r="AA87" s="754"/>
      <c r="AB87" s="754"/>
      <c r="AC87" s="754"/>
      <c r="AD87" s="754"/>
      <c r="AE87" s="767"/>
      <c r="AF87" s="767"/>
      <c r="AG87" s="767"/>
      <c r="AH87" s="767"/>
      <c r="AI87" s="767"/>
      <c r="AJ87" s="767"/>
      <c r="AK87" s="767"/>
      <c r="AL87" s="767"/>
      <c r="AM87" s="767"/>
      <c r="AN87" s="767"/>
      <c r="AO87" s="767"/>
      <c r="AP87" s="767"/>
    </row>
    <row r="88" spans="3:42" hidden="1" x14ac:dyDescent="0.25">
      <c r="C88" s="755"/>
      <c r="D88" s="755"/>
      <c r="E88" s="754"/>
      <c r="F88" s="754"/>
      <c r="G88" s="754"/>
      <c r="H88" s="754"/>
      <c r="I88" s="754"/>
      <c r="J88" s="754"/>
      <c r="K88" s="754"/>
      <c r="L88" s="754"/>
      <c r="M88" s="754"/>
      <c r="N88" s="754"/>
      <c r="O88" s="754"/>
      <c r="P88" s="754"/>
      <c r="Q88" s="754"/>
      <c r="R88" s="754"/>
      <c r="S88" s="754"/>
      <c r="T88" s="754"/>
      <c r="U88" s="754"/>
      <c r="V88" s="754"/>
      <c r="W88" s="754"/>
      <c r="X88" s="754"/>
      <c r="Y88" s="754"/>
      <c r="Z88" s="754"/>
      <c r="AA88" s="754"/>
      <c r="AB88" s="754"/>
      <c r="AC88" s="754"/>
      <c r="AD88" s="754"/>
      <c r="AE88" s="767"/>
      <c r="AF88" s="767"/>
      <c r="AG88" s="767"/>
      <c r="AH88" s="767"/>
      <c r="AI88" s="767"/>
      <c r="AJ88" s="767"/>
      <c r="AK88" s="767"/>
      <c r="AL88" s="767"/>
      <c r="AM88" s="767"/>
      <c r="AN88" s="767"/>
      <c r="AO88" s="767"/>
      <c r="AP88" s="767"/>
    </row>
    <row r="89" spans="3:42" hidden="1" x14ac:dyDescent="0.25">
      <c r="C89" s="755"/>
      <c r="D89" s="755"/>
      <c r="E89" s="754"/>
      <c r="F89" s="754"/>
      <c r="G89" s="754"/>
      <c r="H89" s="754"/>
      <c r="I89" s="754"/>
      <c r="J89" s="754"/>
      <c r="K89" s="754"/>
      <c r="L89" s="754"/>
      <c r="M89" s="754"/>
      <c r="N89" s="754"/>
      <c r="O89" s="754"/>
      <c r="P89" s="754"/>
      <c r="Q89" s="754"/>
      <c r="R89" s="754"/>
      <c r="S89" s="754"/>
      <c r="T89" s="754"/>
      <c r="U89" s="754"/>
      <c r="V89" s="754"/>
      <c r="W89" s="754"/>
      <c r="X89" s="754"/>
      <c r="Y89" s="754"/>
      <c r="Z89" s="754"/>
      <c r="AA89" s="754"/>
      <c r="AB89" s="754"/>
      <c r="AC89" s="754"/>
      <c r="AD89" s="754"/>
      <c r="AE89" s="767"/>
      <c r="AF89" s="767"/>
      <c r="AG89" s="767"/>
      <c r="AH89" s="767"/>
      <c r="AI89" s="767"/>
      <c r="AJ89" s="767"/>
      <c r="AK89" s="767"/>
      <c r="AL89" s="767"/>
      <c r="AM89" s="767"/>
      <c r="AN89" s="767"/>
      <c r="AO89" s="767"/>
      <c r="AP89" s="767"/>
    </row>
    <row r="90" spans="3:42" hidden="1" x14ac:dyDescent="0.25">
      <c r="C90" s="755"/>
      <c r="D90" s="755"/>
      <c r="E90" s="754"/>
      <c r="F90" s="754"/>
      <c r="G90" s="754"/>
      <c r="H90" s="754"/>
      <c r="I90" s="754"/>
      <c r="J90" s="754"/>
      <c r="K90" s="754"/>
      <c r="L90" s="754"/>
      <c r="M90" s="754"/>
      <c r="N90" s="754"/>
      <c r="O90" s="754"/>
      <c r="P90" s="754"/>
      <c r="Q90" s="754"/>
      <c r="R90" s="754"/>
      <c r="S90" s="754"/>
      <c r="T90" s="754"/>
      <c r="U90" s="754"/>
      <c r="V90" s="754"/>
      <c r="W90" s="754"/>
      <c r="X90" s="754"/>
      <c r="Y90" s="754"/>
      <c r="Z90" s="754"/>
      <c r="AA90" s="754"/>
      <c r="AB90" s="754"/>
      <c r="AC90" s="754"/>
      <c r="AD90" s="754"/>
      <c r="AE90" s="767"/>
      <c r="AF90" s="767"/>
      <c r="AG90" s="767"/>
      <c r="AH90" s="767"/>
      <c r="AI90" s="767"/>
      <c r="AJ90" s="767"/>
      <c r="AK90" s="767"/>
      <c r="AL90" s="767"/>
      <c r="AM90" s="767"/>
      <c r="AN90" s="767"/>
      <c r="AO90" s="767"/>
      <c r="AP90" s="767"/>
    </row>
    <row r="91" spans="3:42" hidden="1" x14ac:dyDescent="0.25">
      <c r="C91" s="755"/>
      <c r="D91" s="755"/>
      <c r="E91" s="754"/>
      <c r="F91" s="754"/>
      <c r="G91" s="754"/>
      <c r="H91" s="754"/>
      <c r="I91" s="754"/>
      <c r="J91" s="754"/>
      <c r="K91" s="754"/>
      <c r="L91" s="754"/>
      <c r="M91" s="754"/>
      <c r="N91" s="754"/>
      <c r="O91" s="754"/>
      <c r="P91" s="754"/>
      <c r="Q91" s="754"/>
      <c r="R91" s="754"/>
      <c r="S91" s="754"/>
      <c r="T91" s="754"/>
      <c r="U91" s="754"/>
      <c r="V91" s="754"/>
      <c r="W91" s="754"/>
      <c r="X91" s="754"/>
      <c r="Y91" s="754"/>
      <c r="Z91" s="754"/>
      <c r="AA91" s="754"/>
      <c r="AB91" s="754"/>
      <c r="AC91" s="754"/>
      <c r="AD91" s="754"/>
      <c r="AE91" s="767"/>
      <c r="AF91" s="767"/>
      <c r="AG91" s="767"/>
      <c r="AH91" s="767"/>
      <c r="AI91" s="767"/>
      <c r="AJ91" s="767"/>
      <c r="AK91" s="767"/>
      <c r="AL91" s="767"/>
      <c r="AM91" s="767"/>
      <c r="AN91" s="767"/>
      <c r="AO91" s="767"/>
      <c r="AP91" s="767"/>
    </row>
    <row r="92" spans="3:42" x14ac:dyDescent="0.25">
      <c r="C92" s="769" t="s">
        <v>260</v>
      </c>
      <c r="D92" s="769"/>
      <c r="E92" s="769"/>
      <c r="F92" s="769"/>
      <c r="G92" s="769"/>
      <c r="H92" s="769"/>
      <c r="I92" s="769"/>
      <c r="J92" s="769"/>
      <c r="K92" s="769"/>
      <c r="L92" s="769"/>
      <c r="M92" s="769"/>
      <c r="N92" s="769"/>
      <c r="O92" s="769"/>
      <c r="P92" s="769"/>
      <c r="Q92" s="769"/>
      <c r="R92" s="769"/>
      <c r="S92" s="769"/>
      <c r="T92" s="769"/>
      <c r="U92" s="769"/>
      <c r="V92" s="769"/>
      <c r="W92" s="769"/>
      <c r="X92" s="769"/>
      <c r="Y92" s="769"/>
      <c r="Z92" s="769"/>
      <c r="AA92" s="769"/>
      <c r="AB92" s="769"/>
      <c r="AC92" s="769"/>
      <c r="AD92" s="769"/>
      <c r="AE92" s="926">
        <f>SUM(AE54:AP91)</f>
        <v>12500000</v>
      </c>
      <c r="AF92" s="926"/>
      <c r="AG92" s="926"/>
      <c r="AH92" s="926"/>
      <c r="AI92" s="926"/>
      <c r="AJ92" s="926"/>
      <c r="AK92" s="926"/>
      <c r="AL92" s="926"/>
      <c r="AM92" s="926"/>
      <c r="AN92" s="926"/>
      <c r="AO92" s="926"/>
      <c r="AP92" s="926"/>
    </row>
    <row r="93" spans="3:42" x14ac:dyDescent="0.25">
      <c r="C93" s="251"/>
      <c r="D93" s="252"/>
      <c r="E93" s="252"/>
      <c r="F93" s="252"/>
      <c r="G93" s="252"/>
      <c r="H93" s="252"/>
      <c r="I93" s="252"/>
      <c r="J93" s="252"/>
      <c r="K93" s="252"/>
      <c r="L93" s="252"/>
      <c r="M93" s="252"/>
      <c r="N93" s="252"/>
      <c r="O93" s="252"/>
      <c r="P93" s="252"/>
      <c r="Q93" s="252"/>
      <c r="R93" s="252"/>
      <c r="S93" s="252"/>
      <c r="T93" s="252"/>
      <c r="U93" s="252"/>
      <c r="V93" s="252"/>
      <c r="W93" s="252"/>
      <c r="X93" s="252"/>
      <c r="Y93" s="252"/>
      <c r="Z93" s="252"/>
      <c r="AA93" s="252"/>
      <c r="AB93" s="253" t="s">
        <v>433</v>
      </c>
      <c r="AC93" s="254"/>
      <c r="AD93" s="254"/>
      <c r="AE93" s="254"/>
      <c r="AF93" s="252"/>
      <c r="AG93" s="252"/>
      <c r="AH93" s="252"/>
      <c r="AI93" s="252"/>
      <c r="AJ93" s="252"/>
      <c r="AK93" s="252"/>
      <c r="AL93" s="252"/>
      <c r="AM93" s="252"/>
      <c r="AN93" s="252"/>
      <c r="AO93" s="252"/>
      <c r="AP93" s="255"/>
    </row>
  </sheetData>
  <mergeCells count="175">
    <mergeCell ref="C92:AD92"/>
    <mergeCell ref="AE92:AP92"/>
    <mergeCell ref="AE82:AP83"/>
    <mergeCell ref="AE84:AP85"/>
    <mergeCell ref="AE86:AP87"/>
    <mergeCell ref="AE88:AP89"/>
    <mergeCell ref="AE90:AP91"/>
    <mergeCell ref="N88:AD89"/>
    <mergeCell ref="N90:AD91"/>
    <mergeCell ref="N86:AD87"/>
    <mergeCell ref="E84:M85"/>
    <mergeCell ref="E86:M87"/>
    <mergeCell ref="E88:M89"/>
    <mergeCell ref="E90:M91"/>
    <mergeCell ref="C84:D85"/>
    <mergeCell ref="C86:D87"/>
    <mergeCell ref="C88:D89"/>
    <mergeCell ref="C90:D91"/>
    <mergeCell ref="AE54:AP55"/>
    <mergeCell ref="AE56:AP57"/>
    <mergeCell ref="AE58:AP59"/>
    <mergeCell ref="AE60:AP61"/>
    <mergeCell ref="AE62:AP63"/>
    <mergeCell ref="AE64:AP65"/>
    <mergeCell ref="AE66:AP67"/>
    <mergeCell ref="AE68:AP69"/>
    <mergeCell ref="AE70:AP71"/>
    <mergeCell ref="AE72:AP73"/>
    <mergeCell ref="AE74:AP75"/>
    <mergeCell ref="AE76:AP77"/>
    <mergeCell ref="AE78:AP79"/>
    <mergeCell ref="AE80:AP81"/>
    <mergeCell ref="N78:AD79"/>
    <mergeCell ref="N80:AD81"/>
    <mergeCell ref="N82:AD83"/>
    <mergeCell ref="N84:AD85"/>
    <mergeCell ref="N72:AD73"/>
    <mergeCell ref="N74:AD75"/>
    <mergeCell ref="N76:AD77"/>
    <mergeCell ref="N54:AD55"/>
    <mergeCell ref="N56:AD57"/>
    <mergeCell ref="N58:AD59"/>
    <mergeCell ref="N60:AD61"/>
    <mergeCell ref="N62:AD63"/>
    <mergeCell ref="N64:AD65"/>
    <mergeCell ref="N66:AD67"/>
    <mergeCell ref="N68:AD69"/>
    <mergeCell ref="N70:AD71"/>
    <mergeCell ref="E51:M52"/>
    <mergeCell ref="E53:M53"/>
    <mergeCell ref="E54:M55"/>
    <mergeCell ref="E56:M57"/>
    <mergeCell ref="E58:M59"/>
    <mergeCell ref="E60:M61"/>
    <mergeCell ref="E62:M63"/>
    <mergeCell ref="E64:M65"/>
    <mergeCell ref="E66:M67"/>
    <mergeCell ref="E68:M69"/>
    <mergeCell ref="E70:M71"/>
    <mergeCell ref="E72:M73"/>
    <mergeCell ref="C74:D75"/>
    <mergeCell ref="C76:D77"/>
    <mergeCell ref="C78:D79"/>
    <mergeCell ref="C80:D81"/>
    <mergeCell ref="C82:D83"/>
    <mergeCell ref="C64:D65"/>
    <mergeCell ref="C66:D67"/>
    <mergeCell ref="C68:D69"/>
    <mergeCell ref="C70:D71"/>
    <mergeCell ref="C72:D73"/>
    <mergeCell ref="E74:M75"/>
    <mergeCell ref="E76:M77"/>
    <mergeCell ref="E78:M79"/>
    <mergeCell ref="E80:M81"/>
    <mergeCell ref="E82:M83"/>
    <mergeCell ref="C54:D55"/>
    <mergeCell ref="C56:D57"/>
    <mergeCell ref="C58:D59"/>
    <mergeCell ref="C60:D61"/>
    <mergeCell ref="C62:D63"/>
    <mergeCell ref="AI5:AO9"/>
    <mergeCell ref="C19:D20"/>
    <mergeCell ref="E19:K20"/>
    <mergeCell ref="C51:D52"/>
    <mergeCell ref="C53:D53"/>
    <mergeCell ref="N51:AD52"/>
    <mergeCell ref="AE51:AP52"/>
    <mergeCell ref="N53:AD53"/>
    <mergeCell ref="AE53:AP53"/>
    <mergeCell ref="AJ19:AP20"/>
    <mergeCell ref="AB19:AI20"/>
    <mergeCell ref="T19:AA20"/>
    <mergeCell ref="L19:S20"/>
    <mergeCell ref="C21:D21"/>
    <mergeCell ref="E21:K21"/>
    <mergeCell ref="AB21:AI21"/>
    <mergeCell ref="AJ21:AP21"/>
    <mergeCell ref="C22:D23"/>
    <mergeCell ref="C24:D25"/>
    <mergeCell ref="E22:K23"/>
    <mergeCell ref="E24:K25"/>
    <mergeCell ref="T22:AA23"/>
    <mergeCell ref="T24:AA25"/>
    <mergeCell ref="C40:D41"/>
    <mergeCell ref="C42:D43"/>
    <mergeCell ref="C44:D45"/>
    <mergeCell ref="L21:S21"/>
    <mergeCell ref="T21:AA21"/>
    <mergeCell ref="C26:D27"/>
    <mergeCell ref="C28:D29"/>
    <mergeCell ref="C30:D31"/>
    <mergeCell ref="C32:D33"/>
    <mergeCell ref="E34:K35"/>
    <mergeCell ref="E36:K37"/>
    <mergeCell ref="C34:D35"/>
    <mergeCell ref="C36:D37"/>
    <mergeCell ref="C38:D39"/>
    <mergeCell ref="L32:S33"/>
    <mergeCell ref="E26:K27"/>
    <mergeCell ref="E28:K29"/>
    <mergeCell ref="E30:K31"/>
    <mergeCell ref="E32:K33"/>
    <mergeCell ref="L22:S23"/>
    <mergeCell ref="L24:S25"/>
    <mergeCell ref="L26:S27"/>
    <mergeCell ref="L28:S29"/>
    <mergeCell ref="L30:S31"/>
    <mergeCell ref="L42:S43"/>
    <mergeCell ref="L44:S45"/>
    <mergeCell ref="E38:K39"/>
    <mergeCell ref="E40:K41"/>
    <mergeCell ref="E42:K43"/>
    <mergeCell ref="E44:K45"/>
    <mergeCell ref="L34:S35"/>
    <mergeCell ref="L36:S37"/>
    <mergeCell ref="L38:S39"/>
    <mergeCell ref="L40:S41"/>
    <mergeCell ref="AJ32:AP33"/>
    <mergeCell ref="AB34:AI35"/>
    <mergeCell ref="AB36:AI37"/>
    <mergeCell ref="AB38:AI39"/>
    <mergeCell ref="T36:AA37"/>
    <mergeCell ref="AB40:AI41"/>
    <mergeCell ref="AB32:AI33"/>
    <mergeCell ref="AJ22:AP23"/>
    <mergeCell ref="AJ24:AP25"/>
    <mergeCell ref="AJ26:AP27"/>
    <mergeCell ref="AJ28:AP29"/>
    <mergeCell ref="AJ30:AP31"/>
    <mergeCell ref="AB22:AI23"/>
    <mergeCell ref="T26:AA27"/>
    <mergeCell ref="T28:AA29"/>
    <mergeCell ref="T30:AA31"/>
    <mergeCell ref="T32:AA33"/>
    <mergeCell ref="T34:AA35"/>
    <mergeCell ref="AB24:AI25"/>
    <mergeCell ref="AB26:AI27"/>
    <mergeCell ref="AB28:AI29"/>
    <mergeCell ref="AB30:AI31"/>
    <mergeCell ref="C46:S46"/>
    <mergeCell ref="AB46:AI46"/>
    <mergeCell ref="T46:AA46"/>
    <mergeCell ref="AJ46:AP46"/>
    <mergeCell ref="AJ34:AP35"/>
    <mergeCell ref="AJ36:AP37"/>
    <mergeCell ref="AJ38:AP39"/>
    <mergeCell ref="AJ40:AP41"/>
    <mergeCell ref="AJ42:AP43"/>
    <mergeCell ref="AJ44:AP45"/>
    <mergeCell ref="AB42:AI43"/>
    <mergeCell ref="AB44:AI45"/>
    <mergeCell ref="T38:AA39"/>
    <mergeCell ref="T40:AA41"/>
    <mergeCell ref="T42:AA43"/>
    <mergeCell ref="T44:AA45"/>
  </mergeCells>
  <pageMargins left="0.25" right="0.25" top="0.75" bottom="0.75" header="0.3" footer="0.3"/>
  <pageSetup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1AA86-DD94-4466-915C-362C008893C6}">
  <sheetPr>
    <pageSetUpPr fitToPage="1"/>
  </sheetPr>
  <dimension ref="C4:BR102"/>
  <sheetViews>
    <sheetView showGridLines="0" tabSelected="1" topLeftCell="A73" zoomScale="70" zoomScaleNormal="70" workbookViewId="0">
      <selection activeCell="D29" sqref="D29"/>
    </sheetView>
  </sheetViews>
  <sheetFormatPr defaultRowHeight="15" x14ac:dyDescent="0.25"/>
  <cols>
    <col min="2" max="2" width="8.7109375" customWidth="1"/>
    <col min="3" max="4" width="5.28515625" customWidth="1"/>
    <col min="5" max="6" width="5" customWidth="1"/>
    <col min="7" max="10" width="5.42578125" customWidth="1"/>
    <col min="11" max="11" width="4.5703125" customWidth="1"/>
    <col min="12" max="14" width="4.28515625" customWidth="1"/>
    <col min="15" max="15" width="3.42578125" customWidth="1"/>
    <col min="16" max="20" width="4.28515625" customWidth="1"/>
    <col min="21" max="21" width="4" customWidth="1"/>
    <col min="22" max="34" width="4.28515625" customWidth="1"/>
    <col min="35" max="35" width="5.28515625" customWidth="1"/>
    <col min="36" max="36" width="4.28515625" customWidth="1"/>
    <col min="37" max="37" width="4.7109375" customWidth="1"/>
    <col min="38" max="58" width="4.28515625" customWidth="1"/>
    <col min="59" max="59" width="18.85546875" bestFit="1" customWidth="1"/>
  </cols>
  <sheetData>
    <row r="4" spans="3:60" x14ac:dyDescent="0.25">
      <c r="C4" s="190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257"/>
      <c r="V4" s="257"/>
      <c r="W4" s="257"/>
      <c r="X4" s="257"/>
      <c r="Y4" s="257"/>
      <c r="Z4" s="257"/>
      <c r="AA4" s="257"/>
      <c r="AB4" s="257"/>
      <c r="AC4" s="257"/>
      <c r="AD4" s="192"/>
      <c r="AE4" s="192"/>
      <c r="AF4" s="192"/>
      <c r="AG4" s="192"/>
      <c r="AH4" s="192"/>
      <c r="AI4" s="192"/>
      <c r="AJ4" s="192"/>
      <c r="AK4" s="192"/>
      <c r="AL4" s="192"/>
      <c r="AM4" s="192"/>
      <c r="AN4" s="192"/>
      <c r="AO4" s="192"/>
      <c r="AP4" s="192"/>
      <c r="AQ4" s="192"/>
      <c r="AR4" s="192"/>
      <c r="AS4" s="192"/>
      <c r="AT4" s="192"/>
      <c r="AU4" s="192"/>
      <c r="AV4" s="192"/>
      <c r="AW4" s="192"/>
      <c r="AX4" s="192"/>
      <c r="AY4" s="192"/>
      <c r="AZ4" s="192"/>
      <c r="BA4" s="192"/>
      <c r="BB4" s="192"/>
      <c r="BC4" s="192"/>
      <c r="BD4" s="192"/>
      <c r="BE4" s="192"/>
      <c r="BF4" s="192"/>
      <c r="BG4" s="193"/>
    </row>
    <row r="5" spans="3:60" ht="15.6" customHeight="1" x14ac:dyDescent="0.4">
      <c r="C5" s="194"/>
      <c r="D5" s="170" t="s">
        <v>202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258"/>
      <c r="V5" s="258"/>
      <c r="W5" s="258"/>
      <c r="X5" s="258"/>
      <c r="Y5" s="258"/>
      <c r="Z5" s="986" t="s">
        <v>470</v>
      </c>
      <c r="AA5" s="986"/>
      <c r="AB5" s="986"/>
      <c r="AC5" s="986"/>
      <c r="AD5" s="986"/>
      <c r="AE5" s="986"/>
      <c r="AF5" s="986"/>
      <c r="AG5" s="986"/>
      <c r="AH5" s="986"/>
      <c r="AI5" s="986"/>
      <c r="AJ5" s="986"/>
      <c r="AK5" s="986"/>
      <c r="AL5" s="986"/>
      <c r="AM5" s="986"/>
      <c r="AN5" s="986"/>
      <c r="AO5" s="986"/>
      <c r="AP5" s="986"/>
      <c r="AQ5" s="986"/>
      <c r="AR5" s="986"/>
      <c r="AS5" s="248"/>
      <c r="AT5" s="248"/>
      <c r="AU5" s="248"/>
      <c r="AV5" s="248"/>
      <c r="AW5" s="248"/>
      <c r="AX5" s="887" t="s">
        <v>469</v>
      </c>
      <c r="AY5" s="887"/>
      <c r="AZ5" s="887"/>
      <c r="BA5" s="887"/>
      <c r="BB5" s="887"/>
      <c r="BC5" s="887"/>
      <c r="BD5" s="887"/>
      <c r="BE5" s="887"/>
      <c r="BF5" s="163"/>
      <c r="BG5" s="195"/>
    </row>
    <row r="6" spans="3:60" ht="2.65" customHeight="1" x14ac:dyDescent="0.4">
      <c r="C6" s="19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258"/>
      <c r="V6" s="258"/>
      <c r="W6" s="258"/>
      <c r="X6" s="258"/>
      <c r="Y6" s="258"/>
      <c r="Z6" s="986"/>
      <c r="AA6" s="986"/>
      <c r="AB6" s="986"/>
      <c r="AC6" s="986"/>
      <c r="AD6" s="986"/>
      <c r="AE6" s="986"/>
      <c r="AF6" s="986"/>
      <c r="AG6" s="986"/>
      <c r="AH6" s="986"/>
      <c r="AI6" s="986"/>
      <c r="AJ6" s="986"/>
      <c r="AK6" s="986"/>
      <c r="AL6" s="986"/>
      <c r="AM6" s="986"/>
      <c r="AN6" s="986"/>
      <c r="AO6" s="986"/>
      <c r="AP6" s="986"/>
      <c r="AQ6" s="986"/>
      <c r="AR6" s="986"/>
      <c r="AS6" s="248"/>
      <c r="AT6" s="248"/>
      <c r="AU6" s="248"/>
      <c r="AV6" s="248"/>
      <c r="AW6" s="248"/>
      <c r="AX6" s="887"/>
      <c r="AY6" s="887"/>
      <c r="AZ6" s="887"/>
      <c r="BA6" s="887"/>
      <c r="BB6" s="887"/>
      <c r="BC6" s="887"/>
      <c r="BD6" s="887"/>
      <c r="BE6" s="887"/>
      <c r="BF6" s="163"/>
      <c r="BG6" s="195"/>
    </row>
    <row r="7" spans="3:60" ht="14.65" customHeight="1" x14ac:dyDescent="0.4">
      <c r="C7" s="194"/>
      <c r="D7" s="224" t="s">
        <v>467</v>
      </c>
      <c r="E7" s="225"/>
      <c r="F7" s="225"/>
      <c r="G7" s="225"/>
      <c r="H7" s="225"/>
      <c r="I7" s="225"/>
      <c r="J7" s="225"/>
      <c r="K7" s="225"/>
      <c r="L7" s="225"/>
      <c r="M7" s="225"/>
      <c r="N7" s="225"/>
      <c r="O7" s="225"/>
      <c r="P7" s="225"/>
      <c r="Q7" s="225"/>
      <c r="R7" s="225"/>
      <c r="S7" s="225"/>
      <c r="T7" s="225"/>
      <c r="U7" s="259"/>
      <c r="V7" s="259"/>
      <c r="W7" s="259"/>
      <c r="X7" s="259"/>
      <c r="Y7" s="259"/>
      <c r="Z7" s="986"/>
      <c r="AA7" s="986"/>
      <c r="AB7" s="986"/>
      <c r="AC7" s="986"/>
      <c r="AD7" s="986"/>
      <c r="AE7" s="986"/>
      <c r="AF7" s="986"/>
      <c r="AG7" s="986"/>
      <c r="AH7" s="986"/>
      <c r="AI7" s="986"/>
      <c r="AJ7" s="986"/>
      <c r="AK7" s="986"/>
      <c r="AL7" s="986"/>
      <c r="AM7" s="986"/>
      <c r="AN7" s="986"/>
      <c r="AO7" s="986"/>
      <c r="AP7" s="986"/>
      <c r="AQ7" s="986"/>
      <c r="AR7" s="986"/>
      <c r="AS7" s="248"/>
      <c r="AT7" s="248"/>
      <c r="AU7" s="248"/>
      <c r="AV7" s="248"/>
      <c r="AW7" s="248"/>
      <c r="AX7" s="887"/>
      <c r="AY7" s="887"/>
      <c r="AZ7" s="887"/>
      <c r="BA7" s="887"/>
      <c r="BB7" s="887"/>
      <c r="BC7" s="887"/>
      <c r="BD7" s="887"/>
      <c r="BE7" s="887"/>
      <c r="BF7" s="163"/>
      <c r="BG7" s="195"/>
    </row>
    <row r="8" spans="3:60" ht="2.65" customHeight="1" x14ac:dyDescent="0.35">
      <c r="C8" s="194"/>
      <c r="D8" s="226"/>
      <c r="E8" s="225"/>
      <c r="F8" s="225"/>
      <c r="G8" s="225"/>
      <c r="H8" s="225"/>
      <c r="I8" s="225"/>
      <c r="J8" s="225"/>
      <c r="K8" s="225"/>
      <c r="L8" s="225"/>
      <c r="M8" s="225"/>
      <c r="N8" s="225"/>
      <c r="O8" s="225"/>
      <c r="P8" s="225"/>
      <c r="Q8" s="225"/>
      <c r="R8" s="225"/>
      <c r="S8" s="225"/>
      <c r="T8" s="225"/>
      <c r="U8" s="259"/>
      <c r="V8" s="259"/>
      <c r="W8" s="259"/>
      <c r="X8" s="259"/>
      <c r="Y8" s="259"/>
      <c r="Z8" s="986"/>
      <c r="AA8" s="986"/>
      <c r="AB8" s="986"/>
      <c r="AC8" s="986"/>
      <c r="AD8" s="986"/>
      <c r="AE8" s="986"/>
      <c r="AF8" s="986"/>
      <c r="AG8" s="986"/>
      <c r="AH8" s="986"/>
      <c r="AI8" s="986"/>
      <c r="AJ8" s="986"/>
      <c r="AK8" s="986"/>
      <c r="AL8" s="986"/>
      <c r="AM8" s="986"/>
      <c r="AN8" s="986"/>
      <c r="AO8" s="986"/>
      <c r="AP8" s="986"/>
      <c r="AQ8" s="986"/>
      <c r="AR8" s="986"/>
      <c r="AS8" s="163"/>
      <c r="AT8" s="163"/>
      <c r="AU8" s="163"/>
      <c r="AV8" s="163"/>
      <c r="AW8" s="163"/>
      <c r="AX8" s="887"/>
      <c r="AY8" s="887"/>
      <c r="AZ8" s="887"/>
      <c r="BA8" s="887"/>
      <c r="BB8" s="887"/>
      <c r="BC8" s="887"/>
      <c r="BD8" s="887"/>
      <c r="BE8" s="887"/>
      <c r="BF8" s="163"/>
      <c r="BG8" s="195"/>
    </row>
    <row r="9" spans="3:60" ht="18.600000000000001" customHeight="1" x14ac:dyDescent="0.25">
      <c r="C9" s="194"/>
      <c r="D9" s="224" t="s">
        <v>468</v>
      </c>
      <c r="E9" s="227"/>
      <c r="F9" s="227"/>
      <c r="G9" s="227"/>
      <c r="H9" s="227"/>
      <c r="I9" s="227"/>
      <c r="J9" s="227"/>
      <c r="K9" s="227"/>
      <c r="L9" s="227"/>
      <c r="M9" s="227"/>
      <c r="N9" s="227"/>
      <c r="O9" s="227"/>
      <c r="P9" s="227"/>
      <c r="Q9" s="227"/>
      <c r="R9" s="227"/>
      <c r="S9" s="227"/>
      <c r="T9" s="227"/>
      <c r="U9" s="260"/>
      <c r="V9" s="260"/>
      <c r="W9" s="260"/>
      <c r="X9" s="260"/>
      <c r="Y9" s="260"/>
      <c r="Z9" s="986"/>
      <c r="AA9" s="986"/>
      <c r="AB9" s="986"/>
      <c r="AC9" s="986"/>
      <c r="AD9" s="986"/>
      <c r="AE9" s="986"/>
      <c r="AF9" s="986"/>
      <c r="AG9" s="986"/>
      <c r="AH9" s="986"/>
      <c r="AI9" s="986"/>
      <c r="AJ9" s="986"/>
      <c r="AK9" s="986"/>
      <c r="AL9" s="986"/>
      <c r="AM9" s="986"/>
      <c r="AN9" s="986"/>
      <c r="AO9" s="986"/>
      <c r="AP9" s="986"/>
      <c r="AQ9" s="986"/>
      <c r="AR9" s="986"/>
      <c r="AS9" s="249"/>
      <c r="AT9" s="249"/>
      <c r="AU9" s="249"/>
      <c r="AV9" s="249"/>
      <c r="AW9" s="249"/>
      <c r="AX9" s="887"/>
      <c r="AY9" s="887"/>
      <c r="AZ9" s="887"/>
      <c r="BA9" s="887"/>
      <c r="BB9" s="887"/>
      <c r="BC9" s="887"/>
      <c r="BD9" s="887"/>
      <c r="BE9" s="887"/>
      <c r="BF9" s="163"/>
      <c r="BG9" s="195"/>
    </row>
    <row r="10" spans="3:60" ht="2.65" customHeight="1" x14ac:dyDescent="0.25">
      <c r="C10" s="194"/>
      <c r="D10" s="226"/>
      <c r="E10" s="227"/>
      <c r="F10" s="227"/>
      <c r="G10" s="227"/>
      <c r="H10" s="227"/>
      <c r="I10" s="227"/>
      <c r="J10" s="227"/>
      <c r="K10" s="227"/>
      <c r="L10" s="227"/>
      <c r="M10" s="227"/>
      <c r="N10" s="227"/>
      <c r="O10" s="227"/>
      <c r="P10" s="227"/>
      <c r="Q10" s="227"/>
      <c r="R10" s="227"/>
      <c r="S10" s="227"/>
      <c r="T10" s="227"/>
      <c r="U10" s="260"/>
      <c r="V10" s="260"/>
      <c r="W10" s="260"/>
      <c r="X10" s="260"/>
      <c r="Y10" s="260"/>
      <c r="Z10" s="260"/>
      <c r="AA10" s="260"/>
      <c r="AB10" s="260"/>
      <c r="AC10" s="260"/>
      <c r="AD10" s="163"/>
      <c r="AE10" s="250"/>
      <c r="AF10" s="250"/>
      <c r="AG10" s="249"/>
      <c r="AH10" s="249"/>
      <c r="AI10" s="249"/>
      <c r="AJ10" s="249"/>
      <c r="AK10" s="249"/>
      <c r="AL10" s="249"/>
      <c r="AM10" s="249"/>
      <c r="AN10" s="249"/>
      <c r="AO10" s="249"/>
      <c r="AP10" s="249"/>
      <c r="AQ10" s="249"/>
      <c r="AR10" s="249"/>
      <c r="AS10" s="249"/>
      <c r="AT10" s="249"/>
      <c r="AU10" s="249"/>
      <c r="AV10" s="249"/>
      <c r="AW10" s="249"/>
      <c r="AX10" s="7"/>
      <c r="AY10" s="228"/>
      <c r="AZ10" s="228"/>
      <c r="BA10" s="228"/>
      <c r="BB10" s="228"/>
      <c r="BC10" s="228"/>
      <c r="BD10" s="228"/>
      <c r="BE10" s="228"/>
      <c r="BF10" s="163"/>
      <c r="BG10" s="195"/>
    </row>
    <row r="11" spans="3:60" ht="14.65" customHeight="1" x14ac:dyDescent="0.25">
      <c r="C11" s="194"/>
      <c r="D11" s="224"/>
      <c r="E11" s="227"/>
      <c r="F11" s="227"/>
      <c r="G11" s="227"/>
      <c r="H11" s="227"/>
      <c r="I11" s="227"/>
      <c r="J11" s="227"/>
      <c r="K11" s="227"/>
      <c r="L11" s="227"/>
      <c r="M11" s="227"/>
      <c r="N11" s="227"/>
      <c r="O11" s="227"/>
      <c r="P11" s="227"/>
      <c r="Q11" s="227"/>
      <c r="R11" s="227"/>
      <c r="S11" s="227"/>
      <c r="T11" s="227"/>
      <c r="U11" s="260"/>
      <c r="V11" s="260"/>
      <c r="W11" s="260"/>
      <c r="X11" s="260"/>
      <c r="Y11" s="260"/>
      <c r="Z11" s="260"/>
      <c r="AA11" s="260"/>
      <c r="AB11" s="260"/>
      <c r="AC11" s="260"/>
      <c r="AD11" s="163"/>
      <c r="AE11" s="250"/>
      <c r="AF11" s="250"/>
      <c r="AG11" s="249"/>
      <c r="AH11" s="249"/>
      <c r="AI11" s="249"/>
      <c r="AJ11" s="249"/>
      <c r="AK11" s="249"/>
      <c r="AL11" s="249"/>
      <c r="AM11" s="249"/>
      <c r="AN11" s="249"/>
      <c r="AO11" s="249"/>
      <c r="AP11" s="249"/>
      <c r="AQ11" s="249"/>
      <c r="AR11" s="249"/>
      <c r="AS11" s="249"/>
      <c r="AT11" s="249"/>
      <c r="AU11" s="249"/>
      <c r="AV11" s="249"/>
      <c r="AW11" s="249"/>
      <c r="AX11" s="163"/>
      <c r="AY11" s="229"/>
      <c r="AZ11" s="229"/>
      <c r="BA11" s="229"/>
      <c r="BB11" s="229"/>
      <c r="BC11" s="229"/>
      <c r="BD11" s="229"/>
      <c r="BE11" s="229"/>
      <c r="BF11" s="163"/>
      <c r="BG11" s="195"/>
    </row>
    <row r="12" spans="3:60" ht="2.65" customHeight="1" x14ac:dyDescent="0.25">
      <c r="C12" s="194"/>
      <c r="D12" s="226"/>
      <c r="E12" s="227"/>
      <c r="F12" s="227"/>
      <c r="G12" s="227"/>
      <c r="H12" s="227"/>
      <c r="I12" s="227"/>
      <c r="J12" s="227"/>
      <c r="K12" s="227"/>
      <c r="L12" s="227"/>
      <c r="M12" s="227"/>
      <c r="N12" s="227"/>
      <c r="O12" s="227"/>
      <c r="P12" s="227"/>
      <c r="Q12" s="227"/>
      <c r="R12" s="227"/>
      <c r="S12" s="227"/>
      <c r="T12" s="227"/>
      <c r="U12" s="260"/>
      <c r="V12" s="260"/>
      <c r="W12" s="260"/>
      <c r="X12" s="260"/>
      <c r="Y12" s="260"/>
      <c r="Z12" s="260"/>
      <c r="AA12" s="260"/>
      <c r="AB12" s="260"/>
      <c r="AC12" s="260"/>
      <c r="AD12" s="163"/>
      <c r="AE12" s="171"/>
      <c r="AF12" s="172"/>
      <c r="AG12" s="163"/>
      <c r="AH12" s="163"/>
      <c r="AI12" s="163"/>
      <c r="AJ12" s="163"/>
      <c r="AK12" s="163"/>
      <c r="AL12" s="163"/>
      <c r="AM12" s="163"/>
      <c r="AN12" s="163"/>
      <c r="AO12" s="163"/>
      <c r="AP12" s="163"/>
      <c r="AQ12" s="163"/>
      <c r="AR12" s="163"/>
      <c r="AS12" s="163"/>
      <c r="AT12" s="163"/>
      <c r="AU12" s="163"/>
      <c r="AV12" s="163"/>
      <c r="AW12" s="163"/>
      <c r="AX12" s="163"/>
      <c r="AY12" s="196"/>
      <c r="AZ12" s="196"/>
      <c r="BA12" s="196"/>
      <c r="BB12" s="196"/>
      <c r="BC12" s="196"/>
      <c r="BD12" s="196"/>
      <c r="BE12" s="196"/>
      <c r="BF12" s="163"/>
      <c r="BG12" s="195"/>
    </row>
    <row r="13" spans="3:60" ht="16.5" customHeight="1" x14ac:dyDescent="0.25">
      <c r="C13" s="194"/>
      <c r="D13" s="224"/>
      <c r="E13" s="227"/>
      <c r="F13" s="227"/>
      <c r="G13" s="227"/>
      <c r="H13" s="227"/>
      <c r="I13" s="227"/>
      <c r="J13" s="227"/>
      <c r="K13" s="227"/>
      <c r="L13" s="227"/>
      <c r="M13" s="227"/>
      <c r="N13" s="227"/>
      <c r="O13" s="227"/>
      <c r="P13" s="227"/>
      <c r="Q13" s="227"/>
      <c r="R13" s="227"/>
      <c r="S13" s="227"/>
      <c r="T13" s="227"/>
      <c r="U13" s="260"/>
      <c r="V13" s="260"/>
      <c r="W13" s="163"/>
      <c r="X13" s="163"/>
      <c r="Y13" s="163"/>
      <c r="Z13" s="231" t="s">
        <v>36</v>
      </c>
      <c r="AA13" s="176"/>
      <c r="AB13" s="45"/>
      <c r="AC13" s="365">
        <f>'Lampiran 1.1'!N17</f>
        <v>3</v>
      </c>
      <c r="AD13" s="365">
        <f>'Lampiran 1.1'!O17</f>
        <v>4</v>
      </c>
      <c r="AE13" s="365">
        <f>'Lampiran 1.1'!P17</f>
        <v>0</v>
      </c>
      <c r="AF13" s="365">
        <f>'Lampiran 1.1'!Q17</f>
        <v>2</v>
      </c>
      <c r="AG13" s="365">
        <f>'Lampiran 1.1'!R17</f>
        <v>0</v>
      </c>
      <c r="AH13" s="365">
        <f>'Lampiran 1.1'!S17</f>
        <v>1</v>
      </c>
      <c r="AI13" s="365">
        <f>'Lampiran 1.1'!T17</f>
        <v>1</v>
      </c>
      <c r="AJ13" s="365">
        <f>'Lampiran 1.1'!U17</f>
        <v>2</v>
      </c>
      <c r="AK13" s="365">
        <f>'Lampiran 1.1'!V17</f>
        <v>3</v>
      </c>
      <c r="AL13" s="365">
        <f>'Lampiran 1.1'!W17</f>
        <v>4</v>
      </c>
      <c r="AM13" s="365">
        <f>'Lampiran 1.1'!X17</f>
        <v>5</v>
      </c>
      <c r="AN13" s="365">
        <f>'Lampiran 1.1'!Y17</f>
        <v>6</v>
      </c>
      <c r="AO13" s="365">
        <f>'Lampiran 1.1'!Z17</f>
        <v>0</v>
      </c>
      <c r="AP13" s="365">
        <f>'Lampiran 1.1'!AA17</f>
        <v>0</v>
      </c>
      <c r="AQ13" s="365">
        <f>'Lampiran 1.1'!AB17</f>
        <v>0</v>
      </c>
      <c r="AR13" s="417"/>
      <c r="AS13" s="163"/>
      <c r="AT13" s="163"/>
      <c r="AU13" s="163"/>
      <c r="AV13" s="163"/>
      <c r="AW13" s="163"/>
      <c r="AX13" s="214" t="s">
        <v>11</v>
      </c>
      <c r="AY13" s="163"/>
      <c r="AZ13" s="163"/>
      <c r="BA13" s="163"/>
      <c r="BB13" s="364">
        <f>'Lampiran 1.1'!AJ17</f>
        <v>2</v>
      </c>
      <c r="BC13" s="364">
        <f>'Lampiran 1.1'!AK17</f>
        <v>0</v>
      </c>
      <c r="BD13" s="364">
        <f>'Lampiran 1.1'!AL17</f>
        <v>2</v>
      </c>
      <c r="BE13" s="364">
        <f>'Lampiran 1.1'!AM17</f>
        <v>5</v>
      </c>
      <c r="BF13" s="163"/>
      <c r="BG13" s="195"/>
    </row>
    <row r="14" spans="3:60" ht="2.65" customHeight="1" x14ac:dyDescent="0.25">
      <c r="C14" s="194"/>
      <c r="D14" s="2"/>
      <c r="E14" s="175"/>
      <c r="F14" s="175"/>
      <c r="G14" s="175"/>
      <c r="H14" s="175"/>
      <c r="I14" s="175"/>
      <c r="J14" s="175"/>
      <c r="K14" s="175"/>
      <c r="L14" s="175"/>
      <c r="M14" s="175"/>
      <c r="N14" s="175"/>
      <c r="O14" s="175"/>
      <c r="P14" s="175"/>
      <c r="Q14" s="175"/>
      <c r="R14" s="175"/>
      <c r="S14" s="175"/>
      <c r="T14" s="175"/>
      <c r="U14" s="261"/>
      <c r="V14" s="261"/>
      <c r="W14" s="261"/>
      <c r="X14" s="261"/>
      <c r="Y14" s="261"/>
      <c r="Z14" s="261"/>
      <c r="AA14" s="261"/>
      <c r="AB14" s="261"/>
      <c r="AC14" s="261"/>
      <c r="AD14" s="163"/>
      <c r="AE14" s="176"/>
      <c r="AF14" s="176"/>
      <c r="AG14" s="163"/>
      <c r="AH14" s="163"/>
      <c r="AI14" s="163"/>
      <c r="AJ14" s="163"/>
      <c r="AK14" s="163"/>
      <c r="AL14" s="163"/>
      <c r="AM14" s="163"/>
      <c r="AN14" s="163"/>
      <c r="AO14" s="163"/>
      <c r="AP14" s="163"/>
      <c r="AQ14" s="163"/>
      <c r="AR14" s="163"/>
      <c r="AS14" s="163"/>
      <c r="AT14" s="163"/>
      <c r="AU14" s="163"/>
      <c r="AV14" s="163"/>
      <c r="AW14" s="163"/>
      <c r="AX14" s="163"/>
      <c r="AY14" s="163"/>
      <c r="AZ14" s="163"/>
      <c r="BA14" s="163"/>
      <c r="BB14" s="163"/>
      <c r="BC14" s="163"/>
      <c r="BD14" s="163"/>
      <c r="BE14" s="163"/>
      <c r="BF14" s="163"/>
      <c r="BG14" s="195"/>
    </row>
    <row r="15" spans="3:60" ht="11.65" customHeight="1" x14ac:dyDescent="0.25">
      <c r="C15" s="194"/>
      <c r="D15" s="17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258"/>
      <c r="V15" s="258"/>
      <c r="W15" s="258"/>
      <c r="X15" s="258"/>
      <c r="Y15" s="258"/>
      <c r="Z15" s="258"/>
      <c r="AA15" s="258"/>
      <c r="AB15" s="258"/>
      <c r="AC15" s="258"/>
      <c r="AD15" s="163"/>
      <c r="AE15" s="163"/>
      <c r="AF15" s="163"/>
      <c r="AG15" s="163"/>
      <c r="AH15" s="163"/>
      <c r="AI15" s="163"/>
      <c r="AJ15" s="163"/>
      <c r="AK15" s="163"/>
      <c r="AL15" s="163"/>
      <c r="AM15" s="163"/>
      <c r="AN15" s="163"/>
      <c r="AO15" s="163"/>
      <c r="AP15" s="163"/>
      <c r="AQ15" s="163"/>
      <c r="AR15" s="163"/>
      <c r="AS15" s="163"/>
      <c r="AT15" s="163"/>
      <c r="AU15" s="163"/>
      <c r="AV15" s="163"/>
      <c r="AW15" s="163"/>
      <c r="AX15" s="163"/>
      <c r="AY15" s="163"/>
      <c r="AZ15" s="163"/>
      <c r="BA15" s="163"/>
      <c r="BB15" s="163"/>
      <c r="BC15" s="163"/>
      <c r="BD15" s="163"/>
      <c r="BE15" s="163"/>
      <c r="BF15" s="163"/>
      <c r="BG15" s="195"/>
    </row>
    <row r="16" spans="3:60" ht="2.65" customHeight="1" x14ac:dyDescent="0.25">
      <c r="C16" s="197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5"/>
      <c r="BF16" s="115"/>
      <c r="BG16" s="198"/>
      <c r="BH16" s="115"/>
    </row>
    <row r="17" spans="3:70" x14ac:dyDescent="0.25">
      <c r="C17" s="199" t="s">
        <v>459</v>
      </c>
      <c r="D17" s="52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200"/>
    </row>
    <row r="18" spans="3:70" ht="3.6" customHeight="1" x14ac:dyDescent="0.25">
      <c r="C18" s="201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202"/>
      <c r="BH18" s="115"/>
      <c r="BI18" s="115"/>
      <c r="BJ18" s="115"/>
      <c r="BK18" s="115"/>
      <c r="BL18" s="115"/>
      <c r="BM18" s="115"/>
      <c r="BN18" s="115"/>
      <c r="BO18" s="115"/>
      <c r="BP18" s="115"/>
      <c r="BQ18" s="115"/>
      <c r="BR18" s="116"/>
    </row>
    <row r="19" spans="3:70" ht="14.65" customHeight="1" x14ac:dyDescent="0.25">
      <c r="C19" s="764" t="s">
        <v>263</v>
      </c>
      <c r="D19" s="764"/>
      <c r="E19" s="764" t="s">
        <v>460</v>
      </c>
      <c r="F19" s="764"/>
      <c r="G19" s="764"/>
      <c r="H19" s="764"/>
      <c r="I19" s="764"/>
      <c r="J19" s="764" t="s">
        <v>461</v>
      </c>
      <c r="K19" s="764"/>
      <c r="L19" s="764"/>
      <c r="M19" s="764"/>
      <c r="N19" s="764"/>
      <c r="O19" s="764" t="s">
        <v>462</v>
      </c>
      <c r="P19" s="764"/>
      <c r="Q19" s="764"/>
      <c r="R19" s="764"/>
      <c r="S19" s="764"/>
      <c r="T19" s="764"/>
      <c r="U19" s="764"/>
      <c r="V19" s="764"/>
      <c r="W19" s="764"/>
      <c r="X19" s="764"/>
      <c r="Y19" s="764"/>
      <c r="Z19" s="764"/>
      <c r="AA19" s="764"/>
      <c r="AB19" s="764"/>
      <c r="AC19" s="764"/>
      <c r="AD19" s="764"/>
      <c r="AE19" s="764" t="s">
        <v>463</v>
      </c>
      <c r="AF19" s="764"/>
      <c r="AG19" s="764"/>
      <c r="AH19" s="764"/>
      <c r="AI19" s="764"/>
      <c r="AJ19" s="764"/>
      <c r="AK19" s="764"/>
      <c r="AL19" s="764" t="s">
        <v>464</v>
      </c>
      <c r="AM19" s="764"/>
      <c r="AN19" s="764"/>
      <c r="AO19" s="764"/>
      <c r="AP19" s="764"/>
      <c r="AQ19" s="764"/>
      <c r="AR19" s="764"/>
      <c r="AS19" s="764" t="s">
        <v>465</v>
      </c>
      <c r="AT19" s="764"/>
      <c r="AU19" s="764"/>
      <c r="AV19" s="764"/>
      <c r="AW19" s="764"/>
      <c r="AX19" s="764"/>
      <c r="AY19" s="764"/>
      <c r="AZ19" s="764" t="s">
        <v>466</v>
      </c>
      <c r="BA19" s="764"/>
      <c r="BB19" s="764"/>
      <c r="BC19" s="764"/>
      <c r="BD19" s="764"/>
      <c r="BE19" s="764"/>
      <c r="BF19" s="764"/>
      <c r="BG19" s="764"/>
      <c r="BH19" s="153"/>
      <c r="BI19" s="153"/>
      <c r="BJ19" s="153"/>
      <c r="BK19" s="153"/>
      <c r="BL19" s="153"/>
      <c r="BM19" s="153"/>
      <c r="BN19" s="153"/>
      <c r="BO19" s="153"/>
      <c r="BP19" s="153"/>
      <c r="BQ19" s="154"/>
      <c r="BR19" s="154"/>
    </row>
    <row r="20" spans="3:70" x14ac:dyDescent="0.25">
      <c r="C20" s="764"/>
      <c r="D20" s="764"/>
      <c r="E20" s="764"/>
      <c r="F20" s="764"/>
      <c r="G20" s="764"/>
      <c r="H20" s="764"/>
      <c r="I20" s="764"/>
      <c r="J20" s="764"/>
      <c r="K20" s="764"/>
      <c r="L20" s="764"/>
      <c r="M20" s="764"/>
      <c r="N20" s="764"/>
      <c r="O20" s="764"/>
      <c r="P20" s="764"/>
      <c r="Q20" s="764"/>
      <c r="R20" s="764"/>
      <c r="S20" s="764"/>
      <c r="T20" s="764"/>
      <c r="U20" s="764"/>
      <c r="V20" s="764"/>
      <c r="W20" s="764"/>
      <c r="X20" s="764"/>
      <c r="Y20" s="764"/>
      <c r="Z20" s="764"/>
      <c r="AA20" s="764"/>
      <c r="AB20" s="764"/>
      <c r="AC20" s="764"/>
      <c r="AD20" s="764"/>
      <c r="AE20" s="764"/>
      <c r="AF20" s="764"/>
      <c r="AG20" s="764"/>
      <c r="AH20" s="764"/>
      <c r="AI20" s="764"/>
      <c r="AJ20" s="764"/>
      <c r="AK20" s="764"/>
      <c r="AL20" s="764"/>
      <c r="AM20" s="764"/>
      <c r="AN20" s="764"/>
      <c r="AO20" s="764"/>
      <c r="AP20" s="764"/>
      <c r="AQ20" s="764"/>
      <c r="AR20" s="764"/>
      <c r="AS20" s="764"/>
      <c r="AT20" s="764"/>
      <c r="AU20" s="764"/>
      <c r="AV20" s="764"/>
      <c r="AW20" s="764"/>
      <c r="AX20" s="764"/>
      <c r="AY20" s="764"/>
      <c r="AZ20" s="764"/>
      <c r="BA20" s="764"/>
      <c r="BB20" s="764"/>
      <c r="BC20" s="764"/>
      <c r="BD20" s="764"/>
      <c r="BE20" s="764"/>
      <c r="BF20" s="764"/>
      <c r="BG20" s="764"/>
    </row>
    <row r="21" spans="3:70" x14ac:dyDescent="0.25">
      <c r="C21" s="755" t="s">
        <v>213</v>
      </c>
      <c r="D21" s="755"/>
      <c r="E21" s="755" t="s">
        <v>214</v>
      </c>
      <c r="F21" s="755"/>
      <c r="G21" s="755"/>
      <c r="H21" s="755"/>
      <c r="I21" s="755"/>
      <c r="J21" s="755" t="s">
        <v>215</v>
      </c>
      <c r="K21" s="755"/>
      <c r="L21" s="755"/>
      <c r="M21" s="755"/>
      <c r="N21" s="755"/>
      <c r="O21" s="755" t="s">
        <v>216</v>
      </c>
      <c r="P21" s="755"/>
      <c r="Q21" s="755"/>
      <c r="R21" s="755"/>
      <c r="S21" s="755"/>
      <c r="T21" s="755"/>
      <c r="U21" s="755"/>
      <c r="V21" s="755"/>
      <c r="W21" s="755"/>
      <c r="X21" s="755"/>
      <c r="Y21" s="755"/>
      <c r="Z21" s="755"/>
      <c r="AA21" s="755"/>
      <c r="AB21" s="755"/>
      <c r="AC21" s="755"/>
      <c r="AD21" s="755"/>
      <c r="AE21" s="755" t="s">
        <v>217</v>
      </c>
      <c r="AF21" s="755"/>
      <c r="AG21" s="755"/>
      <c r="AH21" s="755"/>
      <c r="AI21" s="755"/>
      <c r="AJ21" s="755"/>
      <c r="AK21" s="755"/>
      <c r="AL21" s="755" t="s">
        <v>218</v>
      </c>
      <c r="AM21" s="755"/>
      <c r="AN21" s="755"/>
      <c r="AO21" s="755"/>
      <c r="AP21" s="755"/>
      <c r="AQ21" s="755"/>
      <c r="AR21" s="755"/>
      <c r="AS21" s="755" t="s">
        <v>219</v>
      </c>
      <c r="AT21" s="755"/>
      <c r="AU21" s="755"/>
      <c r="AV21" s="755"/>
      <c r="AW21" s="755"/>
      <c r="AX21" s="755"/>
      <c r="AY21" s="755"/>
      <c r="AZ21" s="755" t="s">
        <v>220</v>
      </c>
      <c r="BA21" s="755"/>
      <c r="BB21" s="755"/>
      <c r="BC21" s="755"/>
      <c r="BD21" s="755"/>
      <c r="BE21" s="755"/>
      <c r="BF21" s="755"/>
      <c r="BG21" s="755"/>
    </row>
    <row r="22" spans="3:70" s="355" customFormat="1" x14ac:dyDescent="0.25">
      <c r="C22" s="942">
        <v>1</v>
      </c>
      <c r="D22" s="942"/>
      <c r="E22" s="1055" t="s">
        <v>1249</v>
      </c>
      <c r="F22" s="758"/>
      <c r="G22" s="758"/>
      <c r="H22" s="758"/>
      <c r="I22" s="758"/>
      <c r="J22" s="985" t="s">
        <v>1248</v>
      </c>
      <c r="K22" s="985"/>
      <c r="L22" s="985"/>
      <c r="M22" s="985"/>
      <c r="N22" s="985"/>
      <c r="O22" s="765" t="s">
        <v>1253</v>
      </c>
      <c r="P22" s="765"/>
      <c r="Q22" s="765"/>
      <c r="R22" s="765"/>
      <c r="S22" s="765"/>
      <c r="T22" s="765"/>
      <c r="U22" s="765"/>
      <c r="V22" s="765"/>
      <c r="W22" s="765"/>
      <c r="X22" s="765"/>
      <c r="Y22" s="765"/>
      <c r="Z22" s="765"/>
      <c r="AA22" s="765"/>
      <c r="AB22" s="765"/>
      <c r="AC22" s="765"/>
      <c r="AD22" s="765"/>
      <c r="AE22" s="765" t="s">
        <v>1252</v>
      </c>
      <c r="AF22" s="765"/>
      <c r="AG22" s="765"/>
      <c r="AH22" s="765"/>
      <c r="AI22" s="765"/>
      <c r="AJ22" s="765"/>
      <c r="AK22" s="765"/>
      <c r="AL22" s="765" t="s">
        <v>1250</v>
      </c>
      <c r="AM22" s="765"/>
      <c r="AN22" s="765"/>
      <c r="AO22" s="765"/>
      <c r="AP22" s="765"/>
      <c r="AQ22" s="765"/>
      <c r="AR22" s="765"/>
      <c r="AS22" s="765" t="s">
        <v>666</v>
      </c>
      <c r="AT22" s="765"/>
      <c r="AU22" s="765"/>
      <c r="AV22" s="765"/>
      <c r="AW22" s="765"/>
      <c r="AX22" s="765"/>
      <c r="AY22" s="765"/>
      <c r="AZ22" s="765" t="s">
        <v>1251</v>
      </c>
      <c r="BA22" s="765"/>
      <c r="BB22" s="765"/>
      <c r="BC22" s="765"/>
      <c r="BD22" s="765"/>
      <c r="BE22" s="765"/>
      <c r="BF22" s="765"/>
      <c r="BG22" s="765"/>
    </row>
    <row r="23" spans="3:70" s="355" customFormat="1" x14ac:dyDescent="0.25">
      <c r="C23" s="942"/>
      <c r="D23" s="942"/>
      <c r="E23" s="758"/>
      <c r="F23" s="758"/>
      <c r="G23" s="758"/>
      <c r="H23" s="758"/>
      <c r="I23" s="758"/>
      <c r="J23" s="985"/>
      <c r="K23" s="985"/>
      <c r="L23" s="985"/>
      <c r="M23" s="985"/>
      <c r="N23" s="985"/>
      <c r="O23" s="765"/>
      <c r="P23" s="765"/>
      <c r="Q23" s="765"/>
      <c r="R23" s="765"/>
      <c r="S23" s="765"/>
      <c r="T23" s="765"/>
      <c r="U23" s="765"/>
      <c r="V23" s="765"/>
      <c r="W23" s="765"/>
      <c r="X23" s="765"/>
      <c r="Y23" s="765"/>
      <c r="Z23" s="765"/>
      <c r="AA23" s="765"/>
      <c r="AB23" s="765"/>
      <c r="AC23" s="765"/>
      <c r="AD23" s="765"/>
      <c r="AE23" s="765"/>
      <c r="AF23" s="765"/>
      <c r="AG23" s="765"/>
      <c r="AH23" s="765"/>
      <c r="AI23" s="765"/>
      <c r="AJ23" s="765"/>
      <c r="AK23" s="765"/>
      <c r="AL23" s="765"/>
      <c r="AM23" s="765"/>
      <c r="AN23" s="765"/>
      <c r="AO23" s="765"/>
      <c r="AP23" s="765"/>
      <c r="AQ23" s="765"/>
      <c r="AR23" s="765"/>
      <c r="AS23" s="765"/>
      <c r="AT23" s="765"/>
      <c r="AU23" s="765"/>
      <c r="AV23" s="765"/>
      <c r="AW23" s="765"/>
      <c r="AX23" s="765"/>
      <c r="AY23" s="765"/>
      <c r="AZ23" s="765"/>
      <c r="BA23" s="765"/>
      <c r="BB23" s="765"/>
      <c r="BC23" s="765"/>
      <c r="BD23" s="765"/>
      <c r="BE23" s="765"/>
      <c r="BF23" s="765"/>
      <c r="BG23" s="765"/>
    </row>
    <row r="24" spans="3:70" x14ac:dyDescent="0.25">
      <c r="C24" s="755"/>
      <c r="D24" s="755"/>
      <c r="E24" s="755"/>
      <c r="F24" s="755"/>
      <c r="G24" s="755"/>
      <c r="H24" s="755"/>
      <c r="I24" s="755"/>
      <c r="J24" s="754"/>
      <c r="K24" s="754"/>
      <c r="L24" s="754"/>
      <c r="M24" s="754"/>
      <c r="N24" s="754"/>
      <c r="O24" s="754"/>
      <c r="P24" s="754"/>
      <c r="Q24" s="754"/>
      <c r="R24" s="754"/>
      <c r="S24" s="754"/>
      <c r="T24" s="754"/>
      <c r="U24" s="754"/>
      <c r="V24" s="754"/>
      <c r="W24" s="754"/>
      <c r="X24" s="754"/>
      <c r="Y24" s="754"/>
      <c r="Z24" s="754"/>
      <c r="AA24" s="754"/>
      <c r="AB24" s="754"/>
      <c r="AC24" s="754"/>
      <c r="AD24" s="754"/>
      <c r="AE24" s="754"/>
      <c r="AF24" s="754"/>
      <c r="AG24" s="754"/>
      <c r="AH24" s="754"/>
      <c r="AI24" s="754"/>
      <c r="AJ24" s="754"/>
      <c r="AK24" s="754"/>
      <c r="AL24" s="754"/>
      <c r="AM24" s="754"/>
      <c r="AN24" s="754"/>
      <c r="AO24" s="754"/>
      <c r="AP24" s="754"/>
      <c r="AQ24" s="754"/>
      <c r="AR24" s="754"/>
      <c r="AS24" s="754"/>
      <c r="AT24" s="754"/>
      <c r="AU24" s="754"/>
      <c r="AV24" s="754"/>
      <c r="AW24" s="754"/>
      <c r="AX24" s="754"/>
      <c r="AY24" s="754"/>
      <c r="AZ24" s="754"/>
      <c r="BA24" s="754"/>
      <c r="BB24" s="754"/>
      <c r="BC24" s="754"/>
      <c r="BD24" s="754"/>
      <c r="BE24" s="754"/>
      <c r="BF24" s="754"/>
      <c r="BG24" s="754"/>
    </row>
    <row r="25" spans="3:70" x14ac:dyDescent="0.25">
      <c r="C25" s="755"/>
      <c r="D25" s="755"/>
      <c r="E25" s="755"/>
      <c r="F25" s="755"/>
      <c r="G25" s="755"/>
      <c r="H25" s="755"/>
      <c r="I25" s="755"/>
      <c r="J25" s="754"/>
      <c r="K25" s="754"/>
      <c r="L25" s="754"/>
      <c r="M25" s="754"/>
      <c r="N25" s="754"/>
      <c r="O25" s="754"/>
      <c r="P25" s="754"/>
      <c r="Q25" s="754"/>
      <c r="R25" s="754"/>
      <c r="S25" s="754"/>
      <c r="T25" s="754"/>
      <c r="U25" s="754"/>
      <c r="V25" s="754"/>
      <c r="W25" s="754"/>
      <c r="X25" s="754"/>
      <c r="Y25" s="754"/>
      <c r="Z25" s="754"/>
      <c r="AA25" s="754"/>
      <c r="AB25" s="754"/>
      <c r="AC25" s="754"/>
      <c r="AD25" s="754"/>
      <c r="AE25" s="754"/>
      <c r="AF25" s="754"/>
      <c r="AG25" s="754"/>
      <c r="AH25" s="754"/>
      <c r="AI25" s="754"/>
      <c r="AJ25" s="754"/>
      <c r="AK25" s="754"/>
      <c r="AL25" s="754"/>
      <c r="AM25" s="754"/>
      <c r="AN25" s="754"/>
      <c r="AO25" s="754"/>
      <c r="AP25" s="754"/>
      <c r="AQ25" s="754"/>
      <c r="AR25" s="754"/>
      <c r="AS25" s="754"/>
      <c r="AT25" s="754"/>
      <c r="AU25" s="754"/>
      <c r="AV25" s="754"/>
      <c r="AW25" s="754"/>
      <c r="AX25" s="754"/>
      <c r="AY25" s="754"/>
      <c r="AZ25" s="754"/>
      <c r="BA25" s="754"/>
      <c r="BB25" s="754"/>
      <c r="BC25" s="754"/>
      <c r="BD25" s="754"/>
      <c r="BE25" s="754"/>
      <c r="BF25" s="754"/>
      <c r="BG25" s="754"/>
    </row>
    <row r="26" spans="3:70" x14ac:dyDescent="0.25">
      <c r="C26" s="755"/>
      <c r="D26" s="755"/>
      <c r="E26" s="755"/>
      <c r="F26" s="755"/>
      <c r="G26" s="755"/>
      <c r="H26" s="755"/>
      <c r="I26" s="755"/>
      <c r="J26" s="754"/>
      <c r="K26" s="754"/>
      <c r="L26" s="754"/>
      <c r="M26" s="754"/>
      <c r="N26" s="754"/>
      <c r="O26" s="754"/>
      <c r="P26" s="754"/>
      <c r="Q26" s="754"/>
      <c r="R26" s="754"/>
      <c r="S26" s="754"/>
      <c r="T26" s="754"/>
      <c r="U26" s="754"/>
      <c r="V26" s="754"/>
      <c r="W26" s="754"/>
      <c r="X26" s="754"/>
      <c r="Y26" s="754"/>
      <c r="Z26" s="754"/>
      <c r="AA26" s="754"/>
      <c r="AB26" s="754"/>
      <c r="AC26" s="754"/>
      <c r="AD26" s="754"/>
      <c r="AE26" s="754"/>
      <c r="AF26" s="754"/>
      <c r="AG26" s="754"/>
      <c r="AH26" s="754"/>
      <c r="AI26" s="754"/>
      <c r="AJ26" s="754"/>
      <c r="AK26" s="754"/>
      <c r="AL26" s="754"/>
      <c r="AM26" s="754"/>
      <c r="AN26" s="754"/>
      <c r="AO26" s="754"/>
      <c r="AP26" s="754"/>
      <c r="AQ26" s="754"/>
      <c r="AR26" s="754"/>
      <c r="AS26" s="754"/>
      <c r="AT26" s="754"/>
      <c r="AU26" s="754"/>
      <c r="AV26" s="754"/>
      <c r="AW26" s="754"/>
      <c r="AX26" s="754"/>
      <c r="AY26" s="754"/>
      <c r="AZ26" s="754"/>
      <c r="BA26" s="754"/>
      <c r="BB26" s="754"/>
      <c r="BC26" s="754"/>
      <c r="BD26" s="754"/>
      <c r="BE26" s="754"/>
      <c r="BF26" s="754"/>
      <c r="BG26" s="754"/>
    </row>
    <row r="27" spans="3:70" x14ac:dyDescent="0.25">
      <c r="C27" s="755"/>
      <c r="D27" s="755"/>
      <c r="E27" s="755"/>
      <c r="F27" s="755"/>
      <c r="G27" s="755"/>
      <c r="H27" s="755"/>
      <c r="I27" s="755"/>
      <c r="J27" s="754"/>
      <c r="K27" s="754"/>
      <c r="L27" s="754"/>
      <c r="M27" s="754"/>
      <c r="N27" s="754"/>
      <c r="O27" s="754"/>
      <c r="P27" s="754"/>
      <c r="Q27" s="754"/>
      <c r="R27" s="754"/>
      <c r="S27" s="754"/>
      <c r="T27" s="754"/>
      <c r="U27" s="754"/>
      <c r="V27" s="754"/>
      <c r="W27" s="754"/>
      <c r="X27" s="754"/>
      <c r="Y27" s="754"/>
      <c r="Z27" s="754"/>
      <c r="AA27" s="754"/>
      <c r="AB27" s="754"/>
      <c r="AC27" s="754"/>
      <c r="AD27" s="754"/>
      <c r="AE27" s="754"/>
      <c r="AF27" s="754"/>
      <c r="AG27" s="754"/>
      <c r="AH27" s="754"/>
      <c r="AI27" s="754"/>
      <c r="AJ27" s="754"/>
      <c r="AK27" s="754"/>
      <c r="AL27" s="754"/>
      <c r="AM27" s="754"/>
      <c r="AN27" s="754"/>
      <c r="AO27" s="754"/>
      <c r="AP27" s="754"/>
      <c r="AQ27" s="754"/>
      <c r="AR27" s="754"/>
      <c r="AS27" s="754"/>
      <c r="AT27" s="754"/>
      <c r="AU27" s="754"/>
      <c r="AV27" s="754"/>
      <c r="AW27" s="754"/>
      <c r="AX27" s="754"/>
      <c r="AY27" s="754"/>
      <c r="AZ27" s="754"/>
      <c r="BA27" s="754"/>
      <c r="BB27" s="754"/>
      <c r="BC27" s="754"/>
      <c r="BD27" s="754"/>
      <c r="BE27" s="754"/>
      <c r="BF27" s="754"/>
      <c r="BG27" s="754"/>
    </row>
    <row r="28" spans="3:70" ht="3" customHeight="1" x14ac:dyDescent="0.25">
      <c r="C28" s="207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</row>
    <row r="29" spans="3:70" ht="15.6" customHeight="1" x14ac:dyDescent="0.25">
      <c r="C29" s="199" t="s">
        <v>28</v>
      </c>
      <c r="D29" s="52" t="s">
        <v>434</v>
      </c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45"/>
      <c r="BG29" s="45"/>
    </row>
    <row r="30" spans="3:70" ht="4.1500000000000004" customHeight="1" x14ac:dyDescent="0.25">
      <c r="C30" s="201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</row>
    <row r="31" spans="3:70" x14ac:dyDescent="0.25">
      <c r="C31" s="933" t="s">
        <v>263</v>
      </c>
      <c r="D31" s="935" t="s">
        <v>461</v>
      </c>
      <c r="E31" s="627"/>
      <c r="F31" s="627"/>
      <c r="G31" s="627"/>
      <c r="H31" s="627"/>
      <c r="I31" s="627"/>
      <c r="J31" s="936"/>
      <c r="K31" s="728" t="s">
        <v>435</v>
      </c>
      <c r="L31" s="728"/>
      <c r="M31" s="728"/>
      <c r="N31" s="728"/>
      <c r="O31" s="935" t="s">
        <v>436</v>
      </c>
      <c r="P31" s="627"/>
      <c r="Q31" s="627"/>
      <c r="R31" s="936"/>
      <c r="S31" s="728" t="s">
        <v>445</v>
      </c>
      <c r="T31" s="728"/>
      <c r="U31" s="728"/>
      <c r="V31" s="728"/>
      <c r="W31" s="728" t="s">
        <v>446</v>
      </c>
      <c r="X31" s="728"/>
      <c r="Y31" s="728"/>
      <c r="Z31" s="728"/>
      <c r="AA31" s="728" t="s">
        <v>447</v>
      </c>
      <c r="AB31" s="728"/>
      <c r="AC31" s="728"/>
      <c r="AD31" s="728"/>
      <c r="AE31" s="728" t="s">
        <v>448</v>
      </c>
      <c r="AF31" s="728"/>
      <c r="AG31" s="728"/>
      <c r="AH31" s="728"/>
      <c r="AI31" s="728" t="s">
        <v>449</v>
      </c>
      <c r="AJ31" s="728"/>
      <c r="AK31" s="728"/>
      <c r="AL31" s="728"/>
      <c r="AM31" s="728" t="s">
        <v>450</v>
      </c>
      <c r="AN31" s="728"/>
      <c r="AO31" s="728"/>
      <c r="AP31" s="728"/>
      <c r="AQ31" s="728" t="s">
        <v>451</v>
      </c>
      <c r="AR31" s="728"/>
      <c r="AS31" s="728"/>
      <c r="AT31" s="728"/>
      <c r="AU31" s="728" t="s">
        <v>452</v>
      </c>
      <c r="AV31" s="728"/>
      <c r="AW31" s="728"/>
      <c r="AX31" s="728"/>
      <c r="AY31" s="728" t="s">
        <v>453</v>
      </c>
      <c r="AZ31" s="728"/>
      <c r="BA31" s="728"/>
      <c r="BB31" s="728"/>
      <c r="BC31" s="728" t="s">
        <v>454</v>
      </c>
      <c r="BD31" s="728"/>
      <c r="BE31" s="728"/>
      <c r="BF31" s="728"/>
      <c r="BG31" s="728" t="s">
        <v>519</v>
      </c>
    </row>
    <row r="32" spans="3:70" x14ac:dyDescent="0.25">
      <c r="C32" s="934"/>
      <c r="D32" s="937"/>
      <c r="E32" s="938"/>
      <c r="F32" s="938"/>
      <c r="G32" s="938"/>
      <c r="H32" s="938"/>
      <c r="I32" s="938"/>
      <c r="J32" s="939"/>
      <c r="K32" s="728"/>
      <c r="L32" s="728"/>
      <c r="M32" s="728"/>
      <c r="N32" s="728"/>
      <c r="O32" s="937"/>
      <c r="P32" s="938"/>
      <c r="Q32" s="938"/>
      <c r="R32" s="939"/>
      <c r="S32" s="728"/>
      <c r="T32" s="728"/>
      <c r="U32" s="728"/>
      <c r="V32" s="728"/>
      <c r="W32" s="728"/>
      <c r="X32" s="728"/>
      <c r="Y32" s="728"/>
      <c r="Z32" s="728"/>
      <c r="AA32" s="728"/>
      <c r="AB32" s="728"/>
      <c r="AC32" s="728"/>
      <c r="AD32" s="728"/>
      <c r="AE32" s="728"/>
      <c r="AF32" s="728"/>
      <c r="AG32" s="728"/>
      <c r="AH32" s="728"/>
      <c r="AI32" s="728"/>
      <c r="AJ32" s="728"/>
      <c r="AK32" s="728"/>
      <c r="AL32" s="728"/>
      <c r="AM32" s="728"/>
      <c r="AN32" s="728"/>
      <c r="AO32" s="728"/>
      <c r="AP32" s="728"/>
      <c r="AQ32" s="728"/>
      <c r="AR32" s="728"/>
      <c r="AS32" s="728"/>
      <c r="AT32" s="728"/>
      <c r="AU32" s="728"/>
      <c r="AV32" s="728"/>
      <c r="AW32" s="728"/>
      <c r="AX32" s="728"/>
      <c r="AY32" s="728"/>
      <c r="AZ32" s="728"/>
      <c r="BA32" s="728"/>
      <c r="BB32" s="728"/>
      <c r="BC32" s="728"/>
      <c r="BD32" s="728"/>
      <c r="BE32" s="728"/>
      <c r="BF32" s="728"/>
      <c r="BG32" s="728"/>
    </row>
    <row r="33" spans="3:59" x14ac:dyDescent="0.25">
      <c r="C33" s="256" t="s">
        <v>213</v>
      </c>
      <c r="D33" s="940" t="s">
        <v>214</v>
      </c>
      <c r="E33" s="941"/>
      <c r="F33" s="941"/>
      <c r="G33" s="941"/>
      <c r="H33" s="941"/>
      <c r="I33" s="941"/>
      <c r="J33" s="810"/>
      <c r="K33" s="755" t="s">
        <v>215</v>
      </c>
      <c r="L33" s="754"/>
      <c r="M33" s="754"/>
      <c r="N33" s="754"/>
      <c r="O33" s="861" t="s">
        <v>216</v>
      </c>
      <c r="P33" s="862"/>
      <c r="Q33" s="862"/>
      <c r="R33" s="863"/>
      <c r="S33" s="755" t="s">
        <v>217</v>
      </c>
      <c r="T33" s="754"/>
      <c r="U33" s="754"/>
      <c r="V33" s="754"/>
      <c r="W33" s="755" t="s">
        <v>218</v>
      </c>
      <c r="X33" s="754"/>
      <c r="Y33" s="754"/>
      <c r="Z33" s="754"/>
      <c r="AA33" s="755" t="s">
        <v>219</v>
      </c>
      <c r="AB33" s="754"/>
      <c r="AC33" s="754"/>
      <c r="AD33" s="754"/>
      <c r="AE33" s="755" t="s">
        <v>220</v>
      </c>
      <c r="AF33" s="754"/>
      <c r="AG33" s="754"/>
      <c r="AH33" s="754"/>
      <c r="AI33" s="755" t="s">
        <v>223</v>
      </c>
      <c r="AJ33" s="754"/>
      <c r="AK33" s="754"/>
      <c r="AL33" s="754"/>
      <c r="AM33" s="755" t="s">
        <v>248</v>
      </c>
      <c r="AN33" s="754"/>
      <c r="AO33" s="754"/>
      <c r="AP33" s="754"/>
      <c r="AQ33" s="755" t="s">
        <v>455</v>
      </c>
      <c r="AR33" s="754"/>
      <c r="AS33" s="754"/>
      <c r="AT33" s="754"/>
      <c r="AU33" s="755" t="s">
        <v>456</v>
      </c>
      <c r="AV33" s="754"/>
      <c r="AW33" s="754"/>
      <c r="AX33" s="754"/>
      <c r="AY33" s="755" t="s">
        <v>457</v>
      </c>
      <c r="AZ33" s="754"/>
      <c r="BA33" s="754"/>
      <c r="BB33" s="754"/>
      <c r="BC33" s="755" t="s">
        <v>458</v>
      </c>
      <c r="BD33" s="754"/>
      <c r="BE33" s="754"/>
      <c r="BF33" s="754"/>
      <c r="BG33" s="275" t="s">
        <v>472</v>
      </c>
    </row>
    <row r="34" spans="3:59" s="149" customFormat="1" x14ac:dyDescent="0.25">
      <c r="C34" s="753">
        <v>1</v>
      </c>
      <c r="D34" s="927" t="s">
        <v>1254</v>
      </c>
      <c r="E34" s="928"/>
      <c r="F34" s="928"/>
      <c r="G34" s="928"/>
      <c r="H34" s="928"/>
      <c r="I34" s="928"/>
      <c r="J34" s="929"/>
      <c r="K34" s="766">
        <f>'SOAL KASUS'!C20</f>
        <v>190000000</v>
      </c>
      <c r="L34" s="766"/>
      <c r="M34" s="766"/>
      <c r="N34" s="766"/>
      <c r="O34" s="953">
        <f>'SOAL KASUS'!C21</f>
        <v>200000000</v>
      </c>
      <c r="P34" s="954"/>
      <c r="Q34" s="954"/>
      <c r="R34" s="955"/>
      <c r="S34" s="766">
        <f>'SOAL KASUS'!C22</f>
        <v>175000000</v>
      </c>
      <c r="T34" s="766"/>
      <c r="U34" s="766"/>
      <c r="V34" s="766"/>
      <c r="W34" s="766">
        <f>'SOAL KASUS'!C23</f>
        <v>300000000</v>
      </c>
      <c r="X34" s="766"/>
      <c r="Y34" s="766"/>
      <c r="Z34" s="766"/>
      <c r="AA34" s="766">
        <f>'SOAL KASUS'!C24</f>
        <v>250000000</v>
      </c>
      <c r="AB34" s="766"/>
      <c r="AC34" s="766"/>
      <c r="AD34" s="766"/>
      <c r="AE34" s="766">
        <f>'SOAL KASUS'!C25</f>
        <v>235000000</v>
      </c>
      <c r="AF34" s="766"/>
      <c r="AG34" s="766"/>
      <c r="AH34" s="766"/>
      <c r="AI34" s="766">
        <f>'SOAL KASUS'!C26</f>
        <v>260000000</v>
      </c>
      <c r="AJ34" s="766"/>
      <c r="AK34" s="766"/>
      <c r="AL34" s="766"/>
      <c r="AM34" s="766">
        <f>'SOAL KASUS'!C27</f>
        <v>180000000</v>
      </c>
      <c r="AN34" s="766"/>
      <c r="AO34" s="766"/>
      <c r="AP34" s="766"/>
      <c r="AQ34" s="766">
        <f>'SOAL KASUS'!C28</f>
        <v>175000000</v>
      </c>
      <c r="AR34" s="766"/>
      <c r="AS34" s="766"/>
      <c r="AT34" s="766"/>
      <c r="AU34" s="766">
        <f>'SOAL KASUS'!C29</f>
        <v>233000000</v>
      </c>
      <c r="AV34" s="766"/>
      <c r="AW34" s="766"/>
      <c r="AX34" s="766"/>
      <c r="AY34" s="766">
        <f>'SOAL KASUS'!C30</f>
        <v>215000000</v>
      </c>
      <c r="AZ34" s="766"/>
      <c r="BA34" s="766"/>
      <c r="BB34" s="766"/>
      <c r="BC34" s="766">
        <f>'SOAL KASUS'!C31</f>
        <v>301000000</v>
      </c>
      <c r="BD34" s="766"/>
      <c r="BE34" s="766"/>
      <c r="BF34" s="766"/>
      <c r="BG34" s="991">
        <f>SUM(K34:BF35)</f>
        <v>2714000000</v>
      </c>
    </row>
    <row r="35" spans="3:59" s="149" customFormat="1" x14ac:dyDescent="0.25">
      <c r="C35" s="753"/>
      <c r="D35" s="930"/>
      <c r="E35" s="931"/>
      <c r="F35" s="931"/>
      <c r="G35" s="931"/>
      <c r="H35" s="931"/>
      <c r="I35" s="931"/>
      <c r="J35" s="932"/>
      <c r="K35" s="766"/>
      <c r="L35" s="766"/>
      <c r="M35" s="766"/>
      <c r="N35" s="766"/>
      <c r="O35" s="956"/>
      <c r="P35" s="957"/>
      <c r="Q35" s="957"/>
      <c r="R35" s="958"/>
      <c r="S35" s="766"/>
      <c r="T35" s="766"/>
      <c r="U35" s="766"/>
      <c r="V35" s="766"/>
      <c r="W35" s="766"/>
      <c r="X35" s="766"/>
      <c r="Y35" s="766"/>
      <c r="Z35" s="766"/>
      <c r="AA35" s="766"/>
      <c r="AB35" s="766"/>
      <c r="AC35" s="766"/>
      <c r="AD35" s="766"/>
      <c r="AE35" s="766"/>
      <c r="AF35" s="766"/>
      <c r="AG35" s="766"/>
      <c r="AH35" s="766"/>
      <c r="AI35" s="766"/>
      <c r="AJ35" s="766"/>
      <c r="AK35" s="766"/>
      <c r="AL35" s="766"/>
      <c r="AM35" s="766"/>
      <c r="AN35" s="766"/>
      <c r="AO35" s="766"/>
      <c r="AP35" s="766"/>
      <c r="AQ35" s="766"/>
      <c r="AR35" s="766"/>
      <c r="AS35" s="766"/>
      <c r="AT35" s="766"/>
      <c r="AU35" s="766"/>
      <c r="AV35" s="766"/>
      <c r="AW35" s="766"/>
      <c r="AX35" s="766"/>
      <c r="AY35" s="766"/>
      <c r="AZ35" s="766"/>
      <c r="BA35" s="766"/>
      <c r="BB35" s="766"/>
      <c r="BC35" s="766"/>
      <c r="BD35" s="766"/>
      <c r="BE35" s="766"/>
      <c r="BF35" s="766"/>
      <c r="BG35" s="991"/>
    </row>
    <row r="36" spans="3:59" x14ac:dyDescent="0.25">
      <c r="C36" s="754"/>
      <c r="D36" s="945"/>
      <c r="E36" s="946"/>
      <c r="F36" s="946"/>
      <c r="G36" s="946"/>
      <c r="H36" s="946"/>
      <c r="I36" s="946"/>
      <c r="J36" s="947"/>
      <c r="K36" s="767"/>
      <c r="L36" s="767"/>
      <c r="M36" s="767"/>
      <c r="N36" s="767"/>
      <c r="O36" s="959"/>
      <c r="P36" s="960"/>
      <c r="Q36" s="960"/>
      <c r="R36" s="961"/>
      <c r="S36" s="767"/>
      <c r="T36" s="767"/>
      <c r="U36" s="767"/>
      <c r="V36" s="767"/>
      <c r="W36" s="767"/>
      <c r="X36" s="767"/>
      <c r="Y36" s="767"/>
      <c r="Z36" s="767"/>
      <c r="AA36" s="767"/>
      <c r="AB36" s="767"/>
      <c r="AC36" s="767"/>
      <c r="AD36" s="767"/>
      <c r="AE36" s="767"/>
      <c r="AF36" s="767"/>
      <c r="AG36" s="767"/>
      <c r="AH36" s="767"/>
      <c r="AI36" s="767"/>
      <c r="AJ36" s="767"/>
      <c r="AK36" s="767"/>
      <c r="AL36" s="767"/>
      <c r="AM36" s="767"/>
      <c r="AN36" s="767"/>
      <c r="AO36" s="767"/>
      <c r="AP36" s="767"/>
      <c r="AQ36" s="767"/>
      <c r="AR36" s="767"/>
      <c r="AS36" s="767"/>
      <c r="AT36" s="767"/>
      <c r="AU36" s="767"/>
      <c r="AV36" s="767"/>
      <c r="AW36" s="767"/>
      <c r="AX36" s="767"/>
      <c r="AY36" s="767"/>
      <c r="AZ36" s="767"/>
      <c r="BA36" s="767"/>
      <c r="BB36" s="767"/>
      <c r="BC36" s="767"/>
      <c r="BD36" s="767"/>
      <c r="BE36" s="767"/>
      <c r="BF36" s="767"/>
      <c r="BG36" s="767"/>
    </row>
    <row r="37" spans="3:59" x14ac:dyDescent="0.25">
      <c r="C37" s="754"/>
      <c r="D37" s="950"/>
      <c r="E37" s="951"/>
      <c r="F37" s="951"/>
      <c r="G37" s="951"/>
      <c r="H37" s="951"/>
      <c r="I37" s="951"/>
      <c r="J37" s="952"/>
      <c r="K37" s="767"/>
      <c r="L37" s="767"/>
      <c r="M37" s="767"/>
      <c r="N37" s="767"/>
      <c r="O37" s="965"/>
      <c r="P37" s="966"/>
      <c r="Q37" s="966"/>
      <c r="R37" s="967"/>
      <c r="S37" s="767"/>
      <c r="T37" s="767"/>
      <c r="U37" s="767"/>
      <c r="V37" s="767"/>
      <c r="W37" s="767"/>
      <c r="X37" s="767"/>
      <c r="Y37" s="767"/>
      <c r="Z37" s="767"/>
      <c r="AA37" s="767"/>
      <c r="AB37" s="767"/>
      <c r="AC37" s="767"/>
      <c r="AD37" s="767"/>
      <c r="AE37" s="767"/>
      <c r="AF37" s="767"/>
      <c r="AG37" s="767"/>
      <c r="AH37" s="767"/>
      <c r="AI37" s="767"/>
      <c r="AJ37" s="767"/>
      <c r="AK37" s="767"/>
      <c r="AL37" s="767"/>
      <c r="AM37" s="767"/>
      <c r="AN37" s="767"/>
      <c r="AO37" s="767"/>
      <c r="AP37" s="767"/>
      <c r="AQ37" s="767"/>
      <c r="AR37" s="767"/>
      <c r="AS37" s="767"/>
      <c r="AT37" s="767"/>
      <c r="AU37" s="767"/>
      <c r="AV37" s="767"/>
      <c r="AW37" s="767"/>
      <c r="AX37" s="767"/>
      <c r="AY37" s="767"/>
      <c r="AZ37" s="767"/>
      <c r="BA37" s="767"/>
      <c r="BB37" s="767"/>
      <c r="BC37" s="767"/>
      <c r="BD37" s="767"/>
      <c r="BE37" s="767"/>
      <c r="BF37" s="767"/>
      <c r="BG37" s="767"/>
    </row>
    <row r="38" spans="3:59" x14ac:dyDescent="0.25">
      <c r="C38" s="754"/>
      <c r="D38" s="945"/>
      <c r="E38" s="946"/>
      <c r="F38" s="946"/>
      <c r="G38" s="946"/>
      <c r="H38" s="946"/>
      <c r="I38" s="946"/>
      <c r="J38" s="947"/>
      <c r="K38" s="767"/>
      <c r="L38" s="767"/>
      <c r="M38" s="767"/>
      <c r="N38" s="767"/>
      <c r="O38" s="959"/>
      <c r="P38" s="960"/>
      <c r="Q38" s="960"/>
      <c r="R38" s="961"/>
      <c r="S38" s="767"/>
      <c r="T38" s="767"/>
      <c r="U38" s="767"/>
      <c r="V38" s="767"/>
      <c r="W38" s="767"/>
      <c r="X38" s="767"/>
      <c r="Y38" s="767"/>
      <c r="Z38" s="767"/>
      <c r="AA38" s="767"/>
      <c r="AB38" s="767"/>
      <c r="AC38" s="767"/>
      <c r="AD38" s="767"/>
      <c r="AE38" s="767"/>
      <c r="AF38" s="767"/>
      <c r="AG38" s="767"/>
      <c r="AH38" s="767"/>
      <c r="AI38" s="767"/>
      <c r="AJ38" s="767"/>
      <c r="AK38" s="767"/>
      <c r="AL38" s="767"/>
      <c r="AM38" s="767"/>
      <c r="AN38" s="767"/>
      <c r="AO38" s="767"/>
      <c r="AP38" s="767"/>
      <c r="AQ38" s="767"/>
      <c r="AR38" s="767"/>
      <c r="AS38" s="767"/>
      <c r="AT38" s="767"/>
      <c r="AU38" s="767"/>
      <c r="AV38" s="767"/>
      <c r="AW38" s="767"/>
      <c r="AX38" s="767"/>
      <c r="AY38" s="767"/>
      <c r="AZ38" s="767"/>
      <c r="BA38" s="767"/>
      <c r="BB38" s="767"/>
      <c r="BC38" s="767"/>
      <c r="BD38" s="767"/>
      <c r="BE38" s="767"/>
      <c r="BF38" s="767"/>
      <c r="BG38" s="767"/>
    </row>
    <row r="39" spans="3:59" x14ac:dyDescent="0.25">
      <c r="C39" s="754"/>
      <c r="D39" s="950"/>
      <c r="E39" s="951"/>
      <c r="F39" s="951"/>
      <c r="G39" s="951"/>
      <c r="H39" s="951"/>
      <c r="I39" s="951"/>
      <c r="J39" s="952"/>
      <c r="K39" s="767"/>
      <c r="L39" s="767"/>
      <c r="M39" s="767"/>
      <c r="N39" s="767"/>
      <c r="O39" s="965"/>
      <c r="P39" s="966"/>
      <c r="Q39" s="966"/>
      <c r="R39" s="967"/>
      <c r="S39" s="767"/>
      <c r="T39" s="767"/>
      <c r="U39" s="767"/>
      <c r="V39" s="767"/>
      <c r="W39" s="767"/>
      <c r="X39" s="767"/>
      <c r="Y39" s="767"/>
      <c r="Z39" s="767"/>
      <c r="AA39" s="767"/>
      <c r="AB39" s="767"/>
      <c r="AC39" s="767"/>
      <c r="AD39" s="767"/>
      <c r="AE39" s="767"/>
      <c r="AF39" s="767"/>
      <c r="AG39" s="767"/>
      <c r="AH39" s="767"/>
      <c r="AI39" s="767"/>
      <c r="AJ39" s="767"/>
      <c r="AK39" s="767"/>
      <c r="AL39" s="767"/>
      <c r="AM39" s="767"/>
      <c r="AN39" s="767"/>
      <c r="AO39" s="767"/>
      <c r="AP39" s="767"/>
      <c r="AQ39" s="767"/>
      <c r="AR39" s="767"/>
      <c r="AS39" s="767"/>
      <c r="AT39" s="767"/>
      <c r="AU39" s="767"/>
      <c r="AV39" s="767"/>
      <c r="AW39" s="767"/>
      <c r="AX39" s="767"/>
      <c r="AY39" s="767"/>
      <c r="AZ39" s="767"/>
      <c r="BA39" s="767"/>
      <c r="BB39" s="767"/>
      <c r="BC39" s="767"/>
      <c r="BD39" s="767"/>
      <c r="BE39" s="767"/>
      <c r="BF39" s="767"/>
      <c r="BG39" s="767"/>
    </row>
    <row r="40" spans="3:59" x14ac:dyDescent="0.25">
      <c r="C40" s="943" t="s">
        <v>437</v>
      </c>
      <c r="D40" s="943"/>
      <c r="E40" s="943"/>
      <c r="F40" s="943"/>
      <c r="G40" s="943"/>
      <c r="H40" s="943"/>
      <c r="I40" s="943"/>
      <c r="J40" s="943"/>
      <c r="K40" s="767">
        <f>SUM(K34:N39)</f>
        <v>190000000</v>
      </c>
      <c r="L40" s="767"/>
      <c r="M40" s="767"/>
      <c r="N40" s="767"/>
      <c r="O40" s="767">
        <f t="shared" ref="O40" si="0">SUM(O34:R39)</f>
        <v>200000000</v>
      </c>
      <c r="P40" s="767"/>
      <c r="Q40" s="767"/>
      <c r="R40" s="767"/>
      <c r="S40" s="767">
        <f t="shared" ref="S40" si="1">SUM(S34:V39)</f>
        <v>175000000</v>
      </c>
      <c r="T40" s="767"/>
      <c r="U40" s="767"/>
      <c r="V40" s="767"/>
      <c r="W40" s="767">
        <f t="shared" ref="W40" si="2">SUM(W34:Z39)</f>
        <v>300000000</v>
      </c>
      <c r="X40" s="767"/>
      <c r="Y40" s="767"/>
      <c r="Z40" s="767"/>
      <c r="AA40" s="767">
        <f t="shared" ref="AA40" si="3">SUM(AA34:AD39)</f>
        <v>250000000</v>
      </c>
      <c r="AB40" s="767"/>
      <c r="AC40" s="767"/>
      <c r="AD40" s="767"/>
      <c r="AE40" s="767">
        <f t="shared" ref="AE40" si="4">SUM(AE34:AH39)</f>
        <v>235000000</v>
      </c>
      <c r="AF40" s="767"/>
      <c r="AG40" s="767"/>
      <c r="AH40" s="767"/>
      <c r="AI40" s="767">
        <f t="shared" ref="AI40" si="5">SUM(AI34:AL39)</f>
        <v>260000000</v>
      </c>
      <c r="AJ40" s="767"/>
      <c r="AK40" s="767"/>
      <c r="AL40" s="767"/>
      <c r="AM40" s="767">
        <f t="shared" ref="AM40" si="6">SUM(AM34:AP39)</f>
        <v>180000000</v>
      </c>
      <c r="AN40" s="767"/>
      <c r="AO40" s="767"/>
      <c r="AP40" s="767"/>
      <c r="AQ40" s="767">
        <f t="shared" ref="AQ40" si="7">SUM(AQ34:AT39)</f>
        <v>175000000</v>
      </c>
      <c r="AR40" s="767"/>
      <c r="AS40" s="767"/>
      <c r="AT40" s="767"/>
      <c r="AU40" s="767">
        <f t="shared" ref="AU40" si="8">SUM(AU34:AX39)</f>
        <v>233000000</v>
      </c>
      <c r="AV40" s="767"/>
      <c r="AW40" s="767"/>
      <c r="AX40" s="767"/>
      <c r="AY40" s="767">
        <f t="shared" ref="AY40" si="9">SUM(AY34:BB39)</f>
        <v>215000000</v>
      </c>
      <c r="AZ40" s="767"/>
      <c r="BA40" s="767"/>
      <c r="BB40" s="767"/>
      <c r="BC40" s="767">
        <f t="shared" ref="BC40" si="10">SUM(BC34:BF39)</f>
        <v>301000000</v>
      </c>
      <c r="BD40" s="767"/>
      <c r="BE40" s="767"/>
      <c r="BF40" s="767"/>
      <c r="BG40" s="767">
        <f>SUM(K40:BF42)</f>
        <v>2714000000</v>
      </c>
    </row>
    <row r="41" spans="3:59" x14ac:dyDescent="0.25">
      <c r="C41" s="943"/>
      <c r="D41" s="943"/>
      <c r="E41" s="943"/>
      <c r="F41" s="943"/>
      <c r="G41" s="943"/>
      <c r="H41" s="943"/>
      <c r="I41" s="943"/>
      <c r="J41" s="943"/>
      <c r="K41" s="767"/>
      <c r="L41" s="767"/>
      <c r="M41" s="767"/>
      <c r="N41" s="767"/>
      <c r="O41" s="767"/>
      <c r="P41" s="767"/>
      <c r="Q41" s="767"/>
      <c r="R41" s="767"/>
      <c r="S41" s="767"/>
      <c r="T41" s="767"/>
      <c r="U41" s="767"/>
      <c r="V41" s="767"/>
      <c r="W41" s="767"/>
      <c r="X41" s="767"/>
      <c r="Y41" s="767"/>
      <c r="Z41" s="767"/>
      <c r="AA41" s="767"/>
      <c r="AB41" s="767"/>
      <c r="AC41" s="767"/>
      <c r="AD41" s="767"/>
      <c r="AE41" s="767"/>
      <c r="AF41" s="767"/>
      <c r="AG41" s="767"/>
      <c r="AH41" s="767"/>
      <c r="AI41" s="767"/>
      <c r="AJ41" s="767"/>
      <c r="AK41" s="767"/>
      <c r="AL41" s="767"/>
      <c r="AM41" s="767"/>
      <c r="AN41" s="767"/>
      <c r="AO41" s="767"/>
      <c r="AP41" s="767"/>
      <c r="AQ41" s="767"/>
      <c r="AR41" s="767"/>
      <c r="AS41" s="767"/>
      <c r="AT41" s="767"/>
      <c r="AU41" s="767"/>
      <c r="AV41" s="767"/>
      <c r="AW41" s="767"/>
      <c r="AX41" s="767"/>
      <c r="AY41" s="767"/>
      <c r="AZ41" s="767"/>
      <c r="BA41" s="767"/>
      <c r="BB41" s="767"/>
      <c r="BC41" s="767"/>
      <c r="BD41" s="767"/>
      <c r="BE41" s="767"/>
      <c r="BF41" s="767"/>
      <c r="BG41" s="767"/>
    </row>
    <row r="42" spans="3:59" x14ac:dyDescent="0.25">
      <c r="C42" s="943"/>
      <c r="D42" s="943"/>
      <c r="E42" s="943"/>
      <c r="F42" s="943"/>
      <c r="G42" s="943"/>
      <c r="H42" s="943"/>
      <c r="I42" s="943"/>
      <c r="J42" s="943"/>
      <c r="K42" s="767"/>
      <c r="L42" s="767"/>
      <c r="M42" s="767"/>
      <c r="N42" s="767"/>
      <c r="O42" s="767"/>
      <c r="P42" s="767"/>
      <c r="Q42" s="767"/>
      <c r="R42" s="767"/>
      <c r="S42" s="767"/>
      <c r="T42" s="767"/>
      <c r="U42" s="767"/>
      <c r="V42" s="767"/>
      <c r="W42" s="767"/>
      <c r="X42" s="767"/>
      <c r="Y42" s="767"/>
      <c r="Z42" s="767"/>
      <c r="AA42" s="767"/>
      <c r="AB42" s="767"/>
      <c r="AC42" s="767"/>
      <c r="AD42" s="767"/>
      <c r="AE42" s="767"/>
      <c r="AF42" s="767"/>
      <c r="AG42" s="767"/>
      <c r="AH42" s="767"/>
      <c r="AI42" s="767"/>
      <c r="AJ42" s="767"/>
      <c r="AK42" s="767"/>
      <c r="AL42" s="767"/>
      <c r="AM42" s="767"/>
      <c r="AN42" s="767"/>
      <c r="AO42" s="767"/>
      <c r="AP42" s="767"/>
      <c r="AQ42" s="767"/>
      <c r="AR42" s="767"/>
      <c r="AS42" s="767"/>
      <c r="AT42" s="767"/>
      <c r="AU42" s="767"/>
      <c r="AV42" s="767"/>
      <c r="AW42" s="767"/>
      <c r="AX42" s="767"/>
      <c r="AY42" s="767"/>
      <c r="AZ42" s="767"/>
      <c r="BA42" s="767"/>
      <c r="BB42" s="767"/>
      <c r="BC42" s="767"/>
      <c r="BD42" s="767"/>
      <c r="BE42" s="767"/>
      <c r="BF42" s="767"/>
      <c r="BG42" s="767"/>
    </row>
    <row r="43" spans="3:59" x14ac:dyDescent="0.25">
      <c r="C43" s="943" t="s">
        <v>438</v>
      </c>
      <c r="D43" s="943"/>
      <c r="E43" s="943"/>
      <c r="F43" s="943"/>
      <c r="G43" s="943"/>
      <c r="H43" s="943"/>
      <c r="I43" s="943"/>
      <c r="J43" s="943"/>
      <c r="K43" s="767">
        <f>K40</f>
        <v>190000000</v>
      </c>
      <c r="L43" s="767"/>
      <c r="M43" s="767"/>
      <c r="N43" s="767"/>
      <c r="O43" s="959">
        <f>K40+O40</f>
        <v>390000000</v>
      </c>
      <c r="P43" s="960"/>
      <c r="Q43" s="960"/>
      <c r="R43" s="961"/>
      <c r="S43" s="767">
        <f>O43+S40</f>
        <v>565000000</v>
      </c>
      <c r="T43" s="767"/>
      <c r="U43" s="767"/>
      <c r="V43" s="767"/>
      <c r="W43" s="767">
        <f>S43+W40</f>
        <v>865000000</v>
      </c>
      <c r="X43" s="767"/>
      <c r="Y43" s="767"/>
      <c r="Z43" s="767"/>
      <c r="AA43" s="767">
        <f t="shared" ref="AA43" si="11">W43+AA40</f>
        <v>1115000000</v>
      </c>
      <c r="AB43" s="767"/>
      <c r="AC43" s="767"/>
      <c r="AD43" s="767"/>
      <c r="AE43" s="767">
        <f t="shared" ref="AE43" si="12">AA43+AE40</f>
        <v>1350000000</v>
      </c>
      <c r="AF43" s="767"/>
      <c r="AG43" s="767"/>
      <c r="AH43" s="767"/>
      <c r="AI43" s="767">
        <f t="shared" ref="AI43" si="13">AE43+AI40</f>
        <v>1610000000</v>
      </c>
      <c r="AJ43" s="767"/>
      <c r="AK43" s="767"/>
      <c r="AL43" s="767"/>
      <c r="AM43" s="767">
        <f t="shared" ref="AM43" si="14">AI43+AM40</f>
        <v>1790000000</v>
      </c>
      <c r="AN43" s="767"/>
      <c r="AO43" s="767"/>
      <c r="AP43" s="767"/>
      <c r="AQ43" s="767">
        <f t="shared" ref="AQ43" si="15">AM43+AQ40</f>
        <v>1965000000</v>
      </c>
      <c r="AR43" s="767"/>
      <c r="AS43" s="767"/>
      <c r="AT43" s="767"/>
      <c r="AU43" s="767">
        <f t="shared" ref="AU43" si="16">AQ43+AU40</f>
        <v>2198000000</v>
      </c>
      <c r="AV43" s="767"/>
      <c r="AW43" s="767"/>
      <c r="AX43" s="767"/>
      <c r="AY43" s="767">
        <f t="shared" ref="AY43" si="17">AU43+AY40</f>
        <v>2413000000</v>
      </c>
      <c r="AZ43" s="767"/>
      <c r="BA43" s="767"/>
      <c r="BB43" s="767"/>
      <c r="BC43" s="767">
        <f t="shared" ref="BC43" si="18">AY43+BC40</f>
        <v>2714000000</v>
      </c>
      <c r="BD43" s="767"/>
      <c r="BE43" s="767"/>
      <c r="BF43" s="767"/>
      <c r="BG43" s="767">
        <f>BC43</f>
        <v>2714000000</v>
      </c>
    </row>
    <row r="44" spans="3:59" x14ac:dyDescent="0.25">
      <c r="C44" s="943"/>
      <c r="D44" s="943"/>
      <c r="E44" s="943"/>
      <c r="F44" s="943"/>
      <c r="G44" s="943"/>
      <c r="H44" s="943"/>
      <c r="I44" s="943"/>
      <c r="J44" s="943"/>
      <c r="K44" s="767"/>
      <c r="L44" s="767"/>
      <c r="M44" s="767"/>
      <c r="N44" s="767"/>
      <c r="O44" s="962"/>
      <c r="P44" s="963"/>
      <c r="Q44" s="963"/>
      <c r="R44" s="964"/>
      <c r="S44" s="767"/>
      <c r="T44" s="767"/>
      <c r="U44" s="767"/>
      <c r="V44" s="767"/>
      <c r="W44" s="767"/>
      <c r="X44" s="767"/>
      <c r="Y44" s="767"/>
      <c r="Z44" s="767"/>
      <c r="AA44" s="767"/>
      <c r="AB44" s="767"/>
      <c r="AC44" s="767"/>
      <c r="AD44" s="767"/>
      <c r="AE44" s="767"/>
      <c r="AF44" s="767"/>
      <c r="AG44" s="767"/>
      <c r="AH44" s="767"/>
      <c r="AI44" s="767"/>
      <c r="AJ44" s="767"/>
      <c r="AK44" s="767"/>
      <c r="AL44" s="767"/>
      <c r="AM44" s="767"/>
      <c r="AN44" s="767"/>
      <c r="AO44" s="767"/>
      <c r="AP44" s="767"/>
      <c r="AQ44" s="767"/>
      <c r="AR44" s="767"/>
      <c r="AS44" s="767"/>
      <c r="AT44" s="767"/>
      <c r="AU44" s="767"/>
      <c r="AV44" s="767"/>
      <c r="AW44" s="767"/>
      <c r="AX44" s="767"/>
      <c r="AY44" s="767"/>
      <c r="AZ44" s="767"/>
      <c r="BA44" s="767"/>
      <c r="BB44" s="767"/>
      <c r="BC44" s="767"/>
      <c r="BD44" s="767"/>
      <c r="BE44" s="767"/>
      <c r="BF44" s="767"/>
      <c r="BG44" s="767"/>
    </row>
    <row r="45" spans="3:59" x14ac:dyDescent="0.25">
      <c r="C45" s="943"/>
      <c r="D45" s="943"/>
      <c r="E45" s="943"/>
      <c r="F45" s="943"/>
      <c r="G45" s="943"/>
      <c r="H45" s="943"/>
      <c r="I45" s="943"/>
      <c r="J45" s="943"/>
      <c r="K45" s="767"/>
      <c r="L45" s="767"/>
      <c r="M45" s="767"/>
      <c r="N45" s="767"/>
      <c r="O45" s="965"/>
      <c r="P45" s="966"/>
      <c r="Q45" s="966"/>
      <c r="R45" s="967"/>
      <c r="S45" s="767"/>
      <c r="T45" s="767"/>
      <c r="U45" s="767"/>
      <c r="V45" s="767"/>
      <c r="W45" s="767"/>
      <c r="X45" s="767"/>
      <c r="Y45" s="767"/>
      <c r="Z45" s="767"/>
      <c r="AA45" s="767"/>
      <c r="AB45" s="767"/>
      <c r="AC45" s="767"/>
      <c r="AD45" s="767"/>
      <c r="AE45" s="767"/>
      <c r="AF45" s="767"/>
      <c r="AG45" s="767"/>
      <c r="AH45" s="767"/>
      <c r="AI45" s="767"/>
      <c r="AJ45" s="767"/>
      <c r="AK45" s="767"/>
      <c r="AL45" s="767"/>
      <c r="AM45" s="767"/>
      <c r="AN45" s="767"/>
      <c r="AO45" s="767"/>
      <c r="AP45" s="767"/>
      <c r="AQ45" s="767"/>
      <c r="AR45" s="767"/>
      <c r="AS45" s="767"/>
      <c r="AT45" s="767"/>
      <c r="AU45" s="767"/>
      <c r="AV45" s="767"/>
      <c r="AW45" s="767"/>
      <c r="AX45" s="767"/>
      <c r="AY45" s="767"/>
      <c r="AZ45" s="767"/>
      <c r="BA45" s="767"/>
      <c r="BB45" s="767"/>
      <c r="BC45" s="767"/>
      <c r="BD45" s="767"/>
      <c r="BE45" s="767"/>
      <c r="BF45" s="767"/>
      <c r="BG45" s="767"/>
    </row>
    <row r="46" spans="3:59" ht="15.75" customHeight="1" x14ac:dyDescent="0.25">
      <c r="C46" s="943" t="s">
        <v>439</v>
      </c>
      <c r="D46" s="943"/>
      <c r="E46" s="943"/>
      <c r="F46" s="943"/>
      <c r="G46" s="943"/>
      <c r="H46" s="943"/>
      <c r="I46" s="943"/>
      <c r="J46" s="943"/>
      <c r="K46" s="2"/>
      <c r="L46" s="332"/>
      <c r="M46" s="332"/>
      <c r="N46" s="332"/>
      <c r="O46" s="332"/>
      <c r="P46" s="332"/>
      <c r="Q46" s="332"/>
      <c r="R46" s="332"/>
      <c r="S46" s="332"/>
      <c r="T46" s="332"/>
      <c r="U46" s="332"/>
      <c r="V46" s="332"/>
      <c r="W46" s="332"/>
      <c r="X46" s="332"/>
      <c r="Y46" s="332"/>
      <c r="Z46" s="332"/>
      <c r="AA46" s="332"/>
      <c r="AB46" s="332"/>
      <c r="AC46" s="332"/>
      <c r="AD46" s="332"/>
      <c r="AE46" s="332"/>
      <c r="AF46" s="332"/>
      <c r="AG46" s="988">
        <v>500000000</v>
      </c>
      <c r="AH46" s="988"/>
      <c r="AI46" s="988"/>
      <c r="AJ46" s="988"/>
      <c r="AK46" s="988"/>
      <c r="AL46" s="332"/>
      <c r="AM46" s="332"/>
      <c r="AN46" s="332"/>
      <c r="AO46" s="332"/>
      <c r="AP46" s="332"/>
      <c r="AQ46" s="332"/>
      <c r="AR46" s="332"/>
      <c r="AS46" s="332"/>
      <c r="AT46" s="332"/>
      <c r="AU46" s="332"/>
      <c r="AV46" s="332"/>
      <c r="AW46" s="332"/>
      <c r="AX46" s="332"/>
      <c r="AY46" s="332"/>
      <c r="AZ46" s="332"/>
      <c r="BA46" s="332"/>
      <c r="BB46" s="332"/>
      <c r="BC46" s="332"/>
      <c r="BD46" s="332"/>
      <c r="BE46" s="332"/>
      <c r="BF46" s="333"/>
      <c r="BG46" s="992">
        <f>AG46</f>
        <v>500000000</v>
      </c>
    </row>
    <row r="47" spans="3:59" ht="15.75" customHeight="1" x14ac:dyDescent="0.25">
      <c r="C47" s="943"/>
      <c r="D47" s="943"/>
      <c r="E47" s="943"/>
      <c r="F47" s="943"/>
      <c r="G47" s="943"/>
      <c r="H47" s="943"/>
      <c r="I47" s="943"/>
      <c r="J47" s="943"/>
      <c r="K47" s="334"/>
      <c r="L47" s="335"/>
      <c r="M47" s="335"/>
      <c r="N47" s="335"/>
      <c r="O47" s="335"/>
      <c r="P47" s="335"/>
      <c r="Q47" s="335"/>
      <c r="R47" s="335"/>
      <c r="S47" s="335"/>
      <c r="T47" s="335"/>
      <c r="U47" s="335"/>
      <c r="V47" s="335"/>
      <c r="W47" s="335"/>
      <c r="X47" s="335"/>
      <c r="Y47" s="335"/>
      <c r="Z47" s="335"/>
      <c r="AA47" s="335"/>
      <c r="AB47" s="335"/>
      <c r="AC47" s="335"/>
      <c r="AD47" s="335"/>
      <c r="AE47" s="335"/>
      <c r="AF47" s="335"/>
      <c r="AG47" s="989"/>
      <c r="AH47" s="989"/>
      <c r="AI47" s="989"/>
      <c r="AJ47" s="989"/>
      <c r="AK47" s="989"/>
      <c r="AL47" s="335"/>
      <c r="AM47" s="335"/>
      <c r="AN47" s="335"/>
      <c r="AO47" s="335"/>
      <c r="AP47" s="335"/>
      <c r="AQ47" s="335"/>
      <c r="AR47" s="335"/>
      <c r="AS47" s="335"/>
      <c r="AT47" s="335"/>
      <c r="AU47" s="335"/>
      <c r="AV47" s="335"/>
      <c r="AW47" s="335"/>
      <c r="AX47" s="335"/>
      <c r="AY47" s="335"/>
      <c r="AZ47" s="335"/>
      <c r="BA47" s="335"/>
      <c r="BB47" s="335"/>
      <c r="BC47" s="335"/>
      <c r="BD47" s="335"/>
      <c r="BE47" s="335"/>
      <c r="BF47" s="336"/>
      <c r="BG47" s="728"/>
    </row>
    <row r="48" spans="3:59" ht="15.75" customHeight="1" x14ac:dyDescent="0.25">
      <c r="C48" s="943"/>
      <c r="D48" s="943"/>
      <c r="E48" s="943"/>
      <c r="F48" s="943"/>
      <c r="G48" s="943"/>
      <c r="H48" s="943"/>
      <c r="I48" s="943"/>
      <c r="J48" s="943"/>
      <c r="K48" s="337"/>
      <c r="L48" s="338"/>
      <c r="M48" s="338"/>
      <c r="N48" s="338"/>
      <c r="O48" s="338"/>
      <c r="P48" s="338"/>
      <c r="Q48" s="338"/>
      <c r="R48" s="338"/>
      <c r="S48" s="338"/>
      <c r="T48" s="338"/>
      <c r="U48" s="338"/>
      <c r="V48" s="338"/>
      <c r="W48" s="338"/>
      <c r="X48" s="338"/>
      <c r="Y48" s="338"/>
      <c r="Z48" s="338"/>
      <c r="AA48" s="338"/>
      <c r="AB48" s="338"/>
      <c r="AC48" s="338"/>
      <c r="AD48" s="338"/>
      <c r="AE48" s="338"/>
      <c r="AF48" s="338"/>
      <c r="AG48" s="990"/>
      <c r="AH48" s="990"/>
      <c r="AI48" s="990"/>
      <c r="AJ48" s="990"/>
      <c r="AK48" s="990"/>
      <c r="AL48" s="338"/>
      <c r="AM48" s="338"/>
      <c r="AN48" s="338"/>
      <c r="AO48" s="338"/>
      <c r="AP48" s="338"/>
      <c r="AQ48" s="338"/>
      <c r="AR48" s="338"/>
      <c r="AS48" s="338"/>
      <c r="AT48" s="338"/>
      <c r="AU48" s="338"/>
      <c r="AV48" s="338"/>
      <c r="AW48" s="338"/>
      <c r="AX48" s="338"/>
      <c r="AY48" s="338"/>
      <c r="AZ48" s="338"/>
      <c r="BA48" s="338"/>
      <c r="BB48" s="338"/>
      <c r="BC48" s="338"/>
      <c r="BD48" s="338"/>
      <c r="BE48" s="338"/>
      <c r="BF48" s="339"/>
      <c r="BG48" s="728"/>
    </row>
    <row r="49" spans="3:59" x14ac:dyDescent="0.25">
      <c r="C49" s="943" t="s">
        <v>440</v>
      </c>
      <c r="D49" s="943"/>
      <c r="E49" s="943"/>
      <c r="F49" s="943"/>
      <c r="G49" s="943"/>
      <c r="H49" s="943"/>
      <c r="I49" s="943"/>
      <c r="J49" s="943"/>
      <c r="K49" s="754">
        <v>0</v>
      </c>
      <c r="L49" s="754"/>
      <c r="M49" s="754"/>
      <c r="N49" s="754"/>
      <c r="O49" s="945">
        <v>0</v>
      </c>
      <c r="P49" s="946"/>
      <c r="Q49" s="946"/>
      <c r="R49" s="947"/>
      <c r="S49" s="768">
        <f>S40</f>
        <v>175000000</v>
      </c>
      <c r="T49" s="754"/>
      <c r="U49" s="754"/>
      <c r="V49" s="754"/>
      <c r="W49" s="768">
        <f>W40</f>
        <v>300000000</v>
      </c>
      <c r="X49" s="754"/>
      <c r="Y49" s="754"/>
      <c r="Z49" s="754"/>
      <c r="AA49" s="768">
        <f>AA40</f>
        <v>250000000</v>
      </c>
      <c r="AB49" s="754"/>
      <c r="AC49" s="754"/>
      <c r="AD49" s="754"/>
      <c r="AE49" s="768">
        <f t="shared" ref="AE49" si="19">AE40</f>
        <v>235000000</v>
      </c>
      <c r="AF49" s="754"/>
      <c r="AG49" s="754"/>
      <c r="AH49" s="754"/>
      <c r="AI49" s="768">
        <f t="shared" ref="AI49" si="20">AI40</f>
        <v>260000000</v>
      </c>
      <c r="AJ49" s="754"/>
      <c r="AK49" s="754"/>
      <c r="AL49" s="754"/>
      <c r="AM49" s="768">
        <f t="shared" ref="AM49" si="21">AM40</f>
        <v>180000000</v>
      </c>
      <c r="AN49" s="754"/>
      <c r="AO49" s="754"/>
      <c r="AP49" s="754"/>
      <c r="AQ49" s="768">
        <f t="shared" ref="AQ49" si="22">AQ40</f>
        <v>175000000</v>
      </c>
      <c r="AR49" s="754"/>
      <c r="AS49" s="754"/>
      <c r="AT49" s="754"/>
      <c r="AU49" s="768">
        <f t="shared" ref="AU49" si="23">AU40</f>
        <v>233000000</v>
      </c>
      <c r="AV49" s="754"/>
      <c r="AW49" s="754"/>
      <c r="AX49" s="754"/>
      <c r="AY49" s="768">
        <f t="shared" ref="AY49" si="24">AY40</f>
        <v>215000000</v>
      </c>
      <c r="AZ49" s="754"/>
      <c r="BA49" s="754"/>
      <c r="BB49" s="754"/>
      <c r="BC49" s="768">
        <f t="shared" ref="BC49" si="25">BC40</f>
        <v>301000000</v>
      </c>
      <c r="BD49" s="754"/>
      <c r="BE49" s="754"/>
      <c r="BF49" s="754"/>
      <c r="BG49" s="767">
        <f>SUM(K49:BF51)</f>
        <v>2324000000</v>
      </c>
    </row>
    <row r="50" spans="3:59" x14ac:dyDescent="0.25">
      <c r="C50" s="943"/>
      <c r="D50" s="943"/>
      <c r="E50" s="943"/>
      <c r="F50" s="943"/>
      <c r="G50" s="943"/>
      <c r="H50" s="943"/>
      <c r="I50" s="943"/>
      <c r="J50" s="943"/>
      <c r="K50" s="754"/>
      <c r="L50" s="754"/>
      <c r="M50" s="754"/>
      <c r="N50" s="754"/>
      <c r="O50" s="948"/>
      <c r="P50" s="568"/>
      <c r="Q50" s="568"/>
      <c r="R50" s="949"/>
      <c r="S50" s="754"/>
      <c r="T50" s="754"/>
      <c r="U50" s="754"/>
      <c r="V50" s="754"/>
      <c r="W50" s="754"/>
      <c r="X50" s="754"/>
      <c r="Y50" s="754"/>
      <c r="Z50" s="754"/>
      <c r="AA50" s="754"/>
      <c r="AB50" s="754"/>
      <c r="AC50" s="754"/>
      <c r="AD50" s="754"/>
      <c r="AE50" s="754"/>
      <c r="AF50" s="754"/>
      <c r="AG50" s="754"/>
      <c r="AH50" s="754"/>
      <c r="AI50" s="754"/>
      <c r="AJ50" s="754"/>
      <c r="AK50" s="754"/>
      <c r="AL50" s="754"/>
      <c r="AM50" s="754"/>
      <c r="AN50" s="754"/>
      <c r="AO50" s="754"/>
      <c r="AP50" s="754"/>
      <c r="AQ50" s="754"/>
      <c r="AR50" s="754"/>
      <c r="AS50" s="754"/>
      <c r="AT50" s="754"/>
      <c r="AU50" s="754"/>
      <c r="AV50" s="754"/>
      <c r="AW50" s="754"/>
      <c r="AX50" s="754"/>
      <c r="AY50" s="754"/>
      <c r="AZ50" s="754"/>
      <c r="BA50" s="754"/>
      <c r="BB50" s="754"/>
      <c r="BC50" s="754"/>
      <c r="BD50" s="754"/>
      <c r="BE50" s="754"/>
      <c r="BF50" s="754"/>
      <c r="BG50" s="767"/>
    </row>
    <row r="51" spans="3:59" x14ac:dyDescent="0.25">
      <c r="C51" s="943"/>
      <c r="D51" s="943"/>
      <c r="E51" s="943"/>
      <c r="F51" s="943"/>
      <c r="G51" s="943"/>
      <c r="H51" s="943"/>
      <c r="I51" s="943"/>
      <c r="J51" s="943"/>
      <c r="K51" s="754"/>
      <c r="L51" s="754"/>
      <c r="M51" s="754"/>
      <c r="N51" s="754"/>
      <c r="O51" s="950"/>
      <c r="P51" s="951"/>
      <c r="Q51" s="951"/>
      <c r="R51" s="952"/>
      <c r="S51" s="754"/>
      <c r="T51" s="754"/>
      <c r="U51" s="754"/>
      <c r="V51" s="754"/>
      <c r="W51" s="754"/>
      <c r="X51" s="754"/>
      <c r="Y51" s="754"/>
      <c r="Z51" s="754"/>
      <c r="AA51" s="754"/>
      <c r="AB51" s="754"/>
      <c r="AC51" s="754"/>
      <c r="AD51" s="754"/>
      <c r="AE51" s="754"/>
      <c r="AF51" s="754"/>
      <c r="AG51" s="754"/>
      <c r="AH51" s="754"/>
      <c r="AI51" s="754"/>
      <c r="AJ51" s="754"/>
      <c r="AK51" s="754"/>
      <c r="AL51" s="754"/>
      <c r="AM51" s="754"/>
      <c r="AN51" s="754"/>
      <c r="AO51" s="754"/>
      <c r="AP51" s="754"/>
      <c r="AQ51" s="754"/>
      <c r="AR51" s="754"/>
      <c r="AS51" s="754"/>
      <c r="AT51" s="754"/>
      <c r="AU51" s="754"/>
      <c r="AV51" s="754"/>
      <c r="AW51" s="754"/>
      <c r="AX51" s="754"/>
      <c r="AY51" s="754"/>
      <c r="AZ51" s="754"/>
      <c r="BA51" s="754"/>
      <c r="BB51" s="754"/>
      <c r="BC51" s="754"/>
      <c r="BD51" s="754"/>
      <c r="BE51" s="754"/>
      <c r="BF51" s="754"/>
      <c r="BG51" s="767"/>
    </row>
    <row r="52" spans="3:59" x14ac:dyDescent="0.25">
      <c r="C52" s="943" t="s">
        <v>643</v>
      </c>
      <c r="D52" s="943"/>
      <c r="E52" s="943"/>
      <c r="F52" s="943"/>
      <c r="G52" s="943"/>
      <c r="H52" s="943"/>
      <c r="I52" s="943"/>
      <c r="J52" s="943"/>
      <c r="K52" s="767">
        <f>K49*0.5%</f>
        <v>0</v>
      </c>
      <c r="L52" s="767"/>
      <c r="M52" s="767"/>
      <c r="N52" s="767"/>
      <c r="O52" s="767">
        <f t="shared" ref="O52" si="26">O49*0.5%</f>
        <v>0</v>
      </c>
      <c r="P52" s="767"/>
      <c r="Q52" s="767"/>
      <c r="R52" s="767"/>
      <c r="S52" s="767">
        <f>S49*0.5%</f>
        <v>875000</v>
      </c>
      <c r="T52" s="767"/>
      <c r="U52" s="767"/>
      <c r="V52" s="767"/>
      <c r="W52" s="767">
        <f t="shared" ref="W52" si="27">W49*0.5%</f>
        <v>1500000</v>
      </c>
      <c r="X52" s="767"/>
      <c r="Y52" s="767"/>
      <c r="Z52" s="767"/>
      <c r="AA52" s="767">
        <f t="shared" ref="AA52" si="28">AA49*0.5%</f>
        <v>1250000</v>
      </c>
      <c r="AB52" s="767"/>
      <c r="AC52" s="767"/>
      <c r="AD52" s="767"/>
      <c r="AE52" s="767">
        <f t="shared" ref="AE52" si="29">AE49*0.5%</f>
        <v>1175000</v>
      </c>
      <c r="AF52" s="767"/>
      <c r="AG52" s="767"/>
      <c r="AH52" s="767"/>
      <c r="AI52" s="767">
        <f t="shared" ref="AI52" si="30">AI49*0.5%</f>
        <v>1300000</v>
      </c>
      <c r="AJ52" s="767"/>
      <c r="AK52" s="767"/>
      <c r="AL52" s="767"/>
      <c r="AM52" s="767">
        <f t="shared" ref="AM52" si="31">AM49*0.5%</f>
        <v>900000</v>
      </c>
      <c r="AN52" s="767"/>
      <c r="AO52" s="767"/>
      <c r="AP52" s="767"/>
      <c r="AQ52" s="767">
        <f t="shared" ref="AQ52" si="32">AQ49*0.5%</f>
        <v>875000</v>
      </c>
      <c r="AR52" s="767"/>
      <c r="AS52" s="767"/>
      <c r="AT52" s="767"/>
      <c r="AU52" s="767">
        <f t="shared" ref="AU52" si="33">AU49*0.5%</f>
        <v>1165000</v>
      </c>
      <c r="AV52" s="767"/>
      <c r="AW52" s="767"/>
      <c r="AX52" s="767"/>
      <c r="AY52" s="767">
        <f t="shared" ref="AY52" si="34">AY49*0.5%</f>
        <v>1075000</v>
      </c>
      <c r="AZ52" s="767"/>
      <c r="BA52" s="767"/>
      <c r="BB52" s="767"/>
      <c r="BC52" s="767">
        <f t="shared" ref="BC52" si="35">BC49*0.5%</f>
        <v>1505000</v>
      </c>
      <c r="BD52" s="767"/>
      <c r="BE52" s="767"/>
      <c r="BF52" s="767"/>
      <c r="BG52" s="768">
        <f>SUM(K52:BF54)</f>
        <v>11620000</v>
      </c>
    </row>
    <row r="53" spans="3:59" x14ac:dyDescent="0.25">
      <c r="C53" s="943"/>
      <c r="D53" s="943"/>
      <c r="E53" s="943"/>
      <c r="F53" s="943"/>
      <c r="G53" s="943"/>
      <c r="H53" s="943"/>
      <c r="I53" s="943"/>
      <c r="J53" s="943"/>
      <c r="K53" s="767"/>
      <c r="L53" s="767"/>
      <c r="M53" s="767"/>
      <c r="N53" s="767"/>
      <c r="O53" s="767"/>
      <c r="P53" s="767"/>
      <c r="Q53" s="767"/>
      <c r="R53" s="767"/>
      <c r="S53" s="767"/>
      <c r="T53" s="767"/>
      <c r="U53" s="767"/>
      <c r="V53" s="767"/>
      <c r="W53" s="767"/>
      <c r="X53" s="767"/>
      <c r="Y53" s="767"/>
      <c r="Z53" s="767"/>
      <c r="AA53" s="767"/>
      <c r="AB53" s="767"/>
      <c r="AC53" s="767"/>
      <c r="AD53" s="767"/>
      <c r="AE53" s="767"/>
      <c r="AF53" s="767"/>
      <c r="AG53" s="767"/>
      <c r="AH53" s="767"/>
      <c r="AI53" s="767"/>
      <c r="AJ53" s="767"/>
      <c r="AK53" s="767"/>
      <c r="AL53" s="767"/>
      <c r="AM53" s="767"/>
      <c r="AN53" s="767"/>
      <c r="AO53" s="767"/>
      <c r="AP53" s="767"/>
      <c r="AQ53" s="767"/>
      <c r="AR53" s="767"/>
      <c r="AS53" s="767"/>
      <c r="AT53" s="767"/>
      <c r="AU53" s="767"/>
      <c r="AV53" s="767"/>
      <c r="AW53" s="767"/>
      <c r="AX53" s="767"/>
      <c r="AY53" s="767"/>
      <c r="AZ53" s="767"/>
      <c r="BA53" s="767"/>
      <c r="BB53" s="767"/>
      <c r="BC53" s="767"/>
      <c r="BD53" s="767"/>
      <c r="BE53" s="767"/>
      <c r="BF53" s="767"/>
      <c r="BG53" s="754"/>
    </row>
    <row r="54" spans="3:59" x14ac:dyDescent="0.25">
      <c r="C54" s="943"/>
      <c r="D54" s="943"/>
      <c r="E54" s="943"/>
      <c r="F54" s="943"/>
      <c r="G54" s="943"/>
      <c r="H54" s="943"/>
      <c r="I54" s="943"/>
      <c r="J54" s="943"/>
      <c r="K54" s="767"/>
      <c r="L54" s="767"/>
      <c r="M54" s="767"/>
      <c r="N54" s="767"/>
      <c r="O54" s="767"/>
      <c r="P54" s="767"/>
      <c r="Q54" s="767"/>
      <c r="R54" s="767"/>
      <c r="S54" s="767"/>
      <c r="T54" s="767"/>
      <c r="U54" s="767"/>
      <c r="V54" s="767"/>
      <c r="W54" s="767"/>
      <c r="X54" s="767"/>
      <c r="Y54" s="767"/>
      <c r="Z54" s="767"/>
      <c r="AA54" s="767"/>
      <c r="AB54" s="767"/>
      <c r="AC54" s="767"/>
      <c r="AD54" s="767"/>
      <c r="AE54" s="767"/>
      <c r="AF54" s="767"/>
      <c r="AG54" s="767"/>
      <c r="AH54" s="767"/>
      <c r="AI54" s="767"/>
      <c r="AJ54" s="767"/>
      <c r="AK54" s="767"/>
      <c r="AL54" s="767"/>
      <c r="AM54" s="767"/>
      <c r="AN54" s="767"/>
      <c r="AO54" s="767"/>
      <c r="AP54" s="767"/>
      <c r="AQ54" s="767"/>
      <c r="AR54" s="767"/>
      <c r="AS54" s="767"/>
      <c r="AT54" s="767"/>
      <c r="AU54" s="767"/>
      <c r="AV54" s="767"/>
      <c r="AW54" s="767"/>
      <c r="AX54" s="767"/>
      <c r="AY54" s="767"/>
      <c r="AZ54" s="767"/>
      <c r="BA54" s="767"/>
      <c r="BB54" s="767"/>
      <c r="BC54" s="767"/>
      <c r="BD54" s="767"/>
      <c r="BE54" s="767"/>
      <c r="BF54" s="767"/>
      <c r="BG54" s="754"/>
    </row>
    <row r="55" spans="3:59" x14ac:dyDescent="0.25">
      <c r="C55" s="943" t="s">
        <v>644</v>
      </c>
      <c r="D55" s="943"/>
      <c r="E55" s="943"/>
      <c r="F55" s="943"/>
      <c r="G55" s="943"/>
      <c r="H55" s="943"/>
      <c r="I55" s="943"/>
      <c r="J55" s="943"/>
      <c r="K55" s="944"/>
      <c r="L55" s="944"/>
      <c r="M55" s="944"/>
      <c r="N55" s="944"/>
      <c r="O55" s="976"/>
      <c r="P55" s="977"/>
      <c r="Q55" s="977"/>
      <c r="R55" s="978"/>
      <c r="S55" s="944">
        <f>'SOAL KASUS'!D72</f>
        <v>325000</v>
      </c>
      <c r="T55" s="944"/>
      <c r="U55" s="944"/>
      <c r="V55" s="944"/>
      <c r="W55" s="944">
        <f>'SOAL KASUS'!D73</f>
        <v>1500000</v>
      </c>
      <c r="X55" s="944"/>
      <c r="Y55" s="944"/>
      <c r="Z55" s="944"/>
      <c r="AA55" s="944">
        <f>'SOAL KASUS'!D74</f>
        <v>1250000</v>
      </c>
      <c r="AB55" s="944"/>
      <c r="AC55" s="944"/>
      <c r="AD55" s="944"/>
      <c r="AE55" s="944">
        <f>'SOAL KASUS'!D75</f>
        <v>1175000</v>
      </c>
      <c r="AF55" s="944"/>
      <c r="AG55" s="944"/>
      <c r="AH55" s="944"/>
      <c r="AI55" s="944">
        <f>'SOAL KASUS'!D76</f>
        <v>1300000</v>
      </c>
      <c r="AJ55" s="944"/>
      <c r="AK55" s="944"/>
      <c r="AL55" s="944"/>
      <c r="AM55" s="944">
        <f>'SOAL KASUS'!D77</f>
        <v>900000</v>
      </c>
      <c r="AN55" s="944"/>
      <c r="AO55" s="944"/>
      <c r="AP55" s="944"/>
      <c r="AQ55" s="944">
        <f>'SOAL KASUS'!D78</f>
        <v>875000</v>
      </c>
      <c r="AR55" s="944"/>
      <c r="AS55" s="944"/>
      <c r="AT55" s="944"/>
      <c r="AU55" s="944">
        <f>'SOAL KASUS'!D79</f>
        <v>1165000</v>
      </c>
      <c r="AV55" s="944"/>
      <c r="AW55" s="944"/>
      <c r="AX55" s="944"/>
      <c r="AY55" s="944">
        <f>'SOAL KASUS'!D80</f>
        <v>1075000</v>
      </c>
      <c r="AZ55" s="944"/>
      <c r="BA55" s="944"/>
      <c r="BB55" s="944"/>
      <c r="BC55" s="944">
        <f>'SOAL KASUS'!D81</f>
        <v>1505000</v>
      </c>
      <c r="BD55" s="944"/>
      <c r="BE55" s="944"/>
      <c r="BF55" s="944"/>
      <c r="BG55" s="768">
        <f>SUM(K55:BF57)</f>
        <v>11070000</v>
      </c>
    </row>
    <row r="56" spans="3:59" x14ac:dyDescent="0.25">
      <c r="C56" s="943"/>
      <c r="D56" s="943"/>
      <c r="E56" s="943"/>
      <c r="F56" s="943"/>
      <c r="G56" s="943"/>
      <c r="H56" s="943"/>
      <c r="I56" s="943"/>
      <c r="J56" s="943"/>
      <c r="K56" s="944"/>
      <c r="L56" s="944"/>
      <c r="M56" s="944"/>
      <c r="N56" s="944"/>
      <c r="O56" s="979"/>
      <c r="P56" s="980"/>
      <c r="Q56" s="980"/>
      <c r="R56" s="981"/>
      <c r="S56" s="944"/>
      <c r="T56" s="944"/>
      <c r="U56" s="944"/>
      <c r="V56" s="944"/>
      <c r="W56" s="944"/>
      <c r="X56" s="944"/>
      <c r="Y56" s="944"/>
      <c r="Z56" s="944"/>
      <c r="AA56" s="944"/>
      <c r="AB56" s="944"/>
      <c r="AC56" s="944"/>
      <c r="AD56" s="944"/>
      <c r="AE56" s="944"/>
      <c r="AF56" s="944"/>
      <c r="AG56" s="944"/>
      <c r="AH56" s="944"/>
      <c r="AI56" s="944"/>
      <c r="AJ56" s="944"/>
      <c r="AK56" s="944"/>
      <c r="AL56" s="944"/>
      <c r="AM56" s="944"/>
      <c r="AN56" s="944"/>
      <c r="AO56" s="944"/>
      <c r="AP56" s="944"/>
      <c r="AQ56" s="944"/>
      <c r="AR56" s="944"/>
      <c r="AS56" s="944"/>
      <c r="AT56" s="944"/>
      <c r="AU56" s="944"/>
      <c r="AV56" s="944"/>
      <c r="AW56" s="944"/>
      <c r="AX56" s="944"/>
      <c r="AY56" s="944"/>
      <c r="AZ56" s="944"/>
      <c r="BA56" s="944"/>
      <c r="BB56" s="944"/>
      <c r="BC56" s="944"/>
      <c r="BD56" s="944"/>
      <c r="BE56" s="944"/>
      <c r="BF56" s="944"/>
      <c r="BG56" s="754"/>
    </row>
    <row r="57" spans="3:59" x14ac:dyDescent="0.25">
      <c r="C57" s="943"/>
      <c r="D57" s="943"/>
      <c r="E57" s="943"/>
      <c r="F57" s="943"/>
      <c r="G57" s="943"/>
      <c r="H57" s="943"/>
      <c r="I57" s="943"/>
      <c r="J57" s="943"/>
      <c r="K57" s="944"/>
      <c r="L57" s="944"/>
      <c r="M57" s="944"/>
      <c r="N57" s="944"/>
      <c r="O57" s="982"/>
      <c r="P57" s="983"/>
      <c r="Q57" s="983"/>
      <c r="R57" s="984"/>
      <c r="S57" s="944"/>
      <c r="T57" s="944"/>
      <c r="U57" s="944"/>
      <c r="V57" s="944"/>
      <c r="W57" s="944"/>
      <c r="X57" s="944"/>
      <c r="Y57" s="944"/>
      <c r="Z57" s="944"/>
      <c r="AA57" s="944"/>
      <c r="AB57" s="944"/>
      <c r="AC57" s="944"/>
      <c r="AD57" s="944"/>
      <c r="AE57" s="944"/>
      <c r="AF57" s="944"/>
      <c r="AG57" s="944"/>
      <c r="AH57" s="944"/>
      <c r="AI57" s="944"/>
      <c r="AJ57" s="944"/>
      <c r="AK57" s="944"/>
      <c r="AL57" s="944"/>
      <c r="AM57" s="944"/>
      <c r="AN57" s="944"/>
      <c r="AO57" s="944"/>
      <c r="AP57" s="944"/>
      <c r="AQ57" s="944"/>
      <c r="AR57" s="944"/>
      <c r="AS57" s="944"/>
      <c r="AT57" s="944"/>
      <c r="AU57" s="944"/>
      <c r="AV57" s="944"/>
      <c r="AW57" s="944"/>
      <c r="AX57" s="944"/>
      <c r="AY57" s="944"/>
      <c r="AZ57" s="944"/>
      <c r="BA57" s="944"/>
      <c r="BB57" s="944"/>
      <c r="BC57" s="944"/>
      <c r="BD57" s="944"/>
      <c r="BE57" s="944"/>
      <c r="BF57" s="944"/>
      <c r="BG57" s="754"/>
    </row>
    <row r="58" spans="3:59" x14ac:dyDescent="0.25">
      <c r="C58" s="943" t="s">
        <v>441</v>
      </c>
      <c r="D58" s="943"/>
      <c r="E58" s="943"/>
      <c r="F58" s="943"/>
      <c r="G58" s="943"/>
      <c r="H58" s="943"/>
      <c r="I58" s="943"/>
      <c r="J58" s="943"/>
      <c r="K58" s="754">
        <v>0</v>
      </c>
      <c r="L58" s="754"/>
      <c r="M58" s="754"/>
      <c r="N58" s="754"/>
      <c r="O58" s="754">
        <v>0</v>
      </c>
      <c r="P58" s="754"/>
      <c r="Q58" s="754"/>
      <c r="R58" s="754"/>
      <c r="S58" s="754">
        <v>0</v>
      </c>
      <c r="T58" s="754"/>
      <c r="U58" s="754"/>
      <c r="V58" s="754"/>
      <c r="W58" s="754">
        <v>0</v>
      </c>
      <c r="X58" s="754"/>
      <c r="Y58" s="754"/>
      <c r="Z58" s="754"/>
      <c r="AA58" s="754">
        <v>0</v>
      </c>
      <c r="AB58" s="754"/>
      <c r="AC58" s="754"/>
      <c r="AD58" s="754"/>
      <c r="AE58" s="754">
        <v>0</v>
      </c>
      <c r="AF58" s="754"/>
      <c r="AG58" s="754"/>
      <c r="AH58" s="754"/>
      <c r="AI58" s="754">
        <v>0</v>
      </c>
      <c r="AJ58" s="754"/>
      <c r="AK58" s="754"/>
      <c r="AL58" s="754"/>
      <c r="AM58" s="754">
        <v>0</v>
      </c>
      <c r="AN58" s="754"/>
      <c r="AO58" s="754"/>
      <c r="AP58" s="754"/>
      <c r="AQ58" s="754">
        <v>0</v>
      </c>
      <c r="AR58" s="754"/>
      <c r="AS58" s="754"/>
      <c r="AT58" s="754"/>
      <c r="AU58" s="754">
        <v>0</v>
      </c>
      <c r="AV58" s="754"/>
      <c r="AW58" s="754"/>
      <c r="AX58" s="754"/>
      <c r="AY58" s="754">
        <v>0</v>
      </c>
      <c r="AZ58" s="754"/>
      <c r="BA58" s="754"/>
      <c r="BB58" s="754"/>
      <c r="BC58" s="754">
        <v>0</v>
      </c>
      <c r="BD58" s="754"/>
      <c r="BE58" s="754"/>
      <c r="BF58" s="754"/>
      <c r="BG58" s="768">
        <f>SUM(K58:BF60)</f>
        <v>0</v>
      </c>
    </row>
    <row r="59" spans="3:59" x14ac:dyDescent="0.25">
      <c r="C59" s="943"/>
      <c r="D59" s="943"/>
      <c r="E59" s="943"/>
      <c r="F59" s="943"/>
      <c r="G59" s="943"/>
      <c r="H59" s="943"/>
      <c r="I59" s="943"/>
      <c r="J59" s="943"/>
      <c r="K59" s="754"/>
      <c r="L59" s="754"/>
      <c r="M59" s="754"/>
      <c r="N59" s="754"/>
      <c r="O59" s="754"/>
      <c r="P59" s="754"/>
      <c r="Q59" s="754"/>
      <c r="R59" s="754"/>
      <c r="S59" s="754"/>
      <c r="T59" s="754"/>
      <c r="U59" s="754"/>
      <c r="V59" s="754"/>
      <c r="W59" s="754"/>
      <c r="X59" s="754"/>
      <c r="Y59" s="754"/>
      <c r="Z59" s="754"/>
      <c r="AA59" s="754"/>
      <c r="AB59" s="754"/>
      <c r="AC59" s="754"/>
      <c r="AD59" s="754"/>
      <c r="AE59" s="754"/>
      <c r="AF59" s="754"/>
      <c r="AG59" s="754"/>
      <c r="AH59" s="754"/>
      <c r="AI59" s="754"/>
      <c r="AJ59" s="754"/>
      <c r="AK59" s="754"/>
      <c r="AL59" s="754"/>
      <c r="AM59" s="754"/>
      <c r="AN59" s="754"/>
      <c r="AO59" s="754"/>
      <c r="AP59" s="754"/>
      <c r="AQ59" s="754"/>
      <c r="AR59" s="754"/>
      <c r="AS59" s="754"/>
      <c r="AT59" s="754"/>
      <c r="AU59" s="754"/>
      <c r="AV59" s="754"/>
      <c r="AW59" s="754"/>
      <c r="AX59" s="754"/>
      <c r="AY59" s="754"/>
      <c r="AZ59" s="754"/>
      <c r="BA59" s="754"/>
      <c r="BB59" s="754"/>
      <c r="BC59" s="754"/>
      <c r="BD59" s="754"/>
      <c r="BE59" s="754"/>
      <c r="BF59" s="754"/>
      <c r="BG59" s="754"/>
    </row>
    <row r="60" spans="3:59" x14ac:dyDescent="0.25">
      <c r="C60" s="943"/>
      <c r="D60" s="943"/>
      <c r="E60" s="943"/>
      <c r="F60" s="943"/>
      <c r="G60" s="943"/>
      <c r="H60" s="943"/>
      <c r="I60" s="943"/>
      <c r="J60" s="943"/>
      <c r="K60" s="754"/>
      <c r="L60" s="754"/>
      <c r="M60" s="754"/>
      <c r="N60" s="754"/>
      <c r="O60" s="754"/>
      <c r="P60" s="754"/>
      <c r="Q60" s="754"/>
      <c r="R60" s="754"/>
      <c r="S60" s="754"/>
      <c r="T60" s="754"/>
      <c r="U60" s="754"/>
      <c r="V60" s="754"/>
      <c r="W60" s="754"/>
      <c r="X60" s="754"/>
      <c r="Y60" s="754"/>
      <c r="Z60" s="754"/>
      <c r="AA60" s="754"/>
      <c r="AB60" s="754"/>
      <c r="AC60" s="754"/>
      <c r="AD60" s="754"/>
      <c r="AE60" s="754"/>
      <c r="AF60" s="754"/>
      <c r="AG60" s="754"/>
      <c r="AH60" s="754"/>
      <c r="AI60" s="754"/>
      <c r="AJ60" s="754"/>
      <c r="AK60" s="754"/>
      <c r="AL60" s="754"/>
      <c r="AM60" s="754"/>
      <c r="AN60" s="754"/>
      <c r="AO60" s="754"/>
      <c r="AP60" s="754"/>
      <c r="AQ60" s="754"/>
      <c r="AR60" s="754"/>
      <c r="AS60" s="754"/>
      <c r="AT60" s="754"/>
      <c r="AU60" s="754"/>
      <c r="AV60" s="754"/>
      <c r="AW60" s="754"/>
      <c r="AX60" s="754"/>
      <c r="AY60" s="754"/>
      <c r="AZ60" s="754"/>
      <c r="BA60" s="754"/>
      <c r="BB60" s="754"/>
      <c r="BC60" s="754"/>
      <c r="BD60" s="754"/>
      <c r="BE60" s="754"/>
      <c r="BF60" s="754"/>
      <c r="BG60" s="754"/>
    </row>
    <row r="61" spans="3:59" x14ac:dyDescent="0.25">
      <c r="C61" s="943" t="s">
        <v>442</v>
      </c>
      <c r="D61" s="943"/>
      <c r="E61" s="943"/>
      <c r="F61" s="943"/>
      <c r="G61" s="943"/>
      <c r="H61" s="943"/>
      <c r="I61" s="943"/>
      <c r="J61" s="943"/>
      <c r="K61" s="768">
        <f>K52-K55-K58</f>
        <v>0</v>
      </c>
      <c r="L61" s="754"/>
      <c r="M61" s="754"/>
      <c r="N61" s="754"/>
      <c r="O61" s="768">
        <f t="shared" ref="O61" si="36">O52-O55-O58</f>
        <v>0</v>
      </c>
      <c r="P61" s="754"/>
      <c r="Q61" s="754"/>
      <c r="R61" s="754"/>
      <c r="S61" s="768">
        <f t="shared" ref="S61" si="37">S52-S55-S58</f>
        <v>550000</v>
      </c>
      <c r="T61" s="754"/>
      <c r="U61" s="754"/>
      <c r="V61" s="754"/>
      <c r="W61" s="768">
        <f t="shared" ref="W61" si="38">W52-W55-W58</f>
        <v>0</v>
      </c>
      <c r="X61" s="754"/>
      <c r="Y61" s="754"/>
      <c r="Z61" s="754"/>
      <c r="AA61" s="768">
        <f t="shared" ref="AA61" si="39">AA52-AA55-AA58</f>
        <v>0</v>
      </c>
      <c r="AB61" s="754"/>
      <c r="AC61" s="754"/>
      <c r="AD61" s="754"/>
      <c r="AE61" s="768">
        <f t="shared" ref="AE61" si="40">AE52-AE55-AE58</f>
        <v>0</v>
      </c>
      <c r="AF61" s="754"/>
      <c r="AG61" s="754"/>
      <c r="AH61" s="754"/>
      <c r="AI61" s="768">
        <f t="shared" ref="AI61" si="41">AI52-AI55-AI58</f>
        <v>0</v>
      </c>
      <c r="AJ61" s="754"/>
      <c r="AK61" s="754"/>
      <c r="AL61" s="754"/>
      <c r="AM61" s="768">
        <f t="shared" ref="AM61" si="42">AM52-AM55-AM58</f>
        <v>0</v>
      </c>
      <c r="AN61" s="754"/>
      <c r="AO61" s="754"/>
      <c r="AP61" s="754"/>
      <c r="AQ61" s="768">
        <f t="shared" ref="AQ61" si="43">AQ52-AQ55-AQ58</f>
        <v>0</v>
      </c>
      <c r="AR61" s="754"/>
      <c r="AS61" s="754"/>
      <c r="AT61" s="754"/>
      <c r="AU61" s="768">
        <f t="shared" ref="AU61" si="44">AU52-AU55-AU58</f>
        <v>0</v>
      </c>
      <c r="AV61" s="754"/>
      <c r="AW61" s="754"/>
      <c r="AX61" s="754"/>
      <c r="AY61" s="768">
        <f t="shared" ref="AY61" si="45">AY52-AY55-AY58</f>
        <v>0</v>
      </c>
      <c r="AZ61" s="754"/>
      <c r="BA61" s="754"/>
      <c r="BB61" s="754"/>
      <c r="BC61" s="768">
        <f t="shared" ref="BC61" si="46">BC52-BC55-BC58</f>
        <v>0</v>
      </c>
      <c r="BD61" s="754"/>
      <c r="BE61" s="754"/>
      <c r="BF61" s="754"/>
      <c r="BG61" s="768">
        <f>SUM(K61:BF63)</f>
        <v>550000</v>
      </c>
    </row>
    <row r="62" spans="3:59" x14ac:dyDescent="0.25">
      <c r="C62" s="943"/>
      <c r="D62" s="943"/>
      <c r="E62" s="943"/>
      <c r="F62" s="943"/>
      <c r="G62" s="943"/>
      <c r="H62" s="943"/>
      <c r="I62" s="943"/>
      <c r="J62" s="943"/>
      <c r="K62" s="754"/>
      <c r="L62" s="754"/>
      <c r="M62" s="754"/>
      <c r="N62" s="754"/>
      <c r="O62" s="754"/>
      <c r="P62" s="754"/>
      <c r="Q62" s="754"/>
      <c r="R62" s="754"/>
      <c r="S62" s="754"/>
      <c r="T62" s="754"/>
      <c r="U62" s="754"/>
      <c r="V62" s="754"/>
      <c r="W62" s="754"/>
      <c r="X62" s="754"/>
      <c r="Y62" s="754"/>
      <c r="Z62" s="754"/>
      <c r="AA62" s="754"/>
      <c r="AB62" s="754"/>
      <c r="AC62" s="754"/>
      <c r="AD62" s="754"/>
      <c r="AE62" s="754"/>
      <c r="AF62" s="754"/>
      <c r="AG62" s="754"/>
      <c r="AH62" s="754"/>
      <c r="AI62" s="754"/>
      <c r="AJ62" s="754"/>
      <c r="AK62" s="754"/>
      <c r="AL62" s="754"/>
      <c r="AM62" s="754"/>
      <c r="AN62" s="754"/>
      <c r="AO62" s="754"/>
      <c r="AP62" s="754"/>
      <c r="AQ62" s="754"/>
      <c r="AR62" s="754"/>
      <c r="AS62" s="754"/>
      <c r="AT62" s="754"/>
      <c r="AU62" s="754"/>
      <c r="AV62" s="754"/>
      <c r="AW62" s="754"/>
      <c r="AX62" s="754"/>
      <c r="AY62" s="754"/>
      <c r="AZ62" s="754"/>
      <c r="BA62" s="754"/>
      <c r="BB62" s="754"/>
      <c r="BC62" s="754"/>
      <c r="BD62" s="754"/>
      <c r="BE62" s="754"/>
      <c r="BF62" s="754"/>
      <c r="BG62" s="754"/>
    </row>
    <row r="63" spans="3:59" x14ac:dyDescent="0.25">
      <c r="C63" s="943"/>
      <c r="D63" s="943"/>
      <c r="E63" s="943"/>
      <c r="F63" s="943"/>
      <c r="G63" s="943"/>
      <c r="H63" s="943"/>
      <c r="I63" s="943"/>
      <c r="J63" s="943"/>
      <c r="K63" s="754"/>
      <c r="L63" s="754"/>
      <c r="M63" s="754"/>
      <c r="N63" s="754"/>
      <c r="O63" s="754"/>
      <c r="P63" s="754"/>
      <c r="Q63" s="754"/>
      <c r="R63" s="754"/>
      <c r="S63" s="754"/>
      <c r="T63" s="754"/>
      <c r="U63" s="754"/>
      <c r="V63" s="754"/>
      <c r="W63" s="754"/>
      <c r="X63" s="754"/>
      <c r="Y63" s="754"/>
      <c r="Z63" s="754"/>
      <c r="AA63" s="754"/>
      <c r="AB63" s="754"/>
      <c r="AC63" s="754"/>
      <c r="AD63" s="754"/>
      <c r="AE63" s="754"/>
      <c r="AF63" s="754"/>
      <c r="AG63" s="754"/>
      <c r="AH63" s="754"/>
      <c r="AI63" s="754"/>
      <c r="AJ63" s="754"/>
      <c r="AK63" s="754"/>
      <c r="AL63" s="754"/>
      <c r="AM63" s="754"/>
      <c r="AN63" s="754"/>
      <c r="AO63" s="754"/>
      <c r="AP63" s="754"/>
      <c r="AQ63" s="754"/>
      <c r="AR63" s="754"/>
      <c r="AS63" s="754"/>
      <c r="AT63" s="754"/>
      <c r="AU63" s="754"/>
      <c r="AV63" s="754"/>
      <c r="AW63" s="754"/>
      <c r="AX63" s="754"/>
      <c r="AY63" s="754"/>
      <c r="AZ63" s="754"/>
      <c r="BA63" s="754"/>
      <c r="BB63" s="754"/>
      <c r="BC63" s="754"/>
      <c r="BD63" s="754"/>
      <c r="BE63" s="754"/>
      <c r="BF63" s="754"/>
      <c r="BG63" s="754"/>
    </row>
    <row r="64" spans="3:59" x14ac:dyDescent="0.25">
      <c r="C64" s="943" t="s">
        <v>443</v>
      </c>
      <c r="D64" s="943"/>
      <c r="E64" s="943"/>
      <c r="F64" s="943"/>
      <c r="G64" s="943"/>
      <c r="H64" s="943"/>
      <c r="I64" s="943"/>
      <c r="J64" s="943"/>
      <c r="K64" s="968"/>
      <c r="L64" s="969"/>
      <c r="M64" s="969"/>
      <c r="N64" s="969"/>
      <c r="O64" s="969"/>
      <c r="P64" s="969"/>
      <c r="Q64" s="969"/>
      <c r="R64" s="969"/>
      <c r="S64" s="969"/>
      <c r="T64" s="969"/>
      <c r="U64" s="969"/>
      <c r="V64" s="969"/>
      <c r="W64" s="969"/>
      <c r="X64" s="969"/>
      <c r="Y64" s="969"/>
      <c r="Z64" s="969"/>
      <c r="AA64" s="969"/>
      <c r="AB64" s="969"/>
      <c r="AC64" s="969"/>
      <c r="AD64" s="969"/>
      <c r="AE64" s="969"/>
      <c r="AF64" s="969"/>
      <c r="AG64" s="969"/>
      <c r="AH64" s="969"/>
      <c r="AI64" s="969"/>
      <c r="AJ64" s="969"/>
      <c r="AK64" s="969"/>
      <c r="AL64" s="969"/>
      <c r="AM64" s="969"/>
      <c r="AN64" s="969"/>
      <c r="AO64" s="969"/>
      <c r="AP64" s="969"/>
      <c r="AQ64" s="969"/>
      <c r="AR64" s="969"/>
      <c r="AS64" s="969"/>
      <c r="AT64" s="969"/>
      <c r="AU64" s="969"/>
      <c r="AV64" s="969"/>
      <c r="AW64" s="969"/>
      <c r="AX64" s="969"/>
      <c r="AY64" s="969"/>
      <c r="AZ64" s="969"/>
      <c r="BA64" s="969"/>
      <c r="BB64" s="969"/>
      <c r="BC64" s="969"/>
      <c r="BD64" s="969"/>
      <c r="BE64" s="969"/>
      <c r="BF64" s="970"/>
      <c r="BG64" s="769"/>
    </row>
    <row r="65" spans="3:59" x14ac:dyDescent="0.25">
      <c r="C65" s="943"/>
      <c r="D65" s="943"/>
      <c r="E65" s="943"/>
      <c r="F65" s="943"/>
      <c r="G65" s="943"/>
      <c r="H65" s="943"/>
      <c r="I65" s="943"/>
      <c r="J65" s="943"/>
      <c r="K65" s="971"/>
      <c r="L65" s="805"/>
      <c r="M65" s="805"/>
      <c r="N65" s="805"/>
      <c r="O65" s="805"/>
      <c r="P65" s="805"/>
      <c r="Q65" s="805"/>
      <c r="R65" s="805"/>
      <c r="S65" s="805"/>
      <c r="T65" s="805"/>
      <c r="U65" s="805"/>
      <c r="V65" s="805"/>
      <c r="W65" s="805"/>
      <c r="X65" s="805"/>
      <c r="Y65" s="805"/>
      <c r="Z65" s="805"/>
      <c r="AA65" s="805"/>
      <c r="AB65" s="805"/>
      <c r="AC65" s="805"/>
      <c r="AD65" s="805"/>
      <c r="AE65" s="805"/>
      <c r="AF65" s="805"/>
      <c r="AG65" s="805"/>
      <c r="AH65" s="805"/>
      <c r="AI65" s="805"/>
      <c r="AJ65" s="805"/>
      <c r="AK65" s="805"/>
      <c r="AL65" s="805"/>
      <c r="AM65" s="805"/>
      <c r="AN65" s="805"/>
      <c r="AO65" s="805"/>
      <c r="AP65" s="805"/>
      <c r="AQ65" s="805"/>
      <c r="AR65" s="805"/>
      <c r="AS65" s="805"/>
      <c r="AT65" s="805"/>
      <c r="AU65" s="805"/>
      <c r="AV65" s="805"/>
      <c r="AW65" s="805"/>
      <c r="AX65" s="805"/>
      <c r="AY65" s="805"/>
      <c r="AZ65" s="805"/>
      <c r="BA65" s="805"/>
      <c r="BB65" s="805"/>
      <c r="BC65" s="805"/>
      <c r="BD65" s="805"/>
      <c r="BE65" s="805"/>
      <c r="BF65" s="972"/>
      <c r="BG65" s="769"/>
    </row>
    <row r="66" spans="3:59" x14ac:dyDescent="0.25">
      <c r="C66" s="943"/>
      <c r="D66" s="943"/>
      <c r="E66" s="943"/>
      <c r="F66" s="943"/>
      <c r="G66" s="943"/>
      <c r="H66" s="943"/>
      <c r="I66" s="943"/>
      <c r="J66" s="943"/>
      <c r="K66" s="973"/>
      <c r="L66" s="974"/>
      <c r="M66" s="974"/>
      <c r="N66" s="974"/>
      <c r="O66" s="974"/>
      <c r="P66" s="974"/>
      <c r="Q66" s="974"/>
      <c r="R66" s="974"/>
      <c r="S66" s="974"/>
      <c r="T66" s="974"/>
      <c r="U66" s="974"/>
      <c r="V66" s="974"/>
      <c r="W66" s="974"/>
      <c r="X66" s="974"/>
      <c r="Y66" s="974"/>
      <c r="Z66" s="974"/>
      <c r="AA66" s="974"/>
      <c r="AB66" s="974"/>
      <c r="AC66" s="974"/>
      <c r="AD66" s="974"/>
      <c r="AE66" s="974"/>
      <c r="AF66" s="974"/>
      <c r="AG66" s="974"/>
      <c r="AH66" s="974"/>
      <c r="AI66" s="974"/>
      <c r="AJ66" s="974"/>
      <c r="AK66" s="974"/>
      <c r="AL66" s="974"/>
      <c r="AM66" s="974"/>
      <c r="AN66" s="974"/>
      <c r="AO66" s="974"/>
      <c r="AP66" s="974"/>
      <c r="AQ66" s="974"/>
      <c r="AR66" s="974"/>
      <c r="AS66" s="974"/>
      <c r="AT66" s="974"/>
      <c r="AU66" s="974"/>
      <c r="AV66" s="974"/>
      <c r="AW66" s="974"/>
      <c r="AX66" s="974"/>
      <c r="AY66" s="974"/>
      <c r="AZ66" s="974"/>
      <c r="BA66" s="974"/>
      <c r="BB66" s="974"/>
      <c r="BC66" s="974"/>
      <c r="BD66" s="974"/>
      <c r="BE66" s="974"/>
      <c r="BF66" s="975"/>
      <c r="BG66" s="769"/>
    </row>
    <row r="67" spans="3:59" x14ac:dyDescent="0.25">
      <c r="C67" s="943" t="s">
        <v>444</v>
      </c>
      <c r="D67" s="943"/>
      <c r="E67" s="943"/>
      <c r="F67" s="943"/>
      <c r="G67" s="943"/>
      <c r="H67" s="943"/>
      <c r="I67" s="943"/>
      <c r="J67" s="943"/>
      <c r="K67" s="769"/>
      <c r="L67" s="769"/>
      <c r="M67" s="769"/>
      <c r="N67" s="769"/>
      <c r="O67" s="769"/>
      <c r="P67" s="769"/>
      <c r="Q67" s="769"/>
      <c r="R67" s="769"/>
      <c r="S67" s="769"/>
      <c r="T67" s="769"/>
      <c r="U67" s="769"/>
      <c r="V67" s="769"/>
      <c r="W67" s="769"/>
      <c r="X67" s="769"/>
      <c r="Y67" s="769"/>
      <c r="Z67" s="769"/>
      <c r="AA67" s="769"/>
      <c r="AB67" s="769"/>
      <c r="AC67" s="769"/>
      <c r="AD67" s="769"/>
      <c r="AE67" s="769"/>
      <c r="AF67" s="769"/>
      <c r="AG67" s="769"/>
      <c r="AH67" s="769"/>
      <c r="AI67" s="769"/>
      <c r="AJ67" s="769"/>
      <c r="AK67" s="769"/>
      <c r="AL67" s="769"/>
      <c r="AM67" s="769"/>
      <c r="AN67" s="769"/>
      <c r="AO67" s="769"/>
      <c r="AP67" s="769"/>
      <c r="AQ67" s="769"/>
      <c r="AR67" s="769"/>
      <c r="AS67" s="769"/>
      <c r="AT67" s="769"/>
      <c r="AU67" s="769"/>
      <c r="AV67" s="769"/>
      <c r="AW67" s="769"/>
      <c r="AX67" s="769"/>
      <c r="AY67" s="769"/>
      <c r="AZ67" s="769"/>
      <c r="BA67" s="769"/>
      <c r="BB67" s="769"/>
      <c r="BC67" s="769"/>
      <c r="BD67" s="769"/>
      <c r="BE67" s="769"/>
      <c r="BF67" s="769"/>
      <c r="BG67" s="769"/>
    </row>
    <row r="68" spans="3:59" x14ac:dyDescent="0.25">
      <c r="C68" s="943"/>
      <c r="D68" s="943"/>
      <c r="E68" s="943"/>
      <c r="F68" s="943"/>
      <c r="G68" s="943"/>
      <c r="H68" s="943"/>
      <c r="I68" s="943"/>
      <c r="J68" s="943"/>
      <c r="K68" s="769"/>
      <c r="L68" s="769"/>
      <c r="M68" s="769"/>
      <c r="N68" s="769"/>
      <c r="O68" s="769"/>
      <c r="P68" s="769"/>
      <c r="Q68" s="769"/>
      <c r="R68" s="769"/>
      <c r="S68" s="769"/>
      <c r="T68" s="769"/>
      <c r="U68" s="769"/>
      <c r="V68" s="769"/>
      <c r="W68" s="769"/>
      <c r="X68" s="769"/>
      <c r="Y68" s="769"/>
      <c r="Z68" s="769"/>
      <c r="AA68" s="769"/>
      <c r="AB68" s="769"/>
      <c r="AC68" s="769"/>
      <c r="AD68" s="769"/>
      <c r="AE68" s="769"/>
      <c r="AF68" s="769"/>
      <c r="AG68" s="769"/>
      <c r="AH68" s="769"/>
      <c r="AI68" s="769"/>
      <c r="AJ68" s="769"/>
      <c r="AK68" s="769"/>
      <c r="AL68" s="769"/>
      <c r="AM68" s="769"/>
      <c r="AN68" s="769"/>
      <c r="AO68" s="769"/>
      <c r="AP68" s="769"/>
      <c r="AQ68" s="769"/>
      <c r="AR68" s="769"/>
      <c r="AS68" s="769"/>
      <c r="AT68" s="769"/>
      <c r="AU68" s="769"/>
      <c r="AV68" s="769"/>
      <c r="AW68" s="769"/>
      <c r="AX68" s="769"/>
      <c r="AY68" s="769"/>
      <c r="AZ68" s="769"/>
      <c r="BA68" s="769"/>
      <c r="BB68" s="769"/>
      <c r="BC68" s="769"/>
      <c r="BD68" s="769"/>
      <c r="BE68" s="769"/>
      <c r="BF68" s="769"/>
      <c r="BG68" s="769"/>
    </row>
    <row r="69" spans="3:59" x14ac:dyDescent="0.25">
      <c r="C69" s="943"/>
      <c r="D69" s="943"/>
      <c r="E69" s="943"/>
      <c r="F69" s="943"/>
      <c r="G69" s="943"/>
      <c r="H69" s="943"/>
      <c r="I69" s="943"/>
      <c r="J69" s="943"/>
      <c r="K69" s="769"/>
      <c r="L69" s="769"/>
      <c r="M69" s="769"/>
      <c r="N69" s="769"/>
      <c r="O69" s="769"/>
      <c r="P69" s="769"/>
      <c r="Q69" s="769"/>
      <c r="R69" s="769"/>
      <c r="S69" s="769"/>
      <c r="T69" s="769"/>
      <c r="U69" s="769"/>
      <c r="V69" s="769"/>
      <c r="W69" s="769"/>
      <c r="X69" s="769"/>
      <c r="Y69" s="769"/>
      <c r="Z69" s="769"/>
      <c r="AA69" s="769"/>
      <c r="AB69" s="769"/>
      <c r="AC69" s="769"/>
      <c r="AD69" s="769"/>
      <c r="AE69" s="769"/>
      <c r="AF69" s="769"/>
      <c r="AG69" s="769"/>
      <c r="AH69" s="769"/>
      <c r="AI69" s="769"/>
      <c r="AJ69" s="769"/>
      <c r="AK69" s="769"/>
      <c r="AL69" s="769"/>
      <c r="AM69" s="769"/>
      <c r="AN69" s="769"/>
      <c r="AO69" s="769"/>
      <c r="AP69" s="769"/>
      <c r="AQ69" s="769"/>
      <c r="AR69" s="769"/>
      <c r="AS69" s="769"/>
      <c r="AT69" s="769"/>
      <c r="AU69" s="769"/>
      <c r="AV69" s="769"/>
      <c r="AW69" s="769"/>
      <c r="AX69" s="769"/>
      <c r="AY69" s="769"/>
      <c r="AZ69" s="769"/>
      <c r="BA69" s="769"/>
      <c r="BB69" s="769"/>
      <c r="BC69" s="769"/>
      <c r="BD69" s="769"/>
      <c r="BE69" s="769"/>
      <c r="BF69" s="769"/>
      <c r="BG69" s="769"/>
    </row>
    <row r="70" spans="3:59" ht="21" customHeight="1" x14ac:dyDescent="0.25">
      <c r="C70" s="1"/>
      <c r="D70" s="1"/>
      <c r="E70" s="1"/>
      <c r="F70" s="1"/>
      <c r="G70" s="1"/>
      <c r="H70" s="1"/>
      <c r="I70" s="1"/>
      <c r="J70" s="1"/>
      <c r="K70" s="1"/>
      <c r="L70" s="340" t="s">
        <v>641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3:59" ht="12.75" customHeight="1" x14ac:dyDescent="0.25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340" t="s">
        <v>642</v>
      </c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3:59" ht="3.6" customHeight="1" x14ac:dyDescent="0.25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3:59" x14ac:dyDescent="0.25">
      <c r="C73" s="199" t="s">
        <v>51</v>
      </c>
      <c r="D73" s="52" t="s">
        <v>471</v>
      </c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</row>
    <row r="74" spans="3:59" ht="3.6" customHeight="1" x14ac:dyDescent="0.25">
      <c r="C74" s="201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  <c r="AX74" s="57"/>
      <c r="AY74" s="57"/>
      <c r="AZ74" s="57"/>
      <c r="BA74" s="57"/>
      <c r="BB74" s="57"/>
      <c r="BC74" s="57"/>
      <c r="BD74" s="57"/>
      <c r="BE74" s="57"/>
      <c r="BF74" s="57"/>
      <c r="BG74" s="57"/>
    </row>
    <row r="75" spans="3:59" x14ac:dyDescent="0.25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3:59" x14ac:dyDescent="0.25">
      <c r="C76" s="2"/>
      <c r="D76" s="14" t="s">
        <v>24</v>
      </c>
      <c r="E76" s="2"/>
      <c r="F76" s="2"/>
      <c r="G76" s="2"/>
      <c r="H76" s="2"/>
      <c r="I76" s="2"/>
      <c r="J76" s="2"/>
      <c r="K76" s="2"/>
      <c r="L76" s="14" t="s">
        <v>475</v>
      </c>
      <c r="M76" s="14"/>
      <c r="N76" s="14"/>
      <c r="O76" s="14"/>
      <c r="P76" s="14"/>
      <c r="Q76" s="14"/>
      <c r="R76" s="14"/>
      <c r="S76" s="14" t="s">
        <v>476</v>
      </c>
      <c r="T76" s="14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3:59" x14ac:dyDescent="0.25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3:59" x14ac:dyDescent="0.25">
      <c r="C78" s="764" t="s">
        <v>263</v>
      </c>
      <c r="D78" s="728" t="s">
        <v>461</v>
      </c>
      <c r="E78" s="728"/>
      <c r="F78" s="728"/>
      <c r="G78" s="849" t="s">
        <v>24</v>
      </c>
      <c r="H78" s="849"/>
      <c r="I78" s="849"/>
      <c r="J78" s="849"/>
      <c r="K78" s="728" t="s">
        <v>435</v>
      </c>
      <c r="L78" s="728"/>
      <c r="M78" s="728"/>
      <c r="N78" s="728"/>
      <c r="O78" s="728" t="s">
        <v>436</v>
      </c>
      <c r="P78" s="728"/>
      <c r="Q78" s="728"/>
      <c r="R78" s="728"/>
      <c r="S78" s="728" t="s">
        <v>445</v>
      </c>
      <c r="T78" s="728"/>
      <c r="U78" s="728"/>
      <c r="V78" s="728"/>
      <c r="W78" s="728" t="s">
        <v>446</v>
      </c>
      <c r="X78" s="728"/>
      <c r="Y78" s="728"/>
      <c r="Z78" s="728"/>
      <c r="AA78" s="728" t="s">
        <v>447</v>
      </c>
      <c r="AB78" s="728"/>
      <c r="AC78" s="728"/>
      <c r="AD78" s="728"/>
      <c r="AE78" s="728" t="s">
        <v>448</v>
      </c>
      <c r="AF78" s="728"/>
      <c r="AG78" s="728"/>
      <c r="AH78" s="728"/>
      <c r="AI78" s="728" t="s">
        <v>449</v>
      </c>
      <c r="AJ78" s="728"/>
      <c r="AK78" s="728"/>
      <c r="AL78" s="728"/>
      <c r="AM78" s="728" t="s">
        <v>450</v>
      </c>
      <c r="AN78" s="728"/>
      <c r="AO78" s="728"/>
      <c r="AP78" s="728"/>
      <c r="AQ78" s="728" t="s">
        <v>451</v>
      </c>
      <c r="AR78" s="728"/>
      <c r="AS78" s="728"/>
      <c r="AT78" s="728"/>
      <c r="AU78" s="728" t="s">
        <v>452</v>
      </c>
      <c r="AV78" s="728"/>
      <c r="AW78" s="728"/>
      <c r="AX78" s="728"/>
      <c r="AY78" s="728" t="s">
        <v>453</v>
      </c>
      <c r="AZ78" s="728"/>
      <c r="BA78" s="728"/>
      <c r="BB78" s="728"/>
      <c r="BC78" s="728" t="s">
        <v>454</v>
      </c>
      <c r="BD78" s="728"/>
      <c r="BE78" s="728"/>
      <c r="BF78" s="728"/>
      <c r="BG78" s="728" t="s">
        <v>519</v>
      </c>
    </row>
    <row r="79" spans="3:59" x14ac:dyDescent="0.25">
      <c r="C79" s="764"/>
      <c r="D79" s="728"/>
      <c r="E79" s="728"/>
      <c r="F79" s="728"/>
      <c r="G79" s="849"/>
      <c r="H79" s="849"/>
      <c r="I79" s="849"/>
      <c r="J79" s="849"/>
      <c r="K79" s="728"/>
      <c r="L79" s="728"/>
      <c r="M79" s="728"/>
      <c r="N79" s="728"/>
      <c r="O79" s="728"/>
      <c r="P79" s="728"/>
      <c r="Q79" s="728"/>
      <c r="R79" s="728"/>
      <c r="S79" s="728"/>
      <c r="T79" s="728"/>
      <c r="U79" s="728"/>
      <c r="V79" s="728"/>
      <c r="W79" s="728"/>
      <c r="X79" s="728"/>
      <c r="Y79" s="728"/>
      <c r="Z79" s="728"/>
      <c r="AA79" s="728"/>
      <c r="AB79" s="728"/>
      <c r="AC79" s="728"/>
      <c r="AD79" s="728"/>
      <c r="AE79" s="728"/>
      <c r="AF79" s="728"/>
      <c r="AG79" s="728"/>
      <c r="AH79" s="728"/>
      <c r="AI79" s="728"/>
      <c r="AJ79" s="728"/>
      <c r="AK79" s="728"/>
      <c r="AL79" s="728"/>
      <c r="AM79" s="728"/>
      <c r="AN79" s="728"/>
      <c r="AO79" s="728"/>
      <c r="AP79" s="728"/>
      <c r="AQ79" s="728"/>
      <c r="AR79" s="728"/>
      <c r="AS79" s="728"/>
      <c r="AT79" s="728"/>
      <c r="AU79" s="728"/>
      <c r="AV79" s="728"/>
      <c r="AW79" s="728"/>
      <c r="AX79" s="728"/>
      <c r="AY79" s="728"/>
      <c r="AZ79" s="728"/>
      <c r="BA79" s="728"/>
      <c r="BB79" s="728"/>
      <c r="BC79" s="728"/>
      <c r="BD79" s="728"/>
      <c r="BE79" s="728"/>
      <c r="BF79" s="728"/>
      <c r="BG79" s="728"/>
    </row>
    <row r="80" spans="3:59" x14ac:dyDescent="0.25">
      <c r="C80" s="764"/>
      <c r="D80" s="728"/>
      <c r="E80" s="728"/>
      <c r="F80" s="728"/>
      <c r="G80" s="849"/>
      <c r="H80" s="849"/>
      <c r="I80" s="849"/>
      <c r="J80" s="849"/>
      <c r="K80" s="728"/>
      <c r="L80" s="728"/>
      <c r="M80" s="728"/>
      <c r="N80" s="728"/>
      <c r="O80" s="728"/>
      <c r="P80" s="728"/>
      <c r="Q80" s="728"/>
      <c r="R80" s="728"/>
      <c r="S80" s="728"/>
      <c r="T80" s="728"/>
      <c r="U80" s="728"/>
      <c r="V80" s="728"/>
      <c r="W80" s="728"/>
      <c r="X80" s="728"/>
      <c r="Y80" s="728"/>
      <c r="Z80" s="728"/>
      <c r="AA80" s="728"/>
      <c r="AB80" s="728"/>
      <c r="AC80" s="728"/>
      <c r="AD80" s="728"/>
      <c r="AE80" s="728"/>
      <c r="AF80" s="728"/>
      <c r="AG80" s="728"/>
      <c r="AH80" s="728"/>
      <c r="AI80" s="728"/>
      <c r="AJ80" s="728"/>
      <c r="AK80" s="728"/>
      <c r="AL80" s="728"/>
      <c r="AM80" s="728"/>
      <c r="AN80" s="728"/>
      <c r="AO80" s="728"/>
      <c r="AP80" s="728"/>
      <c r="AQ80" s="728"/>
      <c r="AR80" s="728"/>
      <c r="AS80" s="728"/>
      <c r="AT80" s="728"/>
      <c r="AU80" s="728"/>
      <c r="AV80" s="728"/>
      <c r="AW80" s="728"/>
      <c r="AX80" s="728"/>
      <c r="AY80" s="728"/>
      <c r="AZ80" s="728"/>
      <c r="BA80" s="728"/>
      <c r="BB80" s="728"/>
      <c r="BC80" s="728"/>
      <c r="BD80" s="728"/>
      <c r="BE80" s="728"/>
      <c r="BF80" s="728"/>
      <c r="BG80" s="728"/>
    </row>
    <row r="81" spans="3:59" x14ac:dyDescent="0.25">
      <c r="C81" s="256" t="s">
        <v>213</v>
      </c>
      <c r="D81" s="942" t="s">
        <v>214</v>
      </c>
      <c r="E81" s="942"/>
      <c r="F81" s="942"/>
      <c r="G81" s="755" t="s">
        <v>215</v>
      </c>
      <c r="H81" s="754"/>
      <c r="I81" s="754"/>
      <c r="J81" s="754"/>
      <c r="K81" s="755" t="s">
        <v>216</v>
      </c>
      <c r="L81" s="755"/>
      <c r="M81" s="755"/>
      <c r="N81" s="755"/>
      <c r="O81" s="755" t="s">
        <v>217</v>
      </c>
      <c r="P81" s="754"/>
      <c r="Q81" s="754"/>
      <c r="R81" s="754"/>
      <c r="S81" s="755" t="s">
        <v>218</v>
      </c>
      <c r="T81" s="754"/>
      <c r="U81" s="754"/>
      <c r="V81" s="754"/>
      <c r="W81" s="755" t="s">
        <v>219</v>
      </c>
      <c r="X81" s="754"/>
      <c r="Y81" s="754"/>
      <c r="Z81" s="754"/>
      <c r="AA81" s="755" t="s">
        <v>220</v>
      </c>
      <c r="AB81" s="754"/>
      <c r="AC81" s="754"/>
      <c r="AD81" s="754"/>
      <c r="AE81" s="755" t="s">
        <v>223</v>
      </c>
      <c r="AF81" s="754"/>
      <c r="AG81" s="754"/>
      <c r="AH81" s="754"/>
      <c r="AI81" s="755" t="s">
        <v>248</v>
      </c>
      <c r="AJ81" s="754"/>
      <c r="AK81" s="754"/>
      <c r="AL81" s="754"/>
      <c r="AM81" s="755" t="s">
        <v>455</v>
      </c>
      <c r="AN81" s="754"/>
      <c r="AO81" s="754"/>
      <c r="AP81" s="754"/>
      <c r="AQ81" s="755" t="s">
        <v>456</v>
      </c>
      <c r="AR81" s="754"/>
      <c r="AS81" s="754"/>
      <c r="AT81" s="754"/>
      <c r="AU81" s="755" t="s">
        <v>457</v>
      </c>
      <c r="AV81" s="754"/>
      <c r="AW81" s="754"/>
      <c r="AX81" s="754"/>
      <c r="AY81" s="755" t="s">
        <v>458</v>
      </c>
      <c r="AZ81" s="754"/>
      <c r="BA81" s="754"/>
      <c r="BB81" s="754"/>
      <c r="BC81" s="755" t="s">
        <v>472</v>
      </c>
      <c r="BD81" s="754"/>
      <c r="BE81" s="754"/>
      <c r="BF81" s="754"/>
      <c r="BG81" s="275" t="s">
        <v>640</v>
      </c>
    </row>
    <row r="82" spans="3:59" ht="16.5" customHeight="1" x14ac:dyDescent="0.25">
      <c r="C82" s="262"/>
      <c r="D82" s="754"/>
      <c r="E82" s="754"/>
      <c r="F82" s="754"/>
      <c r="G82" s="754"/>
      <c r="H82" s="754"/>
      <c r="I82" s="754"/>
      <c r="J82" s="754"/>
      <c r="K82" s="754"/>
      <c r="L82" s="754"/>
      <c r="M82" s="754"/>
      <c r="N82" s="754"/>
      <c r="O82" s="754"/>
      <c r="P82" s="754"/>
      <c r="Q82" s="754"/>
      <c r="R82" s="754"/>
      <c r="S82" s="754"/>
      <c r="T82" s="754"/>
      <c r="U82" s="754"/>
      <c r="V82" s="754"/>
      <c r="W82" s="754"/>
      <c r="X82" s="754"/>
      <c r="Y82" s="754"/>
      <c r="Z82" s="754"/>
      <c r="AA82" s="754"/>
      <c r="AB82" s="754"/>
      <c r="AC82" s="754"/>
      <c r="AD82" s="754"/>
      <c r="AE82" s="754"/>
      <c r="AF82" s="754"/>
      <c r="AG82" s="754"/>
      <c r="AH82" s="754"/>
      <c r="AI82" s="754"/>
      <c r="AJ82" s="754"/>
      <c r="AK82" s="754"/>
      <c r="AL82" s="754"/>
      <c r="AM82" s="754"/>
      <c r="AN82" s="754"/>
      <c r="AO82" s="754"/>
      <c r="AP82" s="754"/>
      <c r="AQ82" s="754"/>
      <c r="AR82" s="754"/>
      <c r="AS82" s="754"/>
      <c r="AT82" s="754"/>
      <c r="AU82" s="754"/>
      <c r="AV82" s="754"/>
      <c r="AW82" s="754"/>
      <c r="AX82" s="754"/>
      <c r="AY82" s="754"/>
      <c r="AZ82" s="754"/>
      <c r="BA82" s="754"/>
      <c r="BB82" s="754"/>
      <c r="BC82" s="754"/>
      <c r="BD82" s="754"/>
      <c r="BE82" s="754"/>
      <c r="BF82" s="754"/>
      <c r="BG82" s="262"/>
    </row>
    <row r="83" spans="3:59" ht="16.5" customHeight="1" x14ac:dyDescent="0.25">
      <c r="C83" s="262"/>
      <c r="D83" s="754"/>
      <c r="E83" s="754"/>
      <c r="F83" s="754"/>
      <c r="G83" s="754"/>
      <c r="H83" s="754"/>
      <c r="I83" s="754"/>
      <c r="J83" s="754"/>
      <c r="K83" s="754"/>
      <c r="L83" s="754"/>
      <c r="M83" s="754"/>
      <c r="N83" s="754"/>
      <c r="O83" s="754"/>
      <c r="P83" s="754"/>
      <c r="Q83" s="754"/>
      <c r="R83" s="754"/>
      <c r="S83" s="754"/>
      <c r="T83" s="754"/>
      <c r="U83" s="754"/>
      <c r="V83" s="754"/>
      <c r="W83" s="754"/>
      <c r="X83" s="754"/>
      <c r="Y83" s="754"/>
      <c r="Z83" s="754"/>
      <c r="AA83" s="754"/>
      <c r="AB83" s="754"/>
      <c r="AC83" s="754"/>
      <c r="AD83" s="754"/>
      <c r="AE83" s="754"/>
      <c r="AF83" s="754"/>
      <c r="AG83" s="754"/>
      <c r="AH83" s="754"/>
      <c r="AI83" s="754"/>
      <c r="AJ83" s="754"/>
      <c r="AK83" s="754"/>
      <c r="AL83" s="754"/>
      <c r="AM83" s="754"/>
      <c r="AN83" s="754"/>
      <c r="AO83" s="754"/>
      <c r="AP83" s="754"/>
      <c r="AQ83" s="754"/>
      <c r="AR83" s="754"/>
      <c r="AS83" s="754"/>
      <c r="AT83" s="754"/>
      <c r="AU83" s="754"/>
      <c r="AV83" s="754"/>
      <c r="AW83" s="754"/>
      <c r="AX83" s="754"/>
      <c r="AY83" s="754"/>
      <c r="AZ83" s="754"/>
      <c r="BA83" s="754"/>
      <c r="BB83" s="754"/>
      <c r="BC83" s="754"/>
      <c r="BD83" s="754"/>
      <c r="BE83" s="754"/>
      <c r="BF83" s="754"/>
      <c r="BG83" s="262"/>
    </row>
    <row r="84" spans="3:59" ht="16.5" customHeight="1" x14ac:dyDescent="0.25">
      <c r="C84" s="262"/>
      <c r="D84" s="754"/>
      <c r="E84" s="754"/>
      <c r="F84" s="754"/>
      <c r="G84" s="754"/>
      <c r="H84" s="754"/>
      <c r="I84" s="754"/>
      <c r="J84" s="754"/>
      <c r="K84" s="754"/>
      <c r="L84" s="754"/>
      <c r="M84" s="754"/>
      <c r="N84" s="754"/>
      <c r="O84" s="754"/>
      <c r="P84" s="754"/>
      <c r="Q84" s="754"/>
      <c r="R84" s="754"/>
      <c r="S84" s="754"/>
      <c r="T84" s="754"/>
      <c r="U84" s="754"/>
      <c r="V84" s="754"/>
      <c r="W84" s="754"/>
      <c r="X84" s="754"/>
      <c r="Y84" s="754"/>
      <c r="Z84" s="754"/>
      <c r="AA84" s="754"/>
      <c r="AB84" s="754"/>
      <c r="AC84" s="754"/>
      <c r="AD84" s="754"/>
      <c r="AE84" s="754"/>
      <c r="AF84" s="754"/>
      <c r="AG84" s="754"/>
      <c r="AH84" s="754"/>
      <c r="AI84" s="754"/>
      <c r="AJ84" s="754"/>
      <c r="AK84" s="754"/>
      <c r="AL84" s="754"/>
      <c r="AM84" s="754"/>
      <c r="AN84" s="754"/>
      <c r="AO84" s="754"/>
      <c r="AP84" s="754"/>
      <c r="AQ84" s="754"/>
      <c r="AR84" s="754"/>
      <c r="AS84" s="754"/>
      <c r="AT84" s="754"/>
      <c r="AU84" s="754"/>
      <c r="AV84" s="754"/>
      <c r="AW84" s="754"/>
      <c r="AX84" s="754"/>
      <c r="AY84" s="754"/>
      <c r="AZ84" s="754"/>
      <c r="BA84" s="754"/>
      <c r="BB84" s="754"/>
      <c r="BC84" s="754"/>
      <c r="BD84" s="754"/>
      <c r="BE84" s="754"/>
      <c r="BF84" s="754"/>
      <c r="BG84" s="262"/>
    </row>
    <row r="85" spans="3:59" ht="16.5" customHeight="1" x14ac:dyDescent="0.25">
      <c r="C85" s="262"/>
      <c r="D85" s="754"/>
      <c r="E85" s="754"/>
      <c r="F85" s="754"/>
      <c r="G85" s="754"/>
      <c r="H85" s="754"/>
      <c r="I85" s="754"/>
      <c r="J85" s="754"/>
      <c r="K85" s="754"/>
      <c r="L85" s="754"/>
      <c r="M85" s="754"/>
      <c r="N85" s="754"/>
      <c r="O85" s="754"/>
      <c r="P85" s="754"/>
      <c r="Q85" s="754"/>
      <c r="R85" s="754"/>
      <c r="S85" s="754"/>
      <c r="T85" s="754"/>
      <c r="U85" s="754"/>
      <c r="V85" s="754"/>
      <c r="W85" s="754"/>
      <c r="X85" s="754"/>
      <c r="Y85" s="754"/>
      <c r="Z85" s="754"/>
      <c r="AA85" s="754"/>
      <c r="AB85" s="754"/>
      <c r="AC85" s="754"/>
      <c r="AD85" s="754"/>
      <c r="AE85" s="754"/>
      <c r="AF85" s="754"/>
      <c r="AG85" s="754"/>
      <c r="AH85" s="754"/>
      <c r="AI85" s="754"/>
      <c r="AJ85" s="754"/>
      <c r="AK85" s="754"/>
      <c r="AL85" s="754"/>
      <c r="AM85" s="754"/>
      <c r="AN85" s="754"/>
      <c r="AO85" s="754"/>
      <c r="AP85" s="754"/>
      <c r="AQ85" s="754"/>
      <c r="AR85" s="754"/>
      <c r="AS85" s="754"/>
      <c r="AT85" s="754"/>
      <c r="AU85" s="754"/>
      <c r="AV85" s="754"/>
      <c r="AW85" s="754"/>
      <c r="AX85" s="754"/>
      <c r="AY85" s="754"/>
      <c r="AZ85" s="754"/>
      <c r="BA85" s="754"/>
      <c r="BB85" s="754"/>
      <c r="BC85" s="754"/>
      <c r="BD85" s="754"/>
      <c r="BE85" s="754"/>
      <c r="BF85" s="754"/>
      <c r="BG85" s="262"/>
    </row>
    <row r="86" spans="3:59" ht="16.5" customHeight="1" x14ac:dyDescent="0.25">
      <c r="C86" s="987" t="s">
        <v>473</v>
      </c>
      <c r="D86" s="987"/>
      <c r="E86" s="987"/>
      <c r="F86" s="987"/>
      <c r="G86" s="987"/>
      <c r="H86" s="987"/>
      <c r="I86" s="987"/>
      <c r="J86" s="987"/>
      <c r="K86" s="754"/>
      <c r="L86" s="754"/>
      <c r="M86" s="754"/>
      <c r="N86" s="754"/>
      <c r="O86" s="754"/>
      <c r="P86" s="754"/>
      <c r="Q86" s="754"/>
      <c r="R86" s="754"/>
      <c r="S86" s="754"/>
      <c r="T86" s="754"/>
      <c r="U86" s="754"/>
      <c r="V86" s="754"/>
      <c r="W86" s="754"/>
      <c r="X86" s="754"/>
      <c r="Y86" s="754"/>
      <c r="Z86" s="754"/>
      <c r="AA86" s="754"/>
      <c r="AB86" s="754"/>
      <c r="AC86" s="754"/>
      <c r="AD86" s="754"/>
      <c r="AE86" s="754"/>
      <c r="AF86" s="754"/>
      <c r="AG86" s="754"/>
      <c r="AH86" s="754"/>
      <c r="AI86" s="754"/>
      <c r="AJ86" s="754"/>
      <c r="AK86" s="754"/>
      <c r="AL86" s="754"/>
      <c r="AM86" s="754"/>
      <c r="AN86" s="754"/>
      <c r="AO86" s="754"/>
      <c r="AP86" s="754"/>
      <c r="AQ86" s="754"/>
      <c r="AR86" s="754"/>
      <c r="AS86" s="754"/>
      <c r="AT86" s="754"/>
      <c r="AU86" s="754"/>
      <c r="AV86" s="754"/>
      <c r="AW86" s="754"/>
      <c r="AX86" s="754"/>
      <c r="AY86" s="754"/>
      <c r="AZ86" s="754"/>
      <c r="BA86" s="754"/>
      <c r="BB86" s="754"/>
      <c r="BC86" s="754"/>
      <c r="BD86" s="754"/>
      <c r="BE86" s="754"/>
      <c r="BF86" s="754"/>
      <c r="BG86" s="262"/>
    </row>
    <row r="87" spans="3:59" ht="16.5" customHeight="1" x14ac:dyDescent="0.25">
      <c r="C87" s="987" t="s">
        <v>474</v>
      </c>
      <c r="D87" s="987"/>
      <c r="E87" s="987"/>
      <c r="F87" s="987"/>
      <c r="G87" s="987"/>
      <c r="H87" s="987"/>
      <c r="I87" s="987"/>
      <c r="J87" s="987"/>
      <c r="K87" s="754"/>
      <c r="L87" s="754"/>
      <c r="M87" s="754"/>
      <c r="N87" s="754"/>
      <c r="O87" s="754"/>
      <c r="P87" s="754"/>
      <c r="Q87" s="754"/>
      <c r="R87" s="754"/>
      <c r="S87" s="754"/>
      <c r="T87" s="754"/>
      <c r="U87" s="754"/>
      <c r="V87" s="754"/>
      <c r="W87" s="754"/>
      <c r="X87" s="754"/>
      <c r="Y87" s="754"/>
      <c r="Z87" s="754"/>
      <c r="AA87" s="754"/>
      <c r="AB87" s="754"/>
      <c r="AC87" s="754"/>
      <c r="AD87" s="754"/>
      <c r="AE87" s="754"/>
      <c r="AF87" s="754"/>
      <c r="AG87" s="754"/>
      <c r="AH87" s="754"/>
      <c r="AI87" s="754"/>
      <c r="AJ87" s="754"/>
      <c r="AK87" s="754"/>
      <c r="AL87" s="754"/>
      <c r="AM87" s="754"/>
      <c r="AN87" s="754"/>
      <c r="AO87" s="754"/>
      <c r="AP87" s="754"/>
      <c r="AQ87" s="754"/>
      <c r="AR87" s="754"/>
      <c r="AS87" s="754"/>
      <c r="AT87" s="754"/>
      <c r="AU87" s="754"/>
      <c r="AV87" s="754"/>
      <c r="AW87" s="754"/>
      <c r="AX87" s="754"/>
      <c r="AY87" s="754"/>
      <c r="AZ87" s="754"/>
      <c r="BA87" s="754"/>
      <c r="BB87" s="754"/>
      <c r="BC87" s="754"/>
      <c r="BD87" s="754"/>
      <c r="BE87" s="754"/>
      <c r="BF87" s="754"/>
      <c r="BG87" s="262"/>
    </row>
    <row r="88" spans="3:59" ht="3.6" customHeight="1" x14ac:dyDescent="0.25">
      <c r="C88" s="207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3:59" x14ac:dyDescent="0.25">
      <c r="C89" s="52" t="s">
        <v>81</v>
      </c>
      <c r="D89" s="52" t="s">
        <v>478</v>
      </c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N89" s="45"/>
      <c r="AO89" s="45"/>
      <c r="AP89" s="45"/>
      <c r="AQ89" s="45"/>
      <c r="AR89" s="45"/>
      <c r="AS89" s="45"/>
      <c r="AT89" s="45"/>
      <c r="AU89" s="45"/>
      <c r="AV89" s="45"/>
      <c r="AW89" s="45"/>
      <c r="AX89" s="45"/>
      <c r="AY89" s="45"/>
      <c r="AZ89" s="45"/>
      <c r="BA89" s="45"/>
      <c r="BB89" s="45"/>
      <c r="BC89" s="45"/>
      <c r="BD89" s="45"/>
      <c r="BE89" s="45"/>
      <c r="BF89" s="45"/>
      <c r="BG89" s="45"/>
    </row>
    <row r="90" spans="3:59" x14ac:dyDescent="0.25">
      <c r="C90" s="341"/>
      <c r="D90" s="343" t="s">
        <v>645</v>
      </c>
      <c r="E90" s="342"/>
      <c r="F90" s="342"/>
      <c r="G90" s="342"/>
      <c r="H90" s="342"/>
      <c r="I90" s="342"/>
      <c r="J90" s="342"/>
      <c r="K90" s="342"/>
      <c r="L90" s="342"/>
      <c r="M90" s="342"/>
      <c r="N90" s="342"/>
      <c r="O90" s="342"/>
      <c r="P90" s="342"/>
      <c r="Q90" s="342"/>
      <c r="R90" s="342"/>
      <c r="S90" s="342"/>
      <c r="T90" s="342"/>
      <c r="U90" s="342"/>
      <c r="V90" s="342"/>
      <c r="W90" s="153"/>
      <c r="X90" s="153"/>
      <c r="Y90" s="153"/>
      <c r="Z90" s="153"/>
      <c r="AA90" s="153"/>
      <c r="AB90" s="153"/>
      <c r="AC90" s="153"/>
      <c r="AD90" s="153"/>
      <c r="AE90" s="153"/>
      <c r="AF90" s="153"/>
      <c r="AG90" s="153"/>
      <c r="AH90" s="153"/>
      <c r="AI90" s="153"/>
      <c r="AJ90" s="153"/>
      <c r="AK90" s="153"/>
      <c r="AL90" s="153"/>
      <c r="AM90" s="153"/>
      <c r="AN90" s="153"/>
      <c r="AO90" s="153"/>
      <c r="AP90" s="153"/>
      <c r="AQ90" s="153"/>
      <c r="AR90" s="153"/>
      <c r="AS90" s="153"/>
      <c r="AT90" s="153"/>
      <c r="AU90" s="153"/>
      <c r="AV90" s="153"/>
      <c r="AW90" s="153"/>
      <c r="AX90" s="153"/>
      <c r="AY90" s="153"/>
      <c r="AZ90" s="153"/>
      <c r="BA90" s="153"/>
      <c r="BB90" s="153"/>
      <c r="BC90" s="153"/>
      <c r="BD90" s="153"/>
      <c r="BE90" s="153"/>
      <c r="BF90" s="153"/>
      <c r="BG90" s="153"/>
    </row>
    <row r="91" spans="3:59" ht="16.5" customHeight="1" x14ac:dyDescent="0.25">
      <c r="C91" s="54"/>
      <c r="E91" s="54"/>
      <c r="F91" s="54"/>
      <c r="H91" s="54"/>
      <c r="I91" s="54"/>
      <c r="J91" s="54"/>
      <c r="K91" s="54"/>
      <c r="L91" s="54"/>
      <c r="N91" s="54"/>
      <c r="O91" s="54"/>
      <c r="P91" s="343" t="s">
        <v>646</v>
      </c>
      <c r="R91" s="54"/>
      <c r="T91" s="54"/>
      <c r="U91" s="54"/>
      <c r="V91" s="54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57"/>
      <c r="AO91" s="57"/>
      <c r="AP91" s="57"/>
    </row>
    <row r="92" spans="3:59" x14ac:dyDescent="0.25">
      <c r="C92" s="764" t="s">
        <v>263</v>
      </c>
      <c r="D92" s="728" t="s">
        <v>461</v>
      </c>
      <c r="E92" s="728"/>
      <c r="F92" s="728"/>
      <c r="G92" s="849" t="s">
        <v>477</v>
      </c>
      <c r="H92" s="849"/>
      <c r="I92" s="849"/>
      <c r="J92" s="849"/>
      <c r="K92" s="728" t="s">
        <v>435</v>
      </c>
      <c r="L92" s="728"/>
      <c r="M92" s="728"/>
      <c r="N92" s="728"/>
      <c r="O92" s="728" t="s">
        <v>436</v>
      </c>
      <c r="P92" s="728"/>
      <c r="Q92" s="728"/>
      <c r="R92" s="728"/>
      <c r="S92" s="728" t="s">
        <v>445</v>
      </c>
      <c r="T92" s="728"/>
      <c r="U92" s="728"/>
      <c r="V92" s="728"/>
      <c r="W92" s="728" t="s">
        <v>446</v>
      </c>
      <c r="X92" s="728"/>
      <c r="Y92" s="728"/>
      <c r="Z92" s="728"/>
      <c r="AA92" s="728" t="s">
        <v>447</v>
      </c>
      <c r="AB92" s="728"/>
      <c r="AC92" s="728"/>
      <c r="AD92" s="728"/>
      <c r="AE92" s="728" t="s">
        <v>448</v>
      </c>
      <c r="AF92" s="728"/>
      <c r="AG92" s="728"/>
      <c r="AH92" s="728"/>
      <c r="AI92" s="728" t="s">
        <v>449</v>
      </c>
      <c r="AJ92" s="728"/>
      <c r="AK92" s="728"/>
      <c r="AL92" s="728"/>
      <c r="AM92" s="728" t="s">
        <v>450</v>
      </c>
      <c r="AN92" s="728"/>
      <c r="AO92" s="728"/>
      <c r="AP92" s="728"/>
      <c r="AQ92" s="728" t="s">
        <v>451</v>
      </c>
      <c r="AR92" s="728"/>
      <c r="AS92" s="728"/>
      <c r="AT92" s="728"/>
      <c r="AU92" s="728" t="s">
        <v>452</v>
      </c>
      <c r="AV92" s="728"/>
      <c r="AW92" s="728"/>
      <c r="AX92" s="728"/>
      <c r="AY92" s="728" t="s">
        <v>453</v>
      </c>
      <c r="AZ92" s="728"/>
      <c r="BA92" s="728"/>
      <c r="BB92" s="728"/>
      <c r="BC92" s="728" t="s">
        <v>454</v>
      </c>
      <c r="BD92" s="728"/>
      <c r="BE92" s="728"/>
      <c r="BF92" s="728"/>
      <c r="BG92" s="728" t="s">
        <v>519</v>
      </c>
    </row>
    <row r="93" spans="3:59" x14ac:dyDescent="0.25">
      <c r="C93" s="764"/>
      <c r="D93" s="728"/>
      <c r="E93" s="728"/>
      <c r="F93" s="728"/>
      <c r="G93" s="849"/>
      <c r="H93" s="849"/>
      <c r="I93" s="849"/>
      <c r="J93" s="849"/>
      <c r="K93" s="728"/>
      <c r="L93" s="728"/>
      <c r="M93" s="728"/>
      <c r="N93" s="728"/>
      <c r="O93" s="728"/>
      <c r="P93" s="728"/>
      <c r="Q93" s="728"/>
      <c r="R93" s="728"/>
      <c r="S93" s="728"/>
      <c r="T93" s="728"/>
      <c r="U93" s="728"/>
      <c r="V93" s="728"/>
      <c r="W93" s="728"/>
      <c r="X93" s="728"/>
      <c r="Y93" s="728"/>
      <c r="Z93" s="728"/>
      <c r="AA93" s="728"/>
      <c r="AB93" s="728"/>
      <c r="AC93" s="728"/>
      <c r="AD93" s="728"/>
      <c r="AE93" s="728"/>
      <c r="AF93" s="728"/>
      <c r="AG93" s="728"/>
      <c r="AH93" s="728"/>
      <c r="AI93" s="728"/>
      <c r="AJ93" s="728"/>
      <c r="AK93" s="728"/>
      <c r="AL93" s="728"/>
      <c r="AM93" s="728"/>
      <c r="AN93" s="728"/>
      <c r="AO93" s="728"/>
      <c r="AP93" s="728"/>
      <c r="AQ93" s="728"/>
      <c r="AR93" s="728"/>
      <c r="AS93" s="728"/>
      <c r="AT93" s="728"/>
      <c r="AU93" s="728"/>
      <c r="AV93" s="728"/>
      <c r="AW93" s="728"/>
      <c r="AX93" s="728"/>
      <c r="AY93" s="728"/>
      <c r="AZ93" s="728"/>
      <c r="BA93" s="728"/>
      <c r="BB93" s="728"/>
      <c r="BC93" s="728"/>
      <c r="BD93" s="728"/>
      <c r="BE93" s="728"/>
      <c r="BF93" s="728"/>
      <c r="BG93" s="728"/>
    </row>
    <row r="94" spans="3:59" x14ac:dyDescent="0.25">
      <c r="C94" s="764"/>
      <c r="D94" s="728"/>
      <c r="E94" s="728"/>
      <c r="F94" s="728"/>
      <c r="G94" s="849"/>
      <c r="H94" s="849"/>
      <c r="I94" s="849"/>
      <c r="J94" s="849"/>
      <c r="K94" s="728"/>
      <c r="L94" s="728"/>
      <c r="M94" s="728"/>
      <c r="N94" s="728"/>
      <c r="O94" s="728"/>
      <c r="P94" s="728"/>
      <c r="Q94" s="728"/>
      <c r="R94" s="728"/>
      <c r="S94" s="728"/>
      <c r="T94" s="728"/>
      <c r="U94" s="728"/>
      <c r="V94" s="728"/>
      <c r="W94" s="728"/>
      <c r="X94" s="728"/>
      <c r="Y94" s="728"/>
      <c r="Z94" s="728"/>
      <c r="AA94" s="728"/>
      <c r="AB94" s="728"/>
      <c r="AC94" s="728"/>
      <c r="AD94" s="728"/>
      <c r="AE94" s="728"/>
      <c r="AF94" s="728"/>
      <c r="AG94" s="728"/>
      <c r="AH94" s="728"/>
      <c r="AI94" s="728"/>
      <c r="AJ94" s="728"/>
      <c r="AK94" s="728"/>
      <c r="AL94" s="728"/>
      <c r="AM94" s="728"/>
      <c r="AN94" s="728"/>
      <c r="AO94" s="728"/>
      <c r="AP94" s="728"/>
      <c r="AQ94" s="728"/>
      <c r="AR94" s="728"/>
      <c r="AS94" s="728"/>
      <c r="AT94" s="728"/>
      <c r="AU94" s="728"/>
      <c r="AV94" s="728"/>
      <c r="AW94" s="728"/>
      <c r="AX94" s="728"/>
      <c r="AY94" s="728"/>
      <c r="AZ94" s="728"/>
      <c r="BA94" s="728"/>
      <c r="BB94" s="728"/>
      <c r="BC94" s="728"/>
      <c r="BD94" s="728"/>
      <c r="BE94" s="728"/>
      <c r="BF94" s="728"/>
      <c r="BG94" s="728"/>
    </row>
    <row r="95" spans="3:59" x14ac:dyDescent="0.25">
      <c r="C95" s="256" t="s">
        <v>213</v>
      </c>
      <c r="D95" s="942" t="s">
        <v>214</v>
      </c>
      <c r="E95" s="942"/>
      <c r="F95" s="942"/>
      <c r="G95" s="755" t="s">
        <v>215</v>
      </c>
      <c r="H95" s="754"/>
      <c r="I95" s="754"/>
      <c r="J95" s="754"/>
      <c r="K95" s="755" t="s">
        <v>216</v>
      </c>
      <c r="L95" s="755"/>
      <c r="M95" s="755"/>
      <c r="N95" s="755"/>
      <c r="O95" s="755" t="s">
        <v>217</v>
      </c>
      <c r="P95" s="754"/>
      <c r="Q95" s="754"/>
      <c r="R95" s="754"/>
      <c r="S95" s="755" t="s">
        <v>218</v>
      </c>
      <c r="T95" s="754"/>
      <c r="U95" s="754"/>
      <c r="V95" s="754"/>
      <c r="W95" s="755" t="s">
        <v>219</v>
      </c>
      <c r="X95" s="754"/>
      <c r="Y95" s="754"/>
      <c r="Z95" s="754"/>
      <c r="AA95" s="755" t="s">
        <v>220</v>
      </c>
      <c r="AB95" s="754"/>
      <c r="AC95" s="754"/>
      <c r="AD95" s="754"/>
      <c r="AE95" s="755" t="s">
        <v>223</v>
      </c>
      <c r="AF95" s="754"/>
      <c r="AG95" s="754"/>
      <c r="AH95" s="754"/>
      <c r="AI95" s="755" t="s">
        <v>248</v>
      </c>
      <c r="AJ95" s="754"/>
      <c r="AK95" s="754"/>
      <c r="AL95" s="754"/>
      <c r="AM95" s="755" t="s">
        <v>455</v>
      </c>
      <c r="AN95" s="754"/>
      <c r="AO95" s="754"/>
      <c r="AP95" s="754"/>
      <c r="AQ95" s="755" t="s">
        <v>456</v>
      </c>
      <c r="AR95" s="754"/>
      <c r="AS95" s="754"/>
      <c r="AT95" s="754"/>
      <c r="AU95" s="755" t="s">
        <v>457</v>
      </c>
      <c r="AV95" s="754"/>
      <c r="AW95" s="754"/>
      <c r="AX95" s="754"/>
      <c r="AY95" s="755" t="s">
        <v>458</v>
      </c>
      <c r="AZ95" s="754"/>
      <c r="BA95" s="754"/>
      <c r="BB95" s="754"/>
      <c r="BC95" s="755" t="s">
        <v>472</v>
      </c>
      <c r="BD95" s="754"/>
      <c r="BE95" s="754"/>
      <c r="BF95" s="754"/>
      <c r="BG95" s="275" t="s">
        <v>640</v>
      </c>
    </row>
    <row r="96" spans="3:59" x14ac:dyDescent="0.25">
      <c r="C96" s="262"/>
      <c r="D96" s="754"/>
      <c r="E96" s="754"/>
      <c r="F96" s="754"/>
      <c r="G96" s="754"/>
      <c r="H96" s="754"/>
      <c r="I96" s="754"/>
      <c r="J96" s="754"/>
      <c r="K96" s="754"/>
      <c r="L96" s="754"/>
      <c r="M96" s="754"/>
      <c r="N96" s="754"/>
      <c r="O96" s="754"/>
      <c r="P96" s="754"/>
      <c r="Q96" s="754"/>
      <c r="R96" s="754"/>
      <c r="S96" s="754"/>
      <c r="T96" s="754"/>
      <c r="U96" s="754"/>
      <c r="V96" s="754"/>
      <c r="W96" s="754"/>
      <c r="X96" s="754"/>
      <c r="Y96" s="754"/>
      <c r="Z96" s="754"/>
      <c r="AA96" s="754"/>
      <c r="AB96" s="754"/>
      <c r="AC96" s="754"/>
      <c r="AD96" s="754"/>
      <c r="AE96" s="754"/>
      <c r="AF96" s="754"/>
      <c r="AG96" s="754"/>
      <c r="AH96" s="754"/>
      <c r="AI96" s="754"/>
      <c r="AJ96" s="754"/>
      <c r="AK96" s="754"/>
      <c r="AL96" s="754"/>
      <c r="AM96" s="754"/>
      <c r="AN96" s="754"/>
      <c r="AO96" s="754"/>
      <c r="AP96" s="754"/>
      <c r="AQ96" s="754"/>
      <c r="AR96" s="754"/>
      <c r="AS96" s="754"/>
      <c r="AT96" s="754"/>
      <c r="AU96" s="754"/>
      <c r="AV96" s="754"/>
      <c r="AW96" s="754"/>
      <c r="AX96" s="754"/>
      <c r="AY96" s="754"/>
      <c r="AZ96" s="754"/>
      <c r="BA96" s="754"/>
      <c r="BB96" s="754"/>
      <c r="BC96" s="754"/>
      <c r="BD96" s="754"/>
      <c r="BE96" s="754"/>
      <c r="BF96" s="754"/>
      <c r="BG96" s="262"/>
    </row>
    <row r="97" spans="3:59" x14ac:dyDescent="0.25">
      <c r="C97" s="262"/>
      <c r="D97" s="754"/>
      <c r="E97" s="754"/>
      <c r="F97" s="754"/>
      <c r="G97" s="754"/>
      <c r="H97" s="754"/>
      <c r="I97" s="754"/>
      <c r="J97" s="754"/>
      <c r="K97" s="754"/>
      <c r="L97" s="754"/>
      <c r="M97" s="754"/>
      <c r="N97" s="754"/>
      <c r="O97" s="754"/>
      <c r="P97" s="754"/>
      <c r="Q97" s="754"/>
      <c r="R97" s="754"/>
      <c r="S97" s="754"/>
      <c r="T97" s="754"/>
      <c r="U97" s="754"/>
      <c r="V97" s="754"/>
      <c r="W97" s="754"/>
      <c r="X97" s="754"/>
      <c r="Y97" s="754"/>
      <c r="Z97" s="754"/>
      <c r="AA97" s="754"/>
      <c r="AB97" s="754"/>
      <c r="AC97" s="754"/>
      <c r="AD97" s="754"/>
      <c r="AE97" s="754"/>
      <c r="AF97" s="754"/>
      <c r="AG97" s="754"/>
      <c r="AH97" s="754"/>
      <c r="AI97" s="754"/>
      <c r="AJ97" s="754"/>
      <c r="AK97" s="754"/>
      <c r="AL97" s="754"/>
      <c r="AM97" s="754"/>
      <c r="AN97" s="754"/>
      <c r="AO97" s="754"/>
      <c r="AP97" s="754"/>
      <c r="AQ97" s="754"/>
      <c r="AR97" s="754"/>
      <c r="AS97" s="754"/>
      <c r="AT97" s="754"/>
      <c r="AU97" s="754"/>
      <c r="AV97" s="754"/>
      <c r="AW97" s="754"/>
      <c r="AX97" s="754"/>
      <c r="AY97" s="754"/>
      <c r="AZ97" s="754"/>
      <c r="BA97" s="754"/>
      <c r="BB97" s="754"/>
      <c r="BC97" s="754"/>
      <c r="BD97" s="754"/>
      <c r="BE97" s="754"/>
      <c r="BF97" s="754"/>
      <c r="BG97" s="262"/>
    </row>
    <row r="98" spans="3:59" x14ac:dyDescent="0.25">
      <c r="C98" s="262"/>
      <c r="D98" s="754"/>
      <c r="E98" s="754"/>
      <c r="F98" s="754"/>
      <c r="G98" s="754"/>
      <c r="H98" s="754"/>
      <c r="I98" s="754"/>
      <c r="J98" s="754"/>
      <c r="K98" s="754"/>
      <c r="L98" s="754"/>
      <c r="M98" s="754"/>
      <c r="N98" s="754"/>
      <c r="O98" s="754"/>
      <c r="P98" s="754"/>
      <c r="Q98" s="754"/>
      <c r="R98" s="754"/>
      <c r="S98" s="754"/>
      <c r="T98" s="754"/>
      <c r="U98" s="754"/>
      <c r="V98" s="754"/>
      <c r="W98" s="754"/>
      <c r="X98" s="754"/>
      <c r="Y98" s="754"/>
      <c r="Z98" s="754"/>
      <c r="AA98" s="754"/>
      <c r="AB98" s="754"/>
      <c r="AC98" s="754"/>
      <c r="AD98" s="754"/>
      <c r="AE98" s="754"/>
      <c r="AF98" s="754"/>
      <c r="AG98" s="754"/>
      <c r="AH98" s="754"/>
      <c r="AI98" s="754"/>
      <c r="AJ98" s="754"/>
      <c r="AK98" s="754"/>
      <c r="AL98" s="754"/>
      <c r="AM98" s="754"/>
      <c r="AN98" s="754"/>
      <c r="AO98" s="754"/>
      <c r="AP98" s="754"/>
      <c r="AQ98" s="754"/>
      <c r="AR98" s="754"/>
      <c r="AS98" s="754"/>
      <c r="AT98" s="754"/>
      <c r="AU98" s="754"/>
      <c r="AV98" s="754"/>
      <c r="AW98" s="754"/>
      <c r="AX98" s="754"/>
      <c r="AY98" s="754"/>
      <c r="AZ98" s="754"/>
      <c r="BA98" s="754"/>
      <c r="BB98" s="754"/>
      <c r="BC98" s="754"/>
      <c r="BD98" s="754"/>
      <c r="BE98" s="754"/>
      <c r="BF98" s="754"/>
      <c r="BG98" s="262"/>
    </row>
    <row r="99" spans="3:59" x14ac:dyDescent="0.25">
      <c r="C99" s="262"/>
      <c r="D99" s="754"/>
      <c r="E99" s="754"/>
      <c r="F99" s="754"/>
      <c r="G99" s="754"/>
      <c r="H99" s="754"/>
      <c r="I99" s="754"/>
      <c r="J99" s="754"/>
      <c r="K99" s="754"/>
      <c r="L99" s="754"/>
      <c r="M99" s="754"/>
      <c r="N99" s="754"/>
      <c r="O99" s="754"/>
      <c r="P99" s="754"/>
      <c r="Q99" s="754"/>
      <c r="R99" s="754"/>
      <c r="S99" s="754"/>
      <c r="T99" s="754"/>
      <c r="U99" s="754"/>
      <c r="V99" s="754"/>
      <c r="W99" s="754"/>
      <c r="X99" s="754"/>
      <c r="Y99" s="754"/>
      <c r="Z99" s="754"/>
      <c r="AA99" s="754"/>
      <c r="AB99" s="754"/>
      <c r="AC99" s="754"/>
      <c r="AD99" s="754"/>
      <c r="AE99" s="754"/>
      <c r="AF99" s="754"/>
      <c r="AG99" s="754"/>
      <c r="AH99" s="754"/>
      <c r="AI99" s="754"/>
      <c r="AJ99" s="754"/>
      <c r="AK99" s="754"/>
      <c r="AL99" s="754"/>
      <c r="AM99" s="754"/>
      <c r="AN99" s="754"/>
      <c r="AO99" s="754"/>
      <c r="AP99" s="754"/>
      <c r="AQ99" s="754"/>
      <c r="AR99" s="754"/>
      <c r="AS99" s="754"/>
      <c r="AT99" s="754"/>
      <c r="AU99" s="754"/>
      <c r="AV99" s="754"/>
      <c r="AW99" s="754"/>
      <c r="AX99" s="754"/>
      <c r="AY99" s="754"/>
      <c r="AZ99" s="754"/>
      <c r="BA99" s="754"/>
      <c r="BB99" s="754"/>
      <c r="BC99" s="754"/>
      <c r="BD99" s="754"/>
      <c r="BE99" s="754"/>
      <c r="BF99" s="754"/>
      <c r="BG99" s="262"/>
    </row>
    <row r="100" spans="3:59" x14ac:dyDescent="0.25">
      <c r="C100" s="987" t="s">
        <v>473</v>
      </c>
      <c r="D100" s="987"/>
      <c r="E100" s="987"/>
      <c r="F100" s="987"/>
      <c r="G100" s="987"/>
      <c r="H100" s="987"/>
      <c r="I100" s="987"/>
      <c r="J100" s="987"/>
      <c r="K100" s="754"/>
      <c r="L100" s="754"/>
      <c r="M100" s="754"/>
      <c r="N100" s="754"/>
      <c r="O100" s="754"/>
      <c r="P100" s="754"/>
      <c r="Q100" s="754"/>
      <c r="R100" s="754"/>
      <c r="S100" s="754"/>
      <c r="T100" s="754"/>
      <c r="U100" s="754"/>
      <c r="V100" s="754"/>
      <c r="W100" s="754"/>
      <c r="X100" s="754"/>
      <c r="Y100" s="754"/>
      <c r="Z100" s="754"/>
      <c r="AA100" s="754"/>
      <c r="AB100" s="754"/>
      <c r="AC100" s="754"/>
      <c r="AD100" s="754"/>
      <c r="AE100" s="754"/>
      <c r="AF100" s="754"/>
      <c r="AG100" s="754"/>
      <c r="AH100" s="754"/>
      <c r="AI100" s="754"/>
      <c r="AJ100" s="754"/>
      <c r="AK100" s="754"/>
      <c r="AL100" s="754"/>
      <c r="AM100" s="754"/>
      <c r="AN100" s="754"/>
      <c r="AO100" s="754"/>
      <c r="AP100" s="754"/>
      <c r="AQ100" s="754"/>
      <c r="AR100" s="754"/>
      <c r="AS100" s="754"/>
      <c r="AT100" s="754"/>
      <c r="AU100" s="754"/>
      <c r="AV100" s="754"/>
      <c r="AW100" s="754"/>
      <c r="AX100" s="754"/>
      <c r="AY100" s="754"/>
      <c r="AZ100" s="754"/>
      <c r="BA100" s="754"/>
      <c r="BB100" s="754"/>
      <c r="BC100" s="754"/>
      <c r="BD100" s="754"/>
      <c r="BE100" s="754"/>
      <c r="BF100" s="754"/>
      <c r="BG100" s="262"/>
    </row>
    <row r="101" spans="3:59" x14ac:dyDescent="0.25">
      <c r="C101" s="987" t="s">
        <v>474</v>
      </c>
      <c r="D101" s="987"/>
      <c r="E101" s="987"/>
      <c r="F101" s="987"/>
      <c r="G101" s="987"/>
      <c r="H101" s="987"/>
      <c r="I101" s="987"/>
      <c r="J101" s="987"/>
      <c r="K101" s="754"/>
      <c r="L101" s="754"/>
      <c r="M101" s="754"/>
      <c r="N101" s="754"/>
      <c r="O101" s="754"/>
      <c r="P101" s="754"/>
      <c r="Q101" s="754"/>
      <c r="R101" s="754"/>
      <c r="S101" s="754"/>
      <c r="T101" s="754"/>
      <c r="U101" s="754"/>
      <c r="V101" s="754"/>
      <c r="W101" s="754"/>
      <c r="X101" s="754"/>
      <c r="Y101" s="754"/>
      <c r="Z101" s="754"/>
      <c r="AA101" s="754"/>
      <c r="AB101" s="754"/>
      <c r="AC101" s="754"/>
      <c r="AD101" s="754"/>
      <c r="AE101" s="754"/>
      <c r="AF101" s="754"/>
      <c r="AG101" s="754"/>
      <c r="AH101" s="754"/>
      <c r="AI101" s="754"/>
      <c r="AJ101" s="754"/>
      <c r="AK101" s="754"/>
      <c r="AL101" s="754"/>
      <c r="AM101" s="754"/>
      <c r="AN101" s="754"/>
      <c r="AO101" s="754"/>
      <c r="AP101" s="754"/>
      <c r="AQ101" s="754"/>
      <c r="AR101" s="754"/>
      <c r="AS101" s="754"/>
      <c r="AT101" s="754"/>
      <c r="AU101" s="754"/>
      <c r="AV101" s="754"/>
      <c r="AW101" s="754"/>
      <c r="AX101" s="754"/>
      <c r="AY101" s="754"/>
      <c r="AZ101" s="754"/>
      <c r="BA101" s="754"/>
      <c r="BB101" s="754"/>
      <c r="BC101" s="754"/>
      <c r="BD101" s="754"/>
      <c r="BE101" s="754"/>
      <c r="BF101" s="754"/>
      <c r="BG101" s="262"/>
    </row>
    <row r="102" spans="3:59" x14ac:dyDescent="0.25">
      <c r="W102" s="344" t="s">
        <v>647</v>
      </c>
    </row>
  </sheetData>
  <mergeCells count="446">
    <mergeCell ref="BG64:BG66"/>
    <mergeCell ref="BG67:BG69"/>
    <mergeCell ref="AG46:AK48"/>
    <mergeCell ref="BG78:BG80"/>
    <mergeCell ref="BG92:BG94"/>
    <mergeCell ref="BG31:BG32"/>
    <mergeCell ref="BG43:BG45"/>
    <mergeCell ref="BG40:BG42"/>
    <mergeCell ref="BG38:BG39"/>
    <mergeCell ref="BG36:BG37"/>
    <mergeCell ref="BG34:BG35"/>
    <mergeCell ref="BG46:BG48"/>
    <mergeCell ref="BG49:BG51"/>
    <mergeCell ref="BG52:BG54"/>
    <mergeCell ref="BG55:BG57"/>
    <mergeCell ref="BG58:BG60"/>
    <mergeCell ref="BG61:BG63"/>
    <mergeCell ref="AQ92:AT94"/>
    <mergeCell ref="AU92:AX94"/>
    <mergeCell ref="AY92:BB94"/>
    <mergeCell ref="BC92:BF94"/>
    <mergeCell ref="AM92:AP94"/>
    <mergeCell ref="AU87:AX87"/>
    <mergeCell ref="AY87:BB87"/>
    <mergeCell ref="AY101:BB101"/>
    <mergeCell ref="BC101:BF101"/>
    <mergeCell ref="AA101:AD101"/>
    <mergeCell ref="AE101:AH101"/>
    <mergeCell ref="AI101:AL101"/>
    <mergeCell ref="AM101:AP101"/>
    <mergeCell ref="AQ101:AT101"/>
    <mergeCell ref="AU101:AX101"/>
    <mergeCell ref="AM100:AP100"/>
    <mergeCell ref="AQ100:AT100"/>
    <mergeCell ref="AU100:AX100"/>
    <mergeCell ref="AY100:BB100"/>
    <mergeCell ref="BC100:BF100"/>
    <mergeCell ref="C101:J101"/>
    <mergeCell ref="K101:N101"/>
    <mergeCell ref="O101:R101"/>
    <mergeCell ref="S101:V101"/>
    <mergeCell ref="W101:Z101"/>
    <mergeCell ref="AY99:BB99"/>
    <mergeCell ref="BC99:BF99"/>
    <mergeCell ref="C100:J100"/>
    <mergeCell ref="K100:N100"/>
    <mergeCell ref="O100:R100"/>
    <mergeCell ref="S100:V100"/>
    <mergeCell ref="W100:Z100"/>
    <mergeCell ref="AA100:AD100"/>
    <mergeCell ref="AE100:AH100"/>
    <mergeCell ref="AI100:AL100"/>
    <mergeCell ref="AA99:AD99"/>
    <mergeCell ref="AE99:AH99"/>
    <mergeCell ref="AI99:AL99"/>
    <mergeCell ref="AM99:AP99"/>
    <mergeCell ref="AQ99:AT99"/>
    <mergeCell ref="AU99:AX99"/>
    <mergeCell ref="D99:F99"/>
    <mergeCell ref="G99:J99"/>
    <mergeCell ref="K99:N99"/>
    <mergeCell ref="O99:R99"/>
    <mergeCell ref="S99:V99"/>
    <mergeCell ref="W99:Z99"/>
    <mergeCell ref="AI98:AL98"/>
    <mergeCell ref="AM98:AP98"/>
    <mergeCell ref="AQ98:AT98"/>
    <mergeCell ref="AU98:AX98"/>
    <mergeCell ref="AY98:BB98"/>
    <mergeCell ref="BC98:BF98"/>
    <mergeCell ref="AY97:BB97"/>
    <mergeCell ref="BC97:BF97"/>
    <mergeCell ref="D98:F98"/>
    <mergeCell ref="G98:J98"/>
    <mergeCell ref="K98:N98"/>
    <mergeCell ref="O98:R98"/>
    <mergeCell ref="S98:V98"/>
    <mergeCell ref="W98:Z98"/>
    <mergeCell ref="AA98:AD98"/>
    <mergeCell ref="AE98:AH98"/>
    <mergeCell ref="AA97:AD97"/>
    <mergeCell ref="AE97:AH97"/>
    <mergeCell ref="AI97:AL97"/>
    <mergeCell ref="AM97:AP97"/>
    <mergeCell ref="AQ97:AT97"/>
    <mergeCell ref="AU97:AX97"/>
    <mergeCell ref="D97:F97"/>
    <mergeCell ref="G97:J97"/>
    <mergeCell ref="K97:N97"/>
    <mergeCell ref="O97:R97"/>
    <mergeCell ref="S97:V97"/>
    <mergeCell ref="W97:Z97"/>
    <mergeCell ref="AI96:AL96"/>
    <mergeCell ref="AM96:AP96"/>
    <mergeCell ref="AQ96:AT96"/>
    <mergeCell ref="AU96:AX96"/>
    <mergeCell ref="AY96:BB96"/>
    <mergeCell ref="BC96:BF96"/>
    <mergeCell ref="AY95:BB95"/>
    <mergeCell ref="BC95:BF95"/>
    <mergeCell ref="D96:F96"/>
    <mergeCell ref="G96:J96"/>
    <mergeCell ref="K96:N96"/>
    <mergeCell ref="O96:R96"/>
    <mergeCell ref="S96:V96"/>
    <mergeCell ref="W96:Z96"/>
    <mergeCell ref="AA96:AD96"/>
    <mergeCell ref="AE96:AH96"/>
    <mergeCell ref="AA95:AD95"/>
    <mergeCell ref="AE95:AH95"/>
    <mergeCell ref="AI95:AL95"/>
    <mergeCell ref="AM95:AP95"/>
    <mergeCell ref="AQ95:AT95"/>
    <mergeCell ref="AU95:AX95"/>
    <mergeCell ref="D95:F95"/>
    <mergeCell ref="G95:J95"/>
    <mergeCell ref="K95:N95"/>
    <mergeCell ref="O95:R95"/>
    <mergeCell ref="S95:V95"/>
    <mergeCell ref="W95:Z95"/>
    <mergeCell ref="S92:V94"/>
    <mergeCell ref="W92:Z94"/>
    <mergeCell ref="AA92:AD94"/>
    <mergeCell ref="AE92:AH94"/>
    <mergeCell ref="AI92:AL94"/>
    <mergeCell ref="BC87:BF87"/>
    <mergeCell ref="C86:J86"/>
    <mergeCell ref="C87:J87"/>
    <mergeCell ref="C92:C94"/>
    <mergeCell ref="D92:F94"/>
    <mergeCell ref="G92:J94"/>
    <mergeCell ref="K92:N94"/>
    <mergeCell ref="O92:R94"/>
    <mergeCell ref="W87:Z87"/>
    <mergeCell ref="AA87:AD87"/>
    <mergeCell ref="AE87:AH87"/>
    <mergeCell ref="AI87:AL87"/>
    <mergeCell ref="AM87:AP87"/>
    <mergeCell ref="AQ87:AT87"/>
    <mergeCell ref="AM86:AP86"/>
    <mergeCell ref="AQ86:AT86"/>
    <mergeCell ref="AU86:AX86"/>
    <mergeCell ref="AY86:BB86"/>
    <mergeCell ref="BC86:BF86"/>
    <mergeCell ref="K87:N87"/>
    <mergeCell ref="O87:R87"/>
    <mergeCell ref="S87:V87"/>
    <mergeCell ref="D85:F85"/>
    <mergeCell ref="G85:J85"/>
    <mergeCell ref="K85:N85"/>
    <mergeCell ref="O85:R85"/>
    <mergeCell ref="S85:V85"/>
    <mergeCell ref="W85:Z85"/>
    <mergeCell ref="AA85:AD85"/>
    <mergeCell ref="BC85:BF85"/>
    <mergeCell ref="K86:N86"/>
    <mergeCell ref="O86:R86"/>
    <mergeCell ref="S86:V86"/>
    <mergeCell ref="W86:Z86"/>
    <mergeCell ref="AA86:AD86"/>
    <mergeCell ref="AE86:AH86"/>
    <mergeCell ref="AI86:AL86"/>
    <mergeCell ref="AE85:AH85"/>
    <mergeCell ref="AI85:AL85"/>
    <mergeCell ref="AM85:AP85"/>
    <mergeCell ref="AQ85:AT85"/>
    <mergeCell ref="AU85:AX85"/>
    <mergeCell ref="AY85:BB85"/>
    <mergeCell ref="AI83:AL83"/>
    <mergeCell ref="AM83:AP83"/>
    <mergeCell ref="AU83:AX83"/>
    <mergeCell ref="AY83:BB83"/>
    <mergeCell ref="BC83:BF83"/>
    <mergeCell ref="D84:F84"/>
    <mergeCell ref="G84:J84"/>
    <mergeCell ref="K84:N84"/>
    <mergeCell ref="O84:R84"/>
    <mergeCell ref="S84:V84"/>
    <mergeCell ref="W84:Z84"/>
    <mergeCell ref="AA84:AD84"/>
    <mergeCell ref="AE84:AH84"/>
    <mergeCell ref="AI84:AL84"/>
    <mergeCell ref="AM84:AP84"/>
    <mergeCell ref="AQ84:AT84"/>
    <mergeCell ref="AQ83:AT83"/>
    <mergeCell ref="AU84:AX84"/>
    <mergeCell ref="AY84:BB84"/>
    <mergeCell ref="BC84:BF84"/>
    <mergeCell ref="D83:F83"/>
    <mergeCell ref="G83:J83"/>
    <mergeCell ref="K83:N83"/>
    <mergeCell ref="O83:R83"/>
    <mergeCell ref="S83:V83"/>
    <mergeCell ref="W83:Z83"/>
    <mergeCell ref="AA83:AD83"/>
    <mergeCell ref="AE83:AH83"/>
    <mergeCell ref="W82:Z82"/>
    <mergeCell ref="AA82:AD82"/>
    <mergeCell ref="AE82:AH82"/>
    <mergeCell ref="D82:F82"/>
    <mergeCell ref="G82:J82"/>
    <mergeCell ref="K82:N82"/>
    <mergeCell ref="O82:R82"/>
    <mergeCell ref="S82:V82"/>
    <mergeCell ref="D81:F81"/>
    <mergeCell ref="BC81:BF81"/>
    <mergeCell ref="AA81:AD81"/>
    <mergeCell ref="AE81:AH81"/>
    <mergeCell ref="AI81:AL81"/>
    <mergeCell ref="AM81:AP81"/>
    <mergeCell ref="AQ81:AT81"/>
    <mergeCell ref="AU81:AX81"/>
    <mergeCell ref="AY82:BB82"/>
    <mergeCell ref="BC82:BF82"/>
    <mergeCell ref="AI82:AL82"/>
    <mergeCell ref="AM82:AP82"/>
    <mergeCell ref="AQ82:AT82"/>
    <mergeCell ref="AU82:AX82"/>
    <mergeCell ref="AQ78:AT80"/>
    <mergeCell ref="AU78:AX80"/>
    <mergeCell ref="AY78:BB80"/>
    <mergeCell ref="BC78:BF80"/>
    <mergeCell ref="G81:J81"/>
    <mergeCell ref="K81:N81"/>
    <mergeCell ref="O81:R81"/>
    <mergeCell ref="S81:V81"/>
    <mergeCell ref="W81:Z81"/>
    <mergeCell ref="AI78:AL80"/>
    <mergeCell ref="AM78:AP80"/>
    <mergeCell ref="AY81:BB81"/>
    <mergeCell ref="C78:C80"/>
    <mergeCell ref="D78:F80"/>
    <mergeCell ref="G78:J80"/>
    <mergeCell ref="K78:N80"/>
    <mergeCell ref="O78:R80"/>
    <mergeCell ref="S78:V80"/>
    <mergeCell ref="W78:Z80"/>
    <mergeCell ref="AA78:AD80"/>
    <mergeCell ref="AE78:AH80"/>
    <mergeCell ref="AL21:AR21"/>
    <mergeCell ref="AX5:BE9"/>
    <mergeCell ref="Z5:AR9"/>
    <mergeCell ref="AS22:AY23"/>
    <mergeCell ref="AS24:AY25"/>
    <mergeCell ref="O19:AD20"/>
    <mergeCell ref="AE19:AK20"/>
    <mergeCell ref="AZ19:BG20"/>
    <mergeCell ref="AZ21:BG21"/>
    <mergeCell ref="AZ24:BG25"/>
    <mergeCell ref="AZ22:BG23"/>
    <mergeCell ref="AE22:AK23"/>
    <mergeCell ref="AE24:AK25"/>
    <mergeCell ref="AS21:AY21"/>
    <mergeCell ref="AZ26:BG27"/>
    <mergeCell ref="C19:D20"/>
    <mergeCell ref="E19:I20"/>
    <mergeCell ref="E21:I21"/>
    <mergeCell ref="E22:I23"/>
    <mergeCell ref="E24:I25"/>
    <mergeCell ref="E26:I27"/>
    <mergeCell ref="J19:N20"/>
    <mergeCell ref="AL19:AR20"/>
    <mergeCell ref="AS19:AY20"/>
    <mergeCell ref="AS26:AY27"/>
    <mergeCell ref="AE26:AK27"/>
    <mergeCell ref="AL22:AR23"/>
    <mergeCell ref="AL24:AR25"/>
    <mergeCell ref="AL26:AR27"/>
    <mergeCell ref="J21:N21"/>
    <mergeCell ref="J22:N23"/>
    <mergeCell ref="J24:N25"/>
    <mergeCell ref="J26:N27"/>
    <mergeCell ref="O21:AD21"/>
    <mergeCell ref="O22:AD23"/>
    <mergeCell ref="O24:AD25"/>
    <mergeCell ref="O26:AD27"/>
    <mergeCell ref="AE21:AK21"/>
    <mergeCell ref="O52:R54"/>
    <mergeCell ref="O43:R45"/>
    <mergeCell ref="O38:R39"/>
    <mergeCell ref="O36:R37"/>
    <mergeCell ref="K64:BF66"/>
    <mergeCell ref="K67:BF69"/>
    <mergeCell ref="O58:R60"/>
    <mergeCell ref="O55:R57"/>
    <mergeCell ref="AM61:AP63"/>
    <mergeCell ref="AQ61:AT63"/>
    <mergeCell ref="AU61:AX63"/>
    <mergeCell ref="AY61:BB63"/>
    <mergeCell ref="BC61:BF63"/>
    <mergeCell ref="O61:R63"/>
    <mergeCell ref="S61:V63"/>
    <mergeCell ref="W61:Z63"/>
    <mergeCell ref="AA61:AD63"/>
    <mergeCell ref="AE61:AH63"/>
    <mergeCell ref="AI61:AL63"/>
    <mergeCell ref="AI58:AL60"/>
    <mergeCell ref="AM58:AP60"/>
    <mergeCell ref="AQ58:AT60"/>
    <mergeCell ref="AU58:AX60"/>
    <mergeCell ref="AE55:AH57"/>
    <mergeCell ref="AY58:BB60"/>
    <mergeCell ref="BC58:BF60"/>
    <mergeCell ref="AM55:AP57"/>
    <mergeCell ref="AQ55:AT57"/>
    <mergeCell ref="AU55:AX57"/>
    <mergeCell ref="AY55:BB57"/>
    <mergeCell ref="BC55:BF57"/>
    <mergeCell ref="S58:V60"/>
    <mergeCell ref="W58:Z60"/>
    <mergeCell ref="AA58:AD60"/>
    <mergeCell ref="AE58:AH60"/>
    <mergeCell ref="AM49:AP51"/>
    <mergeCell ref="AQ49:AT51"/>
    <mergeCell ref="AU49:AX51"/>
    <mergeCell ref="AY49:BB51"/>
    <mergeCell ref="BC49:BF51"/>
    <mergeCell ref="S52:V54"/>
    <mergeCell ref="W52:Z54"/>
    <mergeCell ref="AA52:AD54"/>
    <mergeCell ref="AE52:AH54"/>
    <mergeCell ref="AM52:AP54"/>
    <mergeCell ref="AQ52:AT54"/>
    <mergeCell ref="AU52:AX54"/>
    <mergeCell ref="AY52:BB54"/>
    <mergeCell ref="BC52:BF54"/>
    <mergeCell ref="BC43:BF45"/>
    <mergeCell ref="AU40:AX42"/>
    <mergeCell ref="AY40:BB42"/>
    <mergeCell ref="BC40:BF42"/>
    <mergeCell ref="S43:V45"/>
    <mergeCell ref="W43:Z45"/>
    <mergeCell ref="AA43:AD45"/>
    <mergeCell ref="AE43:AH45"/>
    <mergeCell ref="AI43:AL45"/>
    <mergeCell ref="AM43:AP45"/>
    <mergeCell ref="W40:Z42"/>
    <mergeCell ref="AA40:AD42"/>
    <mergeCell ref="AE40:AH42"/>
    <mergeCell ref="AI40:AL42"/>
    <mergeCell ref="AM40:AP42"/>
    <mergeCell ref="AQ40:AT42"/>
    <mergeCell ref="AQ43:AT45"/>
    <mergeCell ref="AU43:AX45"/>
    <mergeCell ref="AY43:BB45"/>
    <mergeCell ref="C40:J42"/>
    <mergeCell ref="C43:J45"/>
    <mergeCell ref="K40:N42"/>
    <mergeCell ref="K43:N45"/>
    <mergeCell ref="O40:R42"/>
    <mergeCell ref="S40:V42"/>
    <mergeCell ref="AQ36:AT37"/>
    <mergeCell ref="AU36:AX37"/>
    <mergeCell ref="AY36:BB37"/>
    <mergeCell ref="D38:J39"/>
    <mergeCell ref="C38:C39"/>
    <mergeCell ref="D36:J37"/>
    <mergeCell ref="C36:C37"/>
    <mergeCell ref="AQ38:AT39"/>
    <mergeCell ref="AU38:AX39"/>
    <mergeCell ref="AY38:BB39"/>
    <mergeCell ref="BC36:BF37"/>
    <mergeCell ref="S38:V39"/>
    <mergeCell ref="W38:Z39"/>
    <mergeCell ref="AA38:AD39"/>
    <mergeCell ref="AE38:AH39"/>
    <mergeCell ref="AI38:AL39"/>
    <mergeCell ref="AQ34:AT35"/>
    <mergeCell ref="AU34:AX35"/>
    <mergeCell ref="AY34:BB35"/>
    <mergeCell ref="BC34:BF35"/>
    <mergeCell ref="S36:V37"/>
    <mergeCell ref="W36:Z37"/>
    <mergeCell ref="AA36:AD37"/>
    <mergeCell ref="AE36:AH37"/>
    <mergeCell ref="AI36:AL37"/>
    <mergeCell ref="S34:V35"/>
    <mergeCell ref="W34:Z35"/>
    <mergeCell ref="AA34:AD35"/>
    <mergeCell ref="AE34:AH35"/>
    <mergeCell ref="AI34:AL35"/>
    <mergeCell ref="AM34:AP35"/>
    <mergeCell ref="BC38:BF39"/>
    <mergeCell ref="K34:N35"/>
    <mergeCell ref="K36:N37"/>
    <mergeCell ref="K38:N39"/>
    <mergeCell ref="O34:R35"/>
    <mergeCell ref="W33:Z33"/>
    <mergeCell ref="AA33:AD33"/>
    <mergeCell ref="AE33:AH33"/>
    <mergeCell ref="AI33:AL33"/>
    <mergeCell ref="AM33:AP33"/>
    <mergeCell ref="AM36:AP37"/>
    <mergeCell ref="AM38:AP39"/>
    <mergeCell ref="AM31:AP32"/>
    <mergeCell ref="AQ31:AT32"/>
    <mergeCell ref="AU31:AX32"/>
    <mergeCell ref="AY31:BB32"/>
    <mergeCell ref="BC31:BF32"/>
    <mergeCell ref="K33:N33"/>
    <mergeCell ref="K31:N32"/>
    <mergeCell ref="O31:R32"/>
    <mergeCell ref="S31:V32"/>
    <mergeCell ref="W31:Z32"/>
    <mergeCell ref="AA31:AD32"/>
    <mergeCell ref="AE31:AH32"/>
    <mergeCell ref="AI31:AL32"/>
    <mergeCell ref="O33:R33"/>
    <mergeCell ref="S33:V33"/>
    <mergeCell ref="AU33:AX33"/>
    <mergeCell ref="AY33:BB33"/>
    <mergeCell ref="BC33:BF33"/>
    <mergeCell ref="AQ33:AT33"/>
    <mergeCell ref="C67:J69"/>
    <mergeCell ref="C64:J66"/>
    <mergeCell ref="C58:J60"/>
    <mergeCell ref="C61:J63"/>
    <mergeCell ref="C55:J57"/>
    <mergeCell ref="AI55:AL57"/>
    <mergeCell ref="C52:J54"/>
    <mergeCell ref="AI52:AL54"/>
    <mergeCell ref="C46:J48"/>
    <mergeCell ref="C49:J51"/>
    <mergeCell ref="K49:N51"/>
    <mergeCell ref="K52:N54"/>
    <mergeCell ref="K55:N57"/>
    <mergeCell ref="K58:N60"/>
    <mergeCell ref="K61:N63"/>
    <mergeCell ref="O49:R51"/>
    <mergeCell ref="S49:V51"/>
    <mergeCell ref="W49:Z51"/>
    <mergeCell ref="AA49:AD51"/>
    <mergeCell ref="AE49:AH51"/>
    <mergeCell ref="AI49:AL51"/>
    <mergeCell ref="S55:V57"/>
    <mergeCell ref="W55:Z57"/>
    <mergeCell ref="AA55:AD57"/>
    <mergeCell ref="D34:J35"/>
    <mergeCell ref="C34:C35"/>
    <mergeCell ref="C31:C32"/>
    <mergeCell ref="D31:J32"/>
    <mergeCell ref="D33:J33"/>
    <mergeCell ref="C26:D27"/>
    <mergeCell ref="C24:D25"/>
    <mergeCell ref="C22:D23"/>
    <mergeCell ref="C21:D21"/>
  </mergeCells>
  <phoneticPr fontId="29" type="noConversion"/>
  <pageMargins left="0.25" right="0.25" top="0.75" bottom="0.75" header="0.3" footer="0.3"/>
  <pageSetup scale="37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816DA-659D-4593-AA5D-2ACD00AAEC9C}">
  <sheetPr>
    <pageSetUpPr fitToPage="1"/>
  </sheetPr>
  <dimension ref="C4:BR65"/>
  <sheetViews>
    <sheetView showGridLines="0" zoomScale="85" zoomScaleNormal="85" workbookViewId="0">
      <selection activeCell="AK34" sqref="AK34:AN34"/>
    </sheetView>
  </sheetViews>
  <sheetFormatPr defaultRowHeight="15" x14ac:dyDescent="0.25"/>
  <cols>
    <col min="2" max="2" width="8.7109375" customWidth="1"/>
    <col min="3" max="4" width="5.28515625" customWidth="1"/>
    <col min="5" max="6" width="5" customWidth="1"/>
    <col min="7" max="10" width="5.42578125" customWidth="1"/>
    <col min="11" max="11" width="4.5703125" customWidth="1"/>
    <col min="12" max="14" width="4.28515625" customWidth="1"/>
    <col min="15" max="15" width="3.42578125" customWidth="1"/>
    <col min="16" max="20" width="4.28515625" customWidth="1"/>
    <col min="21" max="21" width="4" customWidth="1"/>
    <col min="22" max="34" width="4.28515625" customWidth="1"/>
    <col min="35" max="35" width="5.28515625" customWidth="1"/>
    <col min="36" max="36" width="4.28515625" customWidth="1"/>
    <col min="37" max="37" width="4.7109375" customWidth="1"/>
    <col min="38" max="59" width="4.28515625" customWidth="1"/>
  </cols>
  <sheetData>
    <row r="4" spans="3:70" x14ac:dyDescent="0.25">
      <c r="C4" s="190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1"/>
      <c r="O4" s="257"/>
      <c r="P4" s="257"/>
      <c r="Q4" s="257"/>
      <c r="R4" s="257"/>
      <c r="S4" s="257"/>
      <c r="T4" s="257"/>
      <c r="U4" s="257"/>
      <c r="V4" s="257"/>
      <c r="W4" s="257"/>
      <c r="X4" s="257"/>
      <c r="Y4" s="257"/>
      <c r="Z4" s="257"/>
      <c r="AA4" s="192"/>
      <c r="AB4" s="192"/>
      <c r="AC4" s="192"/>
      <c r="AD4" s="192"/>
      <c r="AE4" s="192"/>
      <c r="AF4" s="192"/>
      <c r="AG4" s="192"/>
      <c r="AH4" s="192"/>
      <c r="AI4" s="192"/>
      <c r="AJ4" s="192"/>
      <c r="AK4" s="192"/>
      <c r="AL4" s="192"/>
      <c r="AM4" s="192"/>
      <c r="AN4" s="192"/>
      <c r="AO4" s="192"/>
      <c r="AP4" s="192"/>
      <c r="AQ4" s="192"/>
      <c r="AR4" s="192"/>
      <c r="AS4" s="192"/>
      <c r="AT4" s="192"/>
      <c r="AU4" s="192"/>
      <c r="AV4" s="192"/>
      <c r="AW4" s="192"/>
      <c r="AX4" s="192"/>
      <c r="AY4" s="192"/>
      <c r="AZ4" s="192"/>
      <c r="BA4" s="192"/>
      <c r="BB4" s="192"/>
      <c r="BC4" s="192"/>
      <c r="BD4" s="192"/>
      <c r="BE4" s="192"/>
      <c r="BF4" s="193"/>
    </row>
    <row r="5" spans="3:70" ht="15.6" customHeight="1" x14ac:dyDescent="0.4">
      <c r="C5" s="194"/>
      <c r="D5" s="170" t="s">
        <v>202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258"/>
      <c r="P5" s="258"/>
      <c r="Q5" s="258"/>
      <c r="R5" s="258"/>
      <c r="S5" s="258"/>
      <c r="T5" s="258"/>
      <c r="U5" s="258"/>
      <c r="V5" s="258"/>
      <c r="W5" s="993" t="s">
        <v>649</v>
      </c>
      <c r="X5" s="993"/>
      <c r="Y5" s="993"/>
      <c r="Z5" s="993"/>
      <c r="AA5" s="993"/>
      <c r="AB5" s="993"/>
      <c r="AC5" s="993"/>
      <c r="AD5" s="993"/>
      <c r="AE5" s="993"/>
      <c r="AF5" s="993"/>
      <c r="AG5" s="993"/>
      <c r="AH5" s="993"/>
      <c r="AI5" s="993"/>
      <c r="AJ5" s="993"/>
      <c r="AK5" s="993"/>
      <c r="AL5" s="993"/>
      <c r="AM5" s="993"/>
      <c r="AN5" s="993"/>
      <c r="AO5" s="993"/>
      <c r="AP5" s="248"/>
      <c r="AQ5" s="248"/>
      <c r="AR5" s="248"/>
      <c r="AS5" s="248"/>
      <c r="AT5" s="248"/>
      <c r="AU5" s="248"/>
      <c r="AV5" s="248"/>
      <c r="AW5" s="248"/>
      <c r="AX5" s="887" t="s">
        <v>648</v>
      </c>
      <c r="AY5" s="887"/>
      <c r="AZ5" s="887"/>
      <c r="BA5" s="887"/>
      <c r="BB5" s="887"/>
      <c r="BC5" s="887"/>
      <c r="BD5" s="887"/>
      <c r="BE5" s="887"/>
      <c r="BF5" s="195"/>
    </row>
    <row r="6" spans="3:70" ht="2.65" customHeight="1" x14ac:dyDescent="0.4">
      <c r="C6" s="19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258"/>
      <c r="P6" s="258"/>
      <c r="Q6" s="258"/>
      <c r="R6" s="258"/>
      <c r="S6" s="258"/>
      <c r="T6" s="258"/>
      <c r="U6" s="258"/>
      <c r="V6" s="258"/>
      <c r="W6" s="993"/>
      <c r="X6" s="993"/>
      <c r="Y6" s="993"/>
      <c r="Z6" s="993"/>
      <c r="AA6" s="993"/>
      <c r="AB6" s="993"/>
      <c r="AC6" s="993"/>
      <c r="AD6" s="993"/>
      <c r="AE6" s="993"/>
      <c r="AF6" s="993"/>
      <c r="AG6" s="993"/>
      <c r="AH6" s="993"/>
      <c r="AI6" s="993"/>
      <c r="AJ6" s="993"/>
      <c r="AK6" s="993"/>
      <c r="AL6" s="993"/>
      <c r="AM6" s="993"/>
      <c r="AN6" s="993"/>
      <c r="AO6" s="993"/>
      <c r="AP6" s="248"/>
      <c r="AQ6" s="248"/>
      <c r="AR6" s="248"/>
      <c r="AS6" s="248"/>
      <c r="AT6" s="248"/>
      <c r="AU6" s="248"/>
      <c r="AV6" s="248"/>
      <c r="AW6" s="248"/>
      <c r="AX6" s="887"/>
      <c r="AY6" s="887"/>
      <c r="AZ6" s="887"/>
      <c r="BA6" s="887"/>
      <c r="BB6" s="887"/>
      <c r="BC6" s="887"/>
      <c r="BD6" s="887"/>
      <c r="BE6" s="887"/>
      <c r="BF6" s="195"/>
    </row>
    <row r="7" spans="3:70" ht="14.65" customHeight="1" x14ac:dyDescent="0.4">
      <c r="C7" s="194"/>
      <c r="D7" s="224" t="s">
        <v>479</v>
      </c>
      <c r="E7" s="225"/>
      <c r="F7" s="225"/>
      <c r="G7" s="225"/>
      <c r="H7" s="225"/>
      <c r="I7" s="225"/>
      <c r="J7" s="225"/>
      <c r="K7" s="225"/>
      <c r="L7" s="225"/>
      <c r="M7" s="225"/>
      <c r="N7" s="225"/>
      <c r="O7" s="259"/>
      <c r="P7" s="259"/>
      <c r="Q7" s="259"/>
      <c r="R7" s="259"/>
      <c r="S7" s="259"/>
      <c r="T7" s="259"/>
      <c r="U7" s="259"/>
      <c r="V7" s="259"/>
      <c r="W7" s="993"/>
      <c r="X7" s="993"/>
      <c r="Y7" s="993"/>
      <c r="Z7" s="993"/>
      <c r="AA7" s="993"/>
      <c r="AB7" s="993"/>
      <c r="AC7" s="993"/>
      <c r="AD7" s="993"/>
      <c r="AE7" s="993"/>
      <c r="AF7" s="993"/>
      <c r="AG7" s="993"/>
      <c r="AH7" s="993"/>
      <c r="AI7" s="993"/>
      <c r="AJ7" s="993"/>
      <c r="AK7" s="993"/>
      <c r="AL7" s="993"/>
      <c r="AM7" s="993"/>
      <c r="AN7" s="993"/>
      <c r="AO7" s="993"/>
      <c r="AP7" s="248"/>
      <c r="AQ7" s="248"/>
      <c r="AR7" s="248"/>
      <c r="AS7" s="248"/>
      <c r="AT7" s="248"/>
      <c r="AU7" s="248"/>
      <c r="AV7" s="248"/>
      <c r="AW7" s="248"/>
      <c r="AX7" s="887"/>
      <c r="AY7" s="887"/>
      <c r="AZ7" s="887"/>
      <c r="BA7" s="887"/>
      <c r="BB7" s="887"/>
      <c r="BC7" s="887"/>
      <c r="BD7" s="887"/>
      <c r="BE7" s="887"/>
      <c r="BF7" s="195"/>
    </row>
    <row r="8" spans="3:70" ht="2.65" customHeight="1" x14ac:dyDescent="0.35">
      <c r="C8" s="194"/>
      <c r="D8" s="226"/>
      <c r="E8" s="225"/>
      <c r="F8" s="225"/>
      <c r="G8" s="225"/>
      <c r="H8" s="225"/>
      <c r="I8" s="225"/>
      <c r="J8" s="225"/>
      <c r="K8" s="225"/>
      <c r="L8" s="225"/>
      <c r="M8" s="225"/>
      <c r="N8" s="225"/>
      <c r="O8" s="259"/>
      <c r="P8" s="259"/>
      <c r="Q8" s="259"/>
      <c r="R8" s="259"/>
      <c r="S8" s="259"/>
      <c r="T8" s="259"/>
      <c r="U8" s="259"/>
      <c r="V8" s="259"/>
      <c r="W8" s="993"/>
      <c r="X8" s="993"/>
      <c r="Y8" s="993"/>
      <c r="Z8" s="993"/>
      <c r="AA8" s="993"/>
      <c r="AB8" s="993"/>
      <c r="AC8" s="993"/>
      <c r="AD8" s="993"/>
      <c r="AE8" s="993"/>
      <c r="AF8" s="993"/>
      <c r="AG8" s="993"/>
      <c r="AH8" s="993"/>
      <c r="AI8" s="993"/>
      <c r="AJ8" s="993"/>
      <c r="AK8" s="993"/>
      <c r="AL8" s="993"/>
      <c r="AM8" s="993"/>
      <c r="AN8" s="993"/>
      <c r="AO8" s="993"/>
      <c r="AP8" s="163"/>
      <c r="AQ8" s="163"/>
      <c r="AR8" s="163"/>
      <c r="AS8" s="163"/>
      <c r="AT8" s="163"/>
      <c r="AU8" s="163"/>
      <c r="AV8" s="163"/>
      <c r="AW8" s="163"/>
      <c r="AX8" s="887"/>
      <c r="AY8" s="887"/>
      <c r="AZ8" s="887"/>
      <c r="BA8" s="887"/>
      <c r="BB8" s="887"/>
      <c r="BC8" s="887"/>
      <c r="BD8" s="887"/>
      <c r="BE8" s="887"/>
      <c r="BF8" s="195"/>
    </row>
    <row r="9" spans="3:70" ht="18.600000000000001" customHeight="1" x14ac:dyDescent="0.25">
      <c r="C9" s="194"/>
      <c r="D9" s="224" t="s">
        <v>480</v>
      </c>
      <c r="E9" s="227"/>
      <c r="F9" s="227"/>
      <c r="G9" s="227"/>
      <c r="H9" s="227"/>
      <c r="I9" s="227"/>
      <c r="J9" s="227"/>
      <c r="K9" s="227"/>
      <c r="L9" s="227"/>
      <c r="M9" s="227"/>
      <c r="N9" s="227"/>
      <c r="O9" s="260"/>
      <c r="P9" s="260"/>
      <c r="Q9" s="260"/>
      <c r="R9" s="260"/>
      <c r="S9" s="260"/>
      <c r="T9" s="260"/>
      <c r="U9" s="260"/>
      <c r="V9" s="260"/>
      <c r="W9" s="993"/>
      <c r="X9" s="993"/>
      <c r="Y9" s="993"/>
      <c r="Z9" s="993"/>
      <c r="AA9" s="993"/>
      <c r="AB9" s="993"/>
      <c r="AC9" s="993"/>
      <c r="AD9" s="993"/>
      <c r="AE9" s="993"/>
      <c r="AF9" s="993"/>
      <c r="AG9" s="993"/>
      <c r="AH9" s="993"/>
      <c r="AI9" s="993"/>
      <c r="AJ9" s="993"/>
      <c r="AK9" s="993"/>
      <c r="AL9" s="993"/>
      <c r="AM9" s="993"/>
      <c r="AN9" s="993"/>
      <c r="AO9" s="993"/>
      <c r="AP9" s="249"/>
      <c r="AQ9" s="249"/>
      <c r="AR9" s="249"/>
      <c r="AS9" s="249"/>
      <c r="AT9" s="249"/>
      <c r="AU9" s="249"/>
      <c r="AV9" s="249"/>
      <c r="AW9" s="249"/>
      <c r="AX9" s="887"/>
      <c r="AY9" s="887"/>
      <c r="AZ9" s="887"/>
      <c r="BA9" s="887"/>
      <c r="BB9" s="887"/>
      <c r="BC9" s="887"/>
      <c r="BD9" s="887"/>
      <c r="BE9" s="887"/>
      <c r="BF9" s="195"/>
    </row>
    <row r="10" spans="3:70" ht="2.65" customHeight="1" x14ac:dyDescent="0.25">
      <c r="C10" s="194"/>
      <c r="D10" s="226"/>
      <c r="E10" s="227"/>
      <c r="F10" s="227"/>
      <c r="G10" s="227"/>
      <c r="H10" s="227"/>
      <c r="I10" s="227"/>
      <c r="J10" s="227"/>
      <c r="K10" s="227"/>
      <c r="L10" s="227"/>
      <c r="M10" s="227"/>
      <c r="N10" s="227"/>
      <c r="O10" s="260"/>
      <c r="P10" s="260"/>
      <c r="Q10" s="260"/>
      <c r="R10" s="260"/>
      <c r="S10" s="260"/>
      <c r="T10" s="260"/>
      <c r="U10" s="260"/>
      <c r="V10" s="260"/>
      <c r="W10" s="260"/>
      <c r="X10" s="260"/>
      <c r="Y10" s="260"/>
      <c r="Z10" s="260"/>
      <c r="AA10" s="163"/>
      <c r="AB10" s="250"/>
      <c r="AC10" s="250"/>
      <c r="AD10" s="249"/>
      <c r="AE10" s="249"/>
      <c r="AF10" s="249"/>
      <c r="AG10" s="249"/>
      <c r="AH10" s="249"/>
      <c r="AI10" s="249"/>
      <c r="AJ10" s="249"/>
      <c r="AK10" s="249"/>
      <c r="AL10" s="249"/>
      <c r="AM10" s="249"/>
      <c r="AN10" s="249"/>
      <c r="AO10" s="249"/>
      <c r="AP10" s="249"/>
      <c r="AQ10" s="249"/>
      <c r="AR10" s="249"/>
      <c r="AS10" s="249"/>
      <c r="AT10" s="249"/>
      <c r="AU10" s="249"/>
      <c r="AV10" s="249"/>
      <c r="AW10" s="249"/>
      <c r="AX10" s="7"/>
      <c r="AY10" s="228"/>
      <c r="AZ10" s="228"/>
      <c r="BA10" s="228"/>
      <c r="BB10" s="228"/>
      <c r="BC10" s="228"/>
      <c r="BD10" s="228"/>
      <c r="BE10" s="228"/>
      <c r="BF10" s="195"/>
    </row>
    <row r="11" spans="3:70" ht="14.65" customHeight="1" x14ac:dyDescent="0.25">
      <c r="C11" s="194"/>
      <c r="D11" s="224" t="s">
        <v>481</v>
      </c>
      <c r="E11" s="227"/>
      <c r="F11" s="227"/>
      <c r="G11" s="227"/>
      <c r="H11" s="227"/>
      <c r="I11" s="227"/>
      <c r="J11" s="227"/>
      <c r="K11" s="227"/>
      <c r="L11" s="227"/>
      <c r="M11" s="227"/>
      <c r="N11" s="227"/>
      <c r="O11" s="260"/>
      <c r="P11" s="260"/>
      <c r="Q11" s="260"/>
      <c r="R11" s="260"/>
      <c r="S11" s="260"/>
      <c r="T11" s="260"/>
      <c r="U11" s="260"/>
      <c r="V11" s="260"/>
      <c r="W11" s="260"/>
      <c r="X11" s="260"/>
      <c r="Y11" s="260"/>
      <c r="Z11" s="260"/>
      <c r="AA11" s="163"/>
      <c r="AB11" s="250"/>
      <c r="AC11" s="250"/>
      <c r="AD11" s="249"/>
      <c r="AE11" s="249"/>
      <c r="AF11" s="249"/>
      <c r="AG11" s="249"/>
      <c r="AH11" s="249"/>
      <c r="AI11" s="249"/>
      <c r="AJ11" s="249"/>
      <c r="AK11" s="249"/>
      <c r="AL11" s="249"/>
      <c r="AM11" s="249"/>
      <c r="AN11" s="249"/>
      <c r="AO11" s="249"/>
      <c r="AP11" s="249"/>
      <c r="AQ11" s="249"/>
      <c r="AR11" s="249"/>
      <c r="AS11" s="249"/>
      <c r="AT11" s="249"/>
      <c r="AU11" s="249"/>
      <c r="AV11" s="249"/>
      <c r="AW11" s="249"/>
      <c r="AX11" s="163"/>
      <c r="AY11" s="229"/>
      <c r="AZ11" s="229"/>
      <c r="BA11" s="229"/>
      <c r="BB11" s="229"/>
      <c r="BC11" s="229"/>
      <c r="BD11" s="229"/>
      <c r="BE11" s="229"/>
      <c r="BF11" s="195"/>
    </row>
    <row r="12" spans="3:70" ht="2.65" customHeight="1" x14ac:dyDescent="0.25">
      <c r="C12" s="194"/>
      <c r="D12" s="226"/>
      <c r="E12" s="227"/>
      <c r="F12" s="227"/>
      <c r="G12" s="227"/>
      <c r="H12" s="227"/>
      <c r="I12" s="227"/>
      <c r="J12" s="227"/>
      <c r="K12" s="227"/>
      <c r="L12" s="227"/>
      <c r="M12" s="227"/>
      <c r="N12" s="227"/>
      <c r="O12" s="260"/>
      <c r="P12" s="260"/>
      <c r="Q12" s="260"/>
      <c r="R12" s="260"/>
      <c r="S12" s="260"/>
      <c r="T12" s="260"/>
      <c r="U12" s="260"/>
      <c r="V12" s="260"/>
      <c r="W12" s="260"/>
      <c r="X12" s="260"/>
      <c r="Y12" s="260"/>
      <c r="Z12" s="260"/>
      <c r="AA12" s="163"/>
      <c r="AB12" s="171"/>
      <c r="AC12" s="172"/>
      <c r="AD12" s="163"/>
      <c r="AE12" s="163"/>
      <c r="AF12" s="163"/>
      <c r="AG12" s="163"/>
      <c r="AH12" s="163"/>
      <c r="AI12" s="163"/>
      <c r="AJ12" s="163"/>
      <c r="AK12" s="163"/>
      <c r="AL12" s="163"/>
      <c r="AM12" s="163"/>
      <c r="AN12" s="163"/>
      <c r="AO12" s="163"/>
      <c r="AP12" s="163"/>
      <c r="AQ12" s="163"/>
      <c r="AR12" s="163"/>
      <c r="AS12" s="163"/>
      <c r="AT12" s="163"/>
      <c r="AU12" s="163"/>
      <c r="AV12" s="163"/>
      <c r="AW12" s="163"/>
      <c r="AX12" s="163"/>
      <c r="AY12" s="196"/>
      <c r="AZ12" s="196"/>
      <c r="BA12" s="196"/>
      <c r="BB12" s="196"/>
      <c r="BC12" s="196"/>
      <c r="BD12" s="196"/>
      <c r="BE12" s="196"/>
      <c r="BF12" s="195"/>
    </row>
    <row r="13" spans="3:70" ht="16.5" customHeight="1" x14ac:dyDescent="0.25">
      <c r="C13" s="194"/>
      <c r="D13" s="224"/>
      <c r="E13" s="227"/>
      <c r="F13" s="227"/>
      <c r="G13" s="227"/>
      <c r="H13" s="227"/>
      <c r="I13" s="227"/>
      <c r="J13" s="227"/>
      <c r="K13" s="227"/>
      <c r="L13" s="227"/>
      <c r="M13" s="227"/>
      <c r="N13" s="227"/>
      <c r="O13" s="260"/>
      <c r="P13" s="260"/>
      <c r="Q13" s="260"/>
      <c r="R13" s="260"/>
      <c r="S13" s="260"/>
      <c r="T13" s="260"/>
      <c r="U13" s="163"/>
      <c r="V13" s="163"/>
      <c r="W13" s="345" t="s">
        <v>36</v>
      </c>
      <c r="X13" s="176"/>
      <c r="Y13" s="45"/>
      <c r="Z13" s="221"/>
      <c r="AA13" s="220"/>
      <c r="AB13" s="151"/>
      <c r="AC13" s="151"/>
      <c r="AD13" s="151"/>
      <c r="AE13" s="151"/>
      <c r="AF13" s="151"/>
      <c r="AG13" s="151"/>
      <c r="AH13" s="151"/>
      <c r="AI13" s="151"/>
      <c r="AJ13" s="151"/>
      <c r="AK13" s="151"/>
      <c r="AL13" s="151"/>
      <c r="AM13" s="151"/>
      <c r="AN13" s="151"/>
      <c r="AO13" s="151"/>
      <c r="AP13" s="163"/>
      <c r="AQ13" s="163"/>
      <c r="AR13" s="163"/>
      <c r="AS13" s="163"/>
      <c r="AT13" s="163"/>
      <c r="AU13" s="163"/>
      <c r="AV13" s="163"/>
      <c r="AW13" s="163"/>
      <c r="AX13" s="214" t="s">
        <v>11</v>
      </c>
      <c r="AY13" s="163"/>
      <c r="AZ13" s="163"/>
      <c r="BA13" s="163"/>
      <c r="BB13" s="152"/>
      <c r="BC13" s="152"/>
      <c r="BD13" s="152"/>
      <c r="BE13" s="152"/>
      <c r="BF13" s="195"/>
    </row>
    <row r="14" spans="3:70" ht="2.65" customHeight="1" x14ac:dyDescent="0.25">
      <c r="C14" s="194"/>
      <c r="D14" s="2"/>
      <c r="E14" s="175"/>
      <c r="F14" s="175"/>
      <c r="G14" s="175"/>
      <c r="H14" s="175"/>
      <c r="I14" s="175"/>
      <c r="J14" s="175"/>
      <c r="K14" s="175"/>
      <c r="L14" s="175"/>
      <c r="M14" s="175"/>
      <c r="N14" s="175"/>
      <c r="O14" s="261"/>
      <c r="P14" s="261"/>
      <c r="Q14" s="261"/>
      <c r="R14" s="261"/>
      <c r="S14" s="261"/>
      <c r="T14" s="261"/>
      <c r="U14" s="261"/>
      <c r="V14" s="261"/>
      <c r="W14" s="261"/>
      <c r="X14" s="261"/>
      <c r="Y14" s="261"/>
      <c r="Z14" s="261"/>
      <c r="AA14" s="163"/>
      <c r="AB14" s="176"/>
      <c r="AC14" s="176"/>
      <c r="AD14" s="163"/>
      <c r="AE14" s="163"/>
      <c r="AF14" s="163"/>
      <c r="AG14" s="163"/>
      <c r="AH14" s="163"/>
      <c r="AI14" s="163"/>
      <c r="AJ14" s="163"/>
      <c r="AK14" s="163"/>
      <c r="AL14" s="163"/>
      <c r="AM14" s="163"/>
      <c r="AN14" s="163"/>
      <c r="AO14" s="163"/>
      <c r="AP14" s="163"/>
      <c r="AQ14" s="163"/>
      <c r="AR14" s="163"/>
      <c r="AS14" s="163"/>
      <c r="AT14" s="163"/>
      <c r="AU14" s="163"/>
      <c r="AV14" s="163"/>
      <c r="AW14" s="163"/>
      <c r="AX14" s="163"/>
      <c r="AY14" s="163"/>
      <c r="AZ14" s="163"/>
      <c r="BA14" s="163"/>
      <c r="BB14" s="163"/>
      <c r="BC14" s="163"/>
      <c r="BD14" s="163"/>
      <c r="BE14" s="163"/>
      <c r="BF14" s="195"/>
    </row>
    <row r="15" spans="3:70" ht="16.5" customHeight="1" x14ac:dyDescent="0.25">
      <c r="C15" s="194"/>
      <c r="D15" s="17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258"/>
      <c r="P15" s="258"/>
      <c r="Q15" s="258"/>
      <c r="R15" s="258"/>
      <c r="S15" s="258"/>
      <c r="T15" s="258"/>
      <c r="U15" s="258"/>
      <c r="V15" s="258"/>
      <c r="W15" s="258"/>
      <c r="X15" s="258"/>
      <c r="Y15" s="258"/>
      <c r="Z15" s="258"/>
      <c r="AA15" s="163"/>
      <c r="AB15" s="163"/>
      <c r="AC15" s="163"/>
      <c r="AD15" s="163"/>
      <c r="AE15" s="163"/>
      <c r="AF15" s="163"/>
      <c r="AG15" s="163"/>
      <c r="AH15" s="163"/>
      <c r="AI15" s="163"/>
      <c r="AJ15" s="163"/>
      <c r="AK15" s="163"/>
      <c r="AL15" s="163"/>
      <c r="AM15" s="163"/>
      <c r="AN15" s="163"/>
      <c r="AO15" s="163"/>
      <c r="AP15" s="163"/>
      <c r="AQ15" s="163"/>
      <c r="AR15" s="163"/>
      <c r="AS15" s="163"/>
      <c r="AT15" s="163"/>
      <c r="AU15" s="163"/>
      <c r="AV15" s="163"/>
      <c r="AW15" s="163"/>
      <c r="AX15" s="163"/>
      <c r="AY15" s="163"/>
      <c r="AZ15" s="163"/>
      <c r="BA15" s="163"/>
      <c r="BB15" s="163"/>
      <c r="BC15" s="163"/>
      <c r="BD15" s="163"/>
      <c r="BE15" s="163"/>
      <c r="BF15" s="195"/>
    </row>
    <row r="16" spans="3:70" ht="21.6" customHeight="1" x14ac:dyDescent="0.25">
      <c r="C16" s="892" t="s">
        <v>482</v>
      </c>
      <c r="D16" s="889"/>
      <c r="E16" s="892" t="s">
        <v>483</v>
      </c>
      <c r="F16" s="794"/>
      <c r="G16" s="794"/>
      <c r="H16" s="794"/>
      <c r="I16" s="794"/>
      <c r="J16" s="794"/>
      <c r="K16" s="794"/>
      <c r="L16" s="794"/>
      <c r="M16" s="794"/>
      <c r="N16" s="889"/>
      <c r="O16" s="892" t="s">
        <v>484</v>
      </c>
      <c r="P16" s="794"/>
      <c r="Q16" s="794"/>
      <c r="R16" s="794"/>
      <c r="S16" s="794"/>
      <c r="T16" s="889"/>
      <c r="U16" s="892" t="s">
        <v>485</v>
      </c>
      <c r="V16" s="794"/>
      <c r="W16" s="794"/>
      <c r="X16" s="794"/>
      <c r="Y16" s="794"/>
      <c r="Z16" s="794"/>
      <c r="AA16" s="794"/>
      <c r="AB16" s="794"/>
      <c r="AC16" s="889"/>
      <c r="AD16" s="892" t="s">
        <v>486</v>
      </c>
      <c r="AE16" s="794"/>
      <c r="AF16" s="794"/>
      <c r="AG16" s="794"/>
      <c r="AH16" s="794"/>
      <c r="AI16" s="794"/>
      <c r="AJ16" s="794"/>
      <c r="AK16" s="764" t="s">
        <v>487</v>
      </c>
      <c r="AL16" s="764"/>
      <c r="AM16" s="764"/>
      <c r="AN16" s="764"/>
      <c r="AO16" s="764"/>
      <c r="AP16" s="764"/>
      <c r="AQ16" s="764"/>
      <c r="AR16" s="764"/>
      <c r="AS16" s="892" t="s">
        <v>490</v>
      </c>
      <c r="AT16" s="794"/>
      <c r="AU16" s="794"/>
      <c r="AV16" s="794"/>
      <c r="AW16" s="794"/>
      <c r="AX16" s="794"/>
      <c r="AY16" s="889"/>
      <c r="AZ16" s="892" t="s">
        <v>200</v>
      </c>
      <c r="BA16" s="794"/>
      <c r="BB16" s="794"/>
      <c r="BC16" s="794"/>
      <c r="BD16" s="794"/>
      <c r="BE16" s="794"/>
      <c r="BF16" s="889"/>
      <c r="BG16" s="153"/>
      <c r="BH16" s="153"/>
      <c r="BI16" s="153"/>
      <c r="BJ16" s="153"/>
      <c r="BK16" s="153"/>
      <c r="BL16" s="153"/>
      <c r="BM16" s="153"/>
      <c r="BN16" s="153"/>
      <c r="BO16" s="153"/>
      <c r="BP16" s="153"/>
      <c r="BQ16" s="154"/>
      <c r="BR16" s="154"/>
    </row>
    <row r="17" spans="3:58" ht="21.6" customHeight="1" x14ac:dyDescent="0.25">
      <c r="C17" s="744"/>
      <c r="D17" s="890"/>
      <c r="E17" s="744"/>
      <c r="F17" s="749"/>
      <c r="G17" s="749"/>
      <c r="H17" s="749"/>
      <c r="I17" s="749"/>
      <c r="J17" s="749"/>
      <c r="K17" s="749"/>
      <c r="L17" s="749"/>
      <c r="M17" s="749"/>
      <c r="N17" s="890"/>
      <c r="O17" s="744"/>
      <c r="P17" s="749"/>
      <c r="Q17" s="749"/>
      <c r="R17" s="749"/>
      <c r="S17" s="749"/>
      <c r="T17" s="890"/>
      <c r="U17" s="744"/>
      <c r="V17" s="749"/>
      <c r="W17" s="749"/>
      <c r="X17" s="749"/>
      <c r="Y17" s="749"/>
      <c r="Z17" s="749"/>
      <c r="AA17" s="749"/>
      <c r="AB17" s="749"/>
      <c r="AC17" s="890"/>
      <c r="AD17" s="744"/>
      <c r="AE17" s="749"/>
      <c r="AF17" s="749"/>
      <c r="AG17" s="749"/>
      <c r="AH17" s="749"/>
      <c r="AI17" s="749"/>
      <c r="AJ17" s="749"/>
      <c r="AK17" s="764"/>
      <c r="AL17" s="764"/>
      <c r="AM17" s="764"/>
      <c r="AN17" s="764"/>
      <c r="AO17" s="764"/>
      <c r="AP17" s="764"/>
      <c r="AQ17" s="764"/>
      <c r="AR17" s="764"/>
      <c r="AS17" s="744"/>
      <c r="AT17" s="749"/>
      <c r="AU17" s="749"/>
      <c r="AV17" s="749"/>
      <c r="AW17" s="749"/>
      <c r="AX17" s="749"/>
      <c r="AY17" s="890"/>
      <c r="AZ17" s="744"/>
      <c r="BA17" s="749"/>
      <c r="BB17" s="749"/>
      <c r="BC17" s="749"/>
      <c r="BD17" s="749"/>
      <c r="BE17" s="749"/>
      <c r="BF17" s="890"/>
    </row>
    <row r="18" spans="3:58" ht="21.6" customHeight="1" x14ac:dyDescent="0.25">
      <c r="C18" s="893"/>
      <c r="D18" s="891"/>
      <c r="E18" s="893"/>
      <c r="F18" s="796"/>
      <c r="G18" s="796"/>
      <c r="H18" s="796"/>
      <c r="I18" s="796"/>
      <c r="J18" s="796"/>
      <c r="K18" s="796"/>
      <c r="L18" s="796"/>
      <c r="M18" s="796"/>
      <c r="N18" s="891"/>
      <c r="O18" s="893"/>
      <c r="P18" s="796"/>
      <c r="Q18" s="796"/>
      <c r="R18" s="796"/>
      <c r="S18" s="796"/>
      <c r="T18" s="891"/>
      <c r="U18" s="893"/>
      <c r="V18" s="796"/>
      <c r="W18" s="796"/>
      <c r="X18" s="796"/>
      <c r="Y18" s="796"/>
      <c r="Z18" s="796"/>
      <c r="AA18" s="796"/>
      <c r="AB18" s="796"/>
      <c r="AC18" s="891"/>
      <c r="AD18" s="893"/>
      <c r="AE18" s="796"/>
      <c r="AF18" s="796"/>
      <c r="AG18" s="796"/>
      <c r="AH18" s="796"/>
      <c r="AI18" s="796"/>
      <c r="AJ18" s="796"/>
      <c r="AK18" s="764" t="s">
        <v>488</v>
      </c>
      <c r="AL18" s="764"/>
      <c r="AM18" s="764"/>
      <c r="AN18" s="764"/>
      <c r="AO18" s="764" t="s">
        <v>489</v>
      </c>
      <c r="AP18" s="764"/>
      <c r="AQ18" s="764"/>
      <c r="AR18" s="764"/>
      <c r="AS18" s="893"/>
      <c r="AT18" s="796"/>
      <c r="AU18" s="796"/>
      <c r="AV18" s="796"/>
      <c r="AW18" s="796"/>
      <c r="AX18" s="796"/>
      <c r="AY18" s="891"/>
      <c r="AZ18" s="893"/>
      <c r="BA18" s="796"/>
      <c r="BB18" s="796"/>
      <c r="BC18" s="796"/>
      <c r="BD18" s="796"/>
      <c r="BE18" s="796"/>
      <c r="BF18" s="891"/>
    </row>
    <row r="19" spans="3:58" ht="14.65" customHeight="1" x14ac:dyDescent="0.25">
      <c r="C19" s="861" t="s">
        <v>213</v>
      </c>
      <c r="D19" s="863"/>
      <c r="E19" s="861" t="s">
        <v>214</v>
      </c>
      <c r="F19" s="862"/>
      <c r="G19" s="862"/>
      <c r="H19" s="862"/>
      <c r="I19" s="862"/>
      <c r="J19" s="862"/>
      <c r="K19" s="862"/>
      <c r="L19" s="862"/>
      <c r="M19" s="862"/>
      <c r="N19" s="863"/>
      <c r="O19" s="861" t="s">
        <v>215</v>
      </c>
      <c r="P19" s="862"/>
      <c r="Q19" s="862"/>
      <c r="R19" s="862"/>
      <c r="S19" s="862"/>
      <c r="T19" s="863"/>
      <c r="U19" s="861" t="s">
        <v>216</v>
      </c>
      <c r="V19" s="862"/>
      <c r="W19" s="862"/>
      <c r="X19" s="862"/>
      <c r="Y19" s="862"/>
      <c r="Z19" s="862"/>
      <c r="AA19" s="862"/>
      <c r="AB19" s="862"/>
      <c r="AC19" s="863"/>
      <c r="AD19" s="861" t="s">
        <v>217</v>
      </c>
      <c r="AE19" s="862"/>
      <c r="AF19" s="862"/>
      <c r="AG19" s="862"/>
      <c r="AH19" s="862"/>
      <c r="AI19" s="862"/>
      <c r="AJ19" s="863"/>
      <c r="AK19" s="861" t="s">
        <v>218</v>
      </c>
      <c r="AL19" s="862"/>
      <c r="AM19" s="862"/>
      <c r="AN19" s="863"/>
      <c r="AO19" s="861" t="s">
        <v>219</v>
      </c>
      <c r="AP19" s="862"/>
      <c r="AQ19" s="862"/>
      <c r="AR19" s="863"/>
      <c r="AS19" s="861" t="s">
        <v>220</v>
      </c>
      <c r="AT19" s="862"/>
      <c r="AU19" s="862"/>
      <c r="AV19" s="862"/>
      <c r="AW19" s="862"/>
      <c r="AX19" s="862"/>
      <c r="AY19" s="863"/>
      <c r="AZ19" s="861" t="s">
        <v>223</v>
      </c>
      <c r="BA19" s="862"/>
      <c r="BB19" s="862"/>
      <c r="BC19" s="862"/>
      <c r="BD19" s="862"/>
      <c r="BE19" s="862"/>
      <c r="BF19" s="863"/>
    </row>
    <row r="20" spans="3:58" x14ac:dyDescent="0.25">
      <c r="C20" s="270"/>
      <c r="D20" s="272"/>
      <c r="E20" s="270" t="s">
        <v>138</v>
      </c>
      <c r="F20" s="271" t="s">
        <v>491</v>
      </c>
      <c r="G20" s="271"/>
      <c r="H20" s="271"/>
      <c r="I20" s="271"/>
      <c r="J20" s="271"/>
      <c r="K20" s="271"/>
      <c r="L20" s="271"/>
      <c r="M20" s="271"/>
      <c r="N20" s="272"/>
      <c r="O20" s="946"/>
      <c r="P20" s="946"/>
      <c r="Q20" s="946"/>
      <c r="R20" s="946"/>
      <c r="S20" s="946"/>
      <c r="T20" s="946"/>
      <c r="U20" s="754"/>
      <c r="V20" s="754"/>
      <c r="W20" s="754"/>
      <c r="X20" s="754"/>
      <c r="Y20" s="754"/>
      <c r="Z20" s="754"/>
      <c r="AA20" s="754"/>
      <c r="AB20" s="754"/>
      <c r="AC20" s="754"/>
      <c r="AD20" s="754"/>
      <c r="AE20" s="754"/>
      <c r="AF20" s="754"/>
      <c r="AG20" s="754"/>
      <c r="AH20" s="754"/>
      <c r="AI20" s="754"/>
      <c r="AJ20" s="754"/>
      <c r="AK20" s="754"/>
      <c r="AL20" s="754"/>
      <c r="AM20" s="754"/>
      <c r="AN20" s="754"/>
      <c r="AO20" s="754"/>
      <c r="AP20" s="754"/>
      <c r="AQ20" s="754"/>
      <c r="AR20" s="754"/>
      <c r="AS20" s="754"/>
      <c r="AT20" s="754"/>
      <c r="AU20" s="754"/>
      <c r="AV20" s="754"/>
      <c r="AW20" s="754"/>
      <c r="AX20" s="754"/>
      <c r="AY20" s="754"/>
      <c r="AZ20" s="754"/>
      <c r="BA20" s="754"/>
      <c r="BB20" s="754"/>
      <c r="BC20" s="754"/>
      <c r="BD20" s="754"/>
      <c r="BE20" s="754"/>
      <c r="BF20" s="754"/>
    </row>
    <row r="21" spans="3:58" x14ac:dyDescent="0.25">
      <c r="C21" s="207"/>
      <c r="D21" s="208"/>
      <c r="E21" s="207"/>
      <c r="F21" s="1" t="s">
        <v>28</v>
      </c>
      <c r="G21" s="1" t="s">
        <v>492</v>
      </c>
      <c r="H21" s="1"/>
      <c r="I21" s="1"/>
      <c r="J21" s="1"/>
      <c r="K21" s="1"/>
      <c r="L21" s="1"/>
      <c r="M21" s="1"/>
      <c r="N21" s="208"/>
      <c r="O21" s="946"/>
      <c r="P21" s="946"/>
      <c r="Q21" s="946"/>
      <c r="R21" s="946"/>
      <c r="S21" s="946"/>
      <c r="T21" s="946"/>
      <c r="U21" s="754"/>
      <c r="V21" s="754"/>
      <c r="W21" s="754"/>
      <c r="X21" s="754"/>
      <c r="Y21" s="754"/>
      <c r="Z21" s="754"/>
      <c r="AA21" s="754"/>
      <c r="AB21" s="754"/>
      <c r="AC21" s="754"/>
      <c r="AD21" s="754"/>
      <c r="AE21" s="754"/>
      <c r="AF21" s="754"/>
      <c r="AG21" s="754"/>
      <c r="AH21" s="754"/>
      <c r="AI21" s="754"/>
      <c r="AJ21" s="754"/>
      <c r="AK21" s="754"/>
      <c r="AL21" s="754"/>
      <c r="AM21" s="754"/>
      <c r="AN21" s="754"/>
      <c r="AO21" s="754"/>
      <c r="AP21" s="754"/>
      <c r="AQ21" s="754"/>
      <c r="AR21" s="754"/>
      <c r="AS21" s="754"/>
      <c r="AT21" s="754"/>
      <c r="AU21" s="754"/>
      <c r="AV21" s="754"/>
      <c r="AW21" s="754"/>
      <c r="AX21" s="754"/>
      <c r="AY21" s="754"/>
      <c r="AZ21" s="754"/>
      <c r="BA21" s="754"/>
      <c r="BB21" s="754"/>
      <c r="BC21" s="754"/>
      <c r="BD21" s="754"/>
      <c r="BE21" s="754"/>
      <c r="BF21" s="754"/>
    </row>
    <row r="22" spans="3:58" x14ac:dyDescent="0.25">
      <c r="C22" s="207"/>
      <c r="D22" s="208"/>
      <c r="E22" s="207"/>
      <c r="F22" s="1"/>
      <c r="G22" s="1" t="s">
        <v>30</v>
      </c>
      <c r="H22" s="1" t="s">
        <v>493</v>
      </c>
      <c r="I22" s="1"/>
      <c r="J22" s="1"/>
      <c r="K22" s="1"/>
      <c r="L22" s="1"/>
      <c r="M22" s="1"/>
      <c r="N22" s="208"/>
      <c r="O22" s="946"/>
      <c r="P22" s="946"/>
      <c r="Q22" s="946"/>
      <c r="R22" s="946"/>
      <c r="S22" s="946"/>
      <c r="T22" s="946"/>
      <c r="U22" s="754"/>
      <c r="V22" s="754"/>
      <c r="W22" s="754"/>
      <c r="X22" s="754"/>
      <c r="Y22" s="754"/>
      <c r="Z22" s="754"/>
      <c r="AA22" s="754"/>
      <c r="AB22" s="754"/>
      <c r="AC22" s="754"/>
      <c r="AD22" s="754"/>
      <c r="AE22" s="754"/>
      <c r="AF22" s="754"/>
      <c r="AG22" s="754"/>
      <c r="AH22" s="754"/>
      <c r="AI22" s="754"/>
      <c r="AJ22" s="754"/>
      <c r="AK22" s="754"/>
      <c r="AL22" s="754"/>
      <c r="AM22" s="754"/>
      <c r="AN22" s="754"/>
      <c r="AO22" s="754"/>
      <c r="AP22" s="754"/>
      <c r="AQ22" s="754"/>
      <c r="AR22" s="754"/>
      <c r="AS22" s="754"/>
      <c r="AT22" s="754"/>
      <c r="AU22" s="754"/>
      <c r="AV22" s="754"/>
      <c r="AW22" s="754"/>
      <c r="AX22" s="754"/>
      <c r="AY22" s="754"/>
      <c r="AZ22" s="754"/>
      <c r="BA22" s="754"/>
      <c r="BB22" s="754"/>
      <c r="BC22" s="754"/>
      <c r="BD22" s="754"/>
      <c r="BE22" s="754"/>
      <c r="BF22" s="754"/>
    </row>
    <row r="23" spans="3:58" x14ac:dyDescent="0.25">
      <c r="C23" s="207"/>
      <c r="D23" s="208"/>
      <c r="E23" s="207"/>
      <c r="F23" s="1"/>
      <c r="G23" s="1" t="s">
        <v>31</v>
      </c>
      <c r="H23" s="1" t="s">
        <v>493</v>
      </c>
      <c r="I23" s="1"/>
      <c r="J23" s="1"/>
      <c r="K23" s="1"/>
      <c r="L23" s="1"/>
      <c r="M23" s="1"/>
      <c r="N23" s="208"/>
      <c r="O23" s="946"/>
      <c r="P23" s="946"/>
      <c r="Q23" s="946"/>
      <c r="R23" s="946"/>
      <c r="S23" s="946"/>
      <c r="T23" s="946"/>
      <c r="U23" s="754"/>
      <c r="V23" s="754"/>
      <c r="W23" s="754"/>
      <c r="X23" s="754"/>
      <c r="Y23" s="754"/>
      <c r="Z23" s="754"/>
      <c r="AA23" s="754"/>
      <c r="AB23" s="754"/>
      <c r="AC23" s="754"/>
      <c r="AD23" s="754"/>
      <c r="AE23" s="754"/>
      <c r="AF23" s="754"/>
      <c r="AG23" s="754"/>
      <c r="AH23" s="754"/>
      <c r="AI23" s="754"/>
      <c r="AJ23" s="754"/>
      <c r="AK23" s="754"/>
      <c r="AL23" s="754"/>
      <c r="AM23" s="754"/>
      <c r="AN23" s="754"/>
      <c r="AO23" s="754"/>
      <c r="AP23" s="754"/>
      <c r="AQ23" s="754"/>
      <c r="AR23" s="754"/>
      <c r="AS23" s="754"/>
      <c r="AT23" s="754"/>
      <c r="AU23" s="754"/>
      <c r="AV23" s="754"/>
      <c r="AW23" s="754"/>
      <c r="AX23" s="754"/>
      <c r="AY23" s="754"/>
      <c r="AZ23" s="754"/>
      <c r="BA23" s="754"/>
      <c r="BB23" s="754"/>
      <c r="BC23" s="754"/>
      <c r="BD23" s="754"/>
      <c r="BE23" s="754"/>
      <c r="BF23" s="754"/>
    </row>
    <row r="24" spans="3:58" x14ac:dyDescent="0.25">
      <c r="C24" s="207"/>
      <c r="D24" s="208"/>
      <c r="E24" s="207"/>
      <c r="F24" s="1"/>
      <c r="G24" s="1" t="s">
        <v>32</v>
      </c>
      <c r="H24" s="1" t="s">
        <v>493</v>
      </c>
      <c r="I24" s="1"/>
      <c r="J24" s="1"/>
      <c r="K24" s="1"/>
      <c r="L24" s="1"/>
      <c r="M24" s="1"/>
      <c r="N24" s="208"/>
      <c r="O24" s="946"/>
      <c r="P24" s="946"/>
      <c r="Q24" s="946"/>
      <c r="R24" s="946"/>
      <c r="S24" s="946"/>
      <c r="T24" s="946"/>
      <c r="U24" s="754"/>
      <c r="V24" s="754"/>
      <c r="W24" s="754"/>
      <c r="X24" s="754"/>
      <c r="Y24" s="754"/>
      <c r="Z24" s="754"/>
      <c r="AA24" s="754"/>
      <c r="AB24" s="754"/>
      <c r="AC24" s="754"/>
      <c r="AD24" s="754"/>
      <c r="AE24" s="754"/>
      <c r="AF24" s="754"/>
      <c r="AG24" s="754"/>
      <c r="AH24" s="754"/>
      <c r="AI24" s="754"/>
      <c r="AJ24" s="754"/>
      <c r="AK24" s="754"/>
      <c r="AL24" s="754"/>
      <c r="AM24" s="754"/>
      <c r="AN24" s="754"/>
      <c r="AO24" s="754"/>
      <c r="AP24" s="754"/>
      <c r="AQ24" s="754"/>
      <c r="AR24" s="754"/>
      <c r="AS24" s="754"/>
      <c r="AT24" s="754"/>
      <c r="AU24" s="754"/>
      <c r="AV24" s="754"/>
      <c r="AW24" s="754"/>
      <c r="AX24" s="754"/>
      <c r="AY24" s="754"/>
      <c r="AZ24" s="754"/>
      <c r="BA24" s="754"/>
      <c r="BB24" s="754"/>
      <c r="BC24" s="754"/>
      <c r="BD24" s="754"/>
      <c r="BE24" s="754"/>
      <c r="BF24" s="754"/>
    </row>
    <row r="25" spans="3:58" x14ac:dyDescent="0.25">
      <c r="C25" s="207"/>
      <c r="D25" s="208"/>
      <c r="E25" s="207"/>
      <c r="F25" s="1" t="s">
        <v>51</v>
      </c>
      <c r="G25" s="1" t="s">
        <v>494</v>
      </c>
      <c r="H25" s="1"/>
      <c r="I25" s="1"/>
      <c r="J25" s="1"/>
      <c r="K25" s="1"/>
      <c r="L25" s="1"/>
      <c r="M25" s="1"/>
      <c r="N25" s="208"/>
      <c r="O25" s="946"/>
      <c r="P25" s="946"/>
      <c r="Q25" s="946"/>
      <c r="R25" s="946"/>
      <c r="S25" s="946"/>
      <c r="T25" s="946"/>
      <c r="U25" s="754"/>
      <c r="V25" s="754"/>
      <c r="W25" s="754"/>
      <c r="X25" s="754"/>
      <c r="Y25" s="754"/>
      <c r="Z25" s="754"/>
      <c r="AA25" s="754"/>
      <c r="AB25" s="754"/>
      <c r="AC25" s="754"/>
      <c r="AD25" s="754"/>
      <c r="AE25" s="754"/>
      <c r="AF25" s="754"/>
      <c r="AG25" s="754"/>
      <c r="AH25" s="754"/>
      <c r="AI25" s="754"/>
      <c r="AJ25" s="754"/>
      <c r="AK25" s="754"/>
      <c r="AL25" s="754"/>
      <c r="AM25" s="754"/>
      <c r="AN25" s="754"/>
      <c r="AO25" s="754"/>
      <c r="AP25" s="754"/>
      <c r="AQ25" s="754"/>
      <c r="AR25" s="754"/>
      <c r="AS25" s="754"/>
      <c r="AT25" s="754"/>
      <c r="AU25" s="754"/>
      <c r="AV25" s="754"/>
      <c r="AW25" s="754"/>
      <c r="AX25" s="754"/>
      <c r="AY25" s="754"/>
      <c r="AZ25" s="754"/>
      <c r="BA25" s="754"/>
      <c r="BB25" s="754"/>
      <c r="BC25" s="754"/>
      <c r="BD25" s="754"/>
      <c r="BE25" s="754"/>
      <c r="BF25" s="754"/>
    </row>
    <row r="26" spans="3:58" x14ac:dyDescent="0.25">
      <c r="C26" s="207"/>
      <c r="D26" s="208"/>
      <c r="E26" s="207"/>
      <c r="F26" s="1"/>
      <c r="G26" s="1" t="s">
        <v>30</v>
      </c>
      <c r="H26" s="1" t="s">
        <v>493</v>
      </c>
      <c r="I26" s="1"/>
      <c r="J26" s="1"/>
      <c r="K26" s="1"/>
      <c r="L26" s="1"/>
      <c r="M26" s="1"/>
      <c r="N26" s="208"/>
      <c r="O26" s="946"/>
      <c r="P26" s="946"/>
      <c r="Q26" s="946"/>
      <c r="R26" s="946"/>
      <c r="S26" s="946"/>
      <c r="T26" s="946"/>
      <c r="U26" s="754"/>
      <c r="V26" s="754"/>
      <c r="W26" s="754"/>
      <c r="X26" s="754"/>
      <c r="Y26" s="754"/>
      <c r="Z26" s="754"/>
      <c r="AA26" s="754"/>
      <c r="AB26" s="754"/>
      <c r="AC26" s="754"/>
      <c r="AD26" s="754"/>
      <c r="AE26" s="754"/>
      <c r="AF26" s="754"/>
      <c r="AG26" s="754"/>
      <c r="AH26" s="754"/>
      <c r="AI26" s="754"/>
      <c r="AJ26" s="754"/>
      <c r="AK26" s="754"/>
      <c r="AL26" s="754"/>
      <c r="AM26" s="754"/>
      <c r="AN26" s="754"/>
      <c r="AO26" s="754"/>
      <c r="AP26" s="754"/>
      <c r="AQ26" s="754"/>
      <c r="AR26" s="754"/>
      <c r="AS26" s="754"/>
      <c r="AT26" s="754"/>
      <c r="AU26" s="754"/>
      <c r="AV26" s="754"/>
      <c r="AW26" s="754"/>
      <c r="AX26" s="754"/>
      <c r="AY26" s="754"/>
      <c r="AZ26" s="754"/>
      <c r="BA26" s="754"/>
      <c r="BB26" s="754"/>
      <c r="BC26" s="754"/>
      <c r="BD26" s="754"/>
      <c r="BE26" s="754"/>
      <c r="BF26" s="754"/>
    </row>
    <row r="27" spans="3:58" x14ac:dyDescent="0.25">
      <c r="C27" s="207"/>
      <c r="D27" s="208"/>
      <c r="E27" s="207"/>
      <c r="F27" s="1"/>
      <c r="G27" s="1" t="s">
        <v>31</v>
      </c>
      <c r="H27" s="1" t="s">
        <v>493</v>
      </c>
      <c r="I27" s="1"/>
      <c r="J27" s="1"/>
      <c r="K27" s="1"/>
      <c r="L27" s="1"/>
      <c r="M27" s="1"/>
      <c r="N27" s="208"/>
      <c r="O27" s="946"/>
      <c r="P27" s="946"/>
      <c r="Q27" s="946"/>
      <c r="R27" s="946"/>
      <c r="S27" s="946"/>
      <c r="T27" s="946"/>
      <c r="U27" s="754"/>
      <c r="V27" s="754"/>
      <c r="W27" s="754"/>
      <c r="X27" s="754"/>
      <c r="Y27" s="754"/>
      <c r="Z27" s="754"/>
      <c r="AA27" s="754"/>
      <c r="AB27" s="754"/>
      <c r="AC27" s="754"/>
      <c r="AD27" s="754"/>
      <c r="AE27" s="754"/>
      <c r="AF27" s="754"/>
      <c r="AG27" s="754"/>
      <c r="AH27" s="754"/>
      <c r="AI27" s="754"/>
      <c r="AJ27" s="754"/>
      <c r="AK27" s="754"/>
      <c r="AL27" s="754"/>
      <c r="AM27" s="754"/>
      <c r="AN27" s="754"/>
      <c r="AO27" s="754"/>
      <c r="AP27" s="754"/>
      <c r="AQ27" s="754"/>
      <c r="AR27" s="754"/>
      <c r="AS27" s="754"/>
      <c r="AT27" s="754"/>
      <c r="AU27" s="754"/>
      <c r="AV27" s="754"/>
      <c r="AW27" s="754"/>
      <c r="AX27" s="754"/>
      <c r="AY27" s="754"/>
      <c r="AZ27" s="754"/>
      <c r="BA27" s="754"/>
      <c r="BB27" s="754"/>
      <c r="BC27" s="754"/>
      <c r="BD27" s="754"/>
      <c r="BE27" s="754"/>
      <c r="BF27" s="754"/>
    </row>
    <row r="28" spans="3:58" x14ac:dyDescent="0.25">
      <c r="C28" s="207"/>
      <c r="D28" s="208"/>
      <c r="E28" s="207"/>
      <c r="F28" s="1"/>
      <c r="G28" s="1" t="s">
        <v>32</v>
      </c>
      <c r="H28" s="1" t="s">
        <v>493</v>
      </c>
      <c r="I28" s="1"/>
      <c r="J28" s="1"/>
      <c r="K28" s="1"/>
      <c r="L28" s="1"/>
      <c r="M28" s="1"/>
      <c r="N28" s="208"/>
      <c r="O28" s="946"/>
      <c r="P28" s="946"/>
      <c r="Q28" s="946"/>
      <c r="R28" s="946"/>
      <c r="S28" s="946"/>
      <c r="T28" s="946"/>
      <c r="U28" s="754"/>
      <c r="V28" s="754"/>
      <c r="W28" s="754"/>
      <c r="X28" s="754"/>
      <c r="Y28" s="754"/>
      <c r="Z28" s="754"/>
      <c r="AA28" s="754"/>
      <c r="AB28" s="754"/>
      <c r="AC28" s="754"/>
      <c r="AD28" s="754"/>
      <c r="AE28" s="754"/>
      <c r="AF28" s="754"/>
      <c r="AG28" s="754"/>
      <c r="AH28" s="754"/>
      <c r="AI28" s="754"/>
      <c r="AJ28" s="754"/>
      <c r="AK28" s="754"/>
      <c r="AL28" s="754"/>
      <c r="AM28" s="754"/>
      <c r="AN28" s="754"/>
      <c r="AO28" s="754"/>
      <c r="AP28" s="754"/>
      <c r="AQ28" s="754"/>
      <c r="AR28" s="754"/>
      <c r="AS28" s="754"/>
      <c r="AT28" s="754"/>
      <c r="AU28" s="754"/>
      <c r="AV28" s="754"/>
      <c r="AW28" s="754"/>
      <c r="AX28" s="754"/>
      <c r="AY28" s="754"/>
      <c r="AZ28" s="754"/>
      <c r="BA28" s="754"/>
      <c r="BB28" s="754"/>
      <c r="BC28" s="754"/>
      <c r="BD28" s="754"/>
      <c r="BE28" s="754"/>
      <c r="BF28" s="754"/>
    </row>
    <row r="29" spans="3:58" x14ac:dyDescent="0.25">
      <c r="C29" s="207"/>
      <c r="D29" s="208"/>
      <c r="E29" s="207"/>
      <c r="F29" s="1" t="s">
        <v>81</v>
      </c>
      <c r="G29" s="1" t="s">
        <v>495</v>
      </c>
      <c r="H29" s="1"/>
      <c r="I29" s="1"/>
      <c r="J29" s="1"/>
      <c r="K29" s="1"/>
      <c r="L29" s="1"/>
      <c r="M29" s="1"/>
      <c r="N29" s="208"/>
      <c r="O29" s="946"/>
      <c r="P29" s="946"/>
      <c r="Q29" s="946"/>
      <c r="R29" s="946"/>
      <c r="S29" s="946"/>
      <c r="T29" s="946"/>
      <c r="U29" s="754"/>
      <c r="V29" s="754"/>
      <c r="W29" s="754"/>
      <c r="X29" s="754"/>
      <c r="Y29" s="754"/>
      <c r="Z29" s="754"/>
      <c r="AA29" s="754"/>
      <c r="AB29" s="754"/>
      <c r="AC29" s="754"/>
      <c r="AD29" s="754"/>
      <c r="AE29" s="754"/>
      <c r="AF29" s="754"/>
      <c r="AG29" s="754"/>
      <c r="AH29" s="754"/>
      <c r="AI29" s="754"/>
      <c r="AJ29" s="754"/>
      <c r="AK29" s="754"/>
      <c r="AL29" s="754"/>
      <c r="AM29" s="754"/>
      <c r="AN29" s="754"/>
      <c r="AO29" s="754"/>
      <c r="AP29" s="754"/>
      <c r="AQ29" s="754"/>
      <c r="AR29" s="754"/>
      <c r="AS29" s="754"/>
      <c r="AT29" s="754"/>
      <c r="AU29" s="754"/>
      <c r="AV29" s="754"/>
      <c r="AW29" s="754"/>
      <c r="AX29" s="754"/>
      <c r="AY29" s="754"/>
      <c r="AZ29" s="754"/>
      <c r="BA29" s="754"/>
      <c r="BB29" s="754"/>
      <c r="BC29" s="754"/>
      <c r="BD29" s="754"/>
      <c r="BE29" s="754"/>
      <c r="BF29" s="754"/>
    </row>
    <row r="30" spans="3:58" x14ac:dyDescent="0.25">
      <c r="C30" s="207"/>
      <c r="D30" s="208"/>
      <c r="E30" s="207"/>
      <c r="F30" s="1"/>
      <c r="G30" s="1" t="s">
        <v>30</v>
      </c>
      <c r="H30" s="1" t="s">
        <v>493</v>
      </c>
      <c r="I30" s="1"/>
      <c r="J30" s="1"/>
      <c r="K30" s="1"/>
      <c r="L30" s="1"/>
      <c r="M30" s="1"/>
      <c r="N30" s="208"/>
      <c r="O30" s="946"/>
      <c r="P30" s="946"/>
      <c r="Q30" s="946"/>
      <c r="R30" s="946"/>
      <c r="S30" s="946"/>
      <c r="T30" s="946"/>
      <c r="U30" s="754"/>
      <c r="V30" s="754"/>
      <c r="W30" s="754"/>
      <c r="X30" s="754"/>
      <c r="Y30" s="754"/>
      <c r="Z30" s="754"/>
      <c r="AA30" s="754"/>
      <c r="AB30" s="754"/>
      <c r="AC30" s="754"/>
      <c r="AD30" s="754"/>
      <c r="AE30" s="754"/>
      <c r="AF30" s="754"/>
      <c r="AG30" s="754"/>
      <c r="AH30" s="754"/>
      <c r="AI30" s="754"/>
      <c r="AJ30" s="754"/>
      <c r="AK30" s="754"/>
      <c r="AL30" s="754"/>
      <c r="AM30" s="754"/>
      <c r="AN30" s="754"/>
      <c r="AO30" s="754"/>
      <c r="AP30" s="754"/>
      <c r="AQ30" s="754"/>
      <c r="AR30" s="754"/>
      <c r="AS30" s="754"/>
      <c r="AT30" s="754"/>
      <c r="AU30" s="754"/>
      <c r="AV30" s="754"/>
      <c r="AW30" s="754"/>
      <c r="AX30" s="754"/>
      <c r="AY30" s="754"/>
      <c r="AZ30" s="754"/>
      <c r="BA30" s="754"/>
      <c r="BB30" s="754"/>
      <c r="BC30" s="754"/>
      <c r="BD30" s="754"/>
      <c r="BE30" s="754"/>
      <c r="BF30" s="754"/>
    </row>
    <row r="31" spans="3:58" x14ac:dyDescent="0.25">
      <c r="C31" s="207"/>
      <c r="D31" s="208"/>
      <c r="E31" s="207"/>
      <c r="F31" s="1"/>
      <c r="G31" s="1" t="s">
        <v>31</v>
      </c>
      <c r="H31" s="1" t="s">
        <v>493</v>
      </c>
      <c r="I31" s="1"/>
      <c r="J31" s="1"/>
      <c r="K31" s="1"/>
      <c r="L31" s="1"/>
      <c r="M31" s="1"/>
      <c r="N31" s="208"/>
      <c r="O31" s="946"/>
      <c r="P31" s="946"/>
      <c r="Q31" s="946"/>
      <c r="R31" s="946"/>
      <c r="S31" s="946"/>
      <c r="T31" s="946"/>
      <c r="U31" s="754"/>
      <c r="V31" s="754"/>
      <c r="W31" s="754"/>
      <c r="X31" s="754"/>
      <c r="Y31" s="754"/>
      <c r="Z31" s="754"/>
      <c r="AA31" s="754"/>
      <c r="AB31" s="754"/>
      <c r="AC31" s="754"/>
      <c r="AD31" s="754"/>
      <c r="AE31" s="754"/>
      <c r="AF31" s="754"/>
      <c r="AG31" s="754"/>
      <c r="AH31" s="754"/>
      <c r="AI31" s="754"/>
      <c r="AJ31" s="754"/>
      <c r="AK31" s="754"/>
      <c r="AL31" s="754"/>
      <c r="AM31" s="754"/>
      <c r="AN31" s="754"/>
      <c r="AO31" s="754"/>
      <c r="AP31" s="754"/>
      <c r="AQ31" s="754"/>
      <c r="AR31" s="754"/>
      <c r="AS31" s="754"/>
      <c r="AT31" s="754"/>
      <c r="AU31" s="754"/>
      <c r="AV31" s="754"/>
      <c r="AW31" s="754"/>
      <c r="AX31" s="754"/>
      <c r="AY31" s="754"/>
      <c r="AZ31" s="754"/>
      <c r="BA31" s="754"/>
      <c r="BB31" s="754"/>
      <c r="BC31" s="754"/>
      <c r="BD31" s="754"/>
      <c r="BE31" s="754"/>
      <c r="BF31" s="754"/>
    </row>
    <row r="32" spans="3:58" x14ac:dyDescent="0.25">
      <c r="C32" s="207"/>
      <c r="D32" s="208"/>
      <c r="E32" s="207"/>
      <c r="F32" s="1"/>
      <c r="G32" s="1" t="s">
        <v>32</v>
      </c>
      <c r="H32" s="1" t="s">
        <v>493</v>
      </c>
      <c r="I32" s="1"/>
      <c r="J32" s="1"/>
      <c r="K32" s="1"/>
      <c r="L32" s="1"/>
      <c r="M32" s="1"/>
      <c r="N32" s="208"/>
      <c r="O32" s="946"/>
      <c r="P32" s="946"/>
      <c r="Q32" s="946"/>
      <c r="R32" s="946"/>
      <c r="S32" s="946"/>
      <c r="T32" s="946"/>
      <c r="U32" s="754"/>
      <c r="V32" s="754"/>
      <c r="W32" s="754"/>
      <c r="X32" s="754"/>
      <c r="Y32" s="754"/>
      <c r="Z32" s="754"/>
      <c r="AA32" s="754"/>
      <c r="AB32" s="754"/>
      <c r="AC32" s="754"/>
      <c r="AD32" s="754"/>
      <c r="AE32" s="754"/>
      <c r="AF32" s="754"/>
      <c r="AG32" s="754"/>
      <c r="AH32" s="754"/>
      <c r="AI32" s="754"/>
      <c r="AJ32" s="754"/>
      <c r="AK32" s="754"/>
      <c r="AL32" s="754"/>
      <c r="AM32" s="754"/>
      <c r="AN32" s="754"/>
      <c r="AO32" s="754"/>
      <c r="AP32" s="754"/>
      <c r="AQ32" s="754"/>
      <c r="AR32" s="754"/>
      <c r="AS32" s="754"/>
      <c r="AT32" s="754"/>
      <c r="AU32" s="754"/>
      <c r="AV32" s="754"/>
      <c r="AW32" s="754"/>
      <c r="AX32" s="754"/>
      <c r="AY32" s="754"/>
      <c r="AZ32" s="754"/>
      <c r="BA32" s="754"/>
      <c r="BB32" s="754"/>
      <c r="BC32" s="754"/>
      <c r="BD32" s="754"/>
      <c r="BE32" s="754"/>
      <c r="BF32" s="754"/>
    </row>
    <row r="33" spans="3:58" x14ac:dyDescent="0.25">
      <c r="C33" s="207"/>
      <c r="D33" s="208"/>
      <c r="E33" s="207"/>
      <c r="F33" s="1" t="s">
        <v>95</v>
      </c>
      <c r="G33" s="1" t="s">
        <v>496</v>
      </c>
      <c r="H33" s="1"/>
      <c r="I33" s="1"/>
      <c r="J33" s="1"/>
      <c r="K33" s="1"/>
      <c r="L33" s="1"/>
      <c r="M33" s="1"/>
      <c r="N33" s="208"/>
      <c r="O33" s="946"/>
      <c r="P33" s="946"/>
      <c r="Q33" s="946"/>
      <c r="R33" s="946"/>
      <c r="S33" s="946"/>
      <c r="T33" s="946"/>
      <c r="U33" s="754"/>
      <c r="V33" s="754"/>
      <c r="W33" s="754"/>
      <c r="X33" s="754"/>
      <c r="Y33" s="754"/>
      <c r="Z33" s="754"/>
      <c r="AA33" s="754"/>
      <c r="AB33" s="754"/>
      <c r="AC33" s="754"/>
      <c r="AD33" s="754"/>
      <c r="AE33" s="754"/>
      <c r="AF33" s="754"/>
      <c r="AG33" s="754"/>
      <c r="AH33" s="754"/>
      <c r="AI33" s="754"/>
      <c r="AJ33" s="754"/>
      <c r="AK33" s="754"/>
      <c r="AL33" s="754"/>
      <c r="AM33" s="754"/>
      <c r="AN33" s="754"/>
      <c r="AO33" s="754"/>
      <c r="AP33" s="754"/>
      <c r="AQ33" s="754"/>
      <c r="AR33" s="754"/>
      <c r="AS33" s="754"/>
      <c r="AT33" s="754"/>
      <c r="AU33" s="754"/>
      <c r="AV33" s="754"/>
      <c r="AW33" s="754"/>
      <c r="AX33" s="754"/>
      <c r="AY33" s="754"/>
      <c r="AZ33" s="754"/>
      <c r="BA33" s="754"/>
      <c r="BB33" s="754"/>
      <c r="BC33" s="754"/>
      <c r="BD33" s="754"/>
      <c r="BE33" s="754"/>
      <c r="BF33" s="754"/>
    </row>
    <row r="34" spans="3:58" x14ac:dyDescent="0.25">
      <c r="C34" s="207"/>
      <c r="D34" s="208"/>
      <c r="E34" s="207"/>
      <c r="F34" s="1"/>
      <c r="G34" s="1" t="s">
        <v>30</v>
      </c>
      <c r="H34" s="1" t="s">
        <v>493</v>
      </c>
      <c r="I34" s="1"/>
      <c r="J34" s="1"/>
      <c r="K34" s="1"/>
      <c r="L34" s="1"/>
      <c r="M34" s="1"/>
      <c r="N34" s="208"/>
      <c r="O34" s="946"/>
      <c r="P34" s="946"/>
      <c r="Q34" s="946"/>
      <c r="R34" s="946"/>
      <c r="S34" s="946"/>
      <c r="T34" s="946"/>
      <c r="U34" s="754"/>
      <c r="V34" s="754"/>
      <c r="W34" s="754"/>
      <c r="X34" s="754"/>
      <c r="Y34" s="754"/>
      <c r="Z34" s="754"/>
      <c r="AA34" s="754"/>
      <c r="AB34" s="754"/>
      <c r="AC34" s="754"/>
      <c r="AD34" s="754"/>
      <c r="AE34" s="754"/>
      <c r="AF34" s="754"/>
      <c r="AG34" s="754"/>
      <c r="AH34" s="754"/>
      <c r="AI34" s="754"/>
      <c r="AJ34" s="754"/>
      <c r="AK34" s="754"/>
      <c r="AL34" s="754"/>
      <c r="AM34" s="754"/>
      <c r="AN34" s="754"/>
      <c r="AO34" s="754"/>
      <c r="AP34" s="754"/>
      <c r="AQ34" s="754"/>
      <c r="AR34" s="754"/>
      <c r="AS34" s="754"/>
      <c r="AT34" s="754"/>
      <c r="AU34" s="754"/>
      <c r="AV34" s="754"/>
      <c r="AW34" s="754"/>
      <c r="AX34" s="754"/>
      <c r="AY34" s="754"/>
      <c r="AZ34" s="754"/>
      <c r="BA34" s="754"/>
      <c r="BB34" s="754"/>
      <c r="BC34" s="754"/>
      <c r="BD34" s="754"/>
      <c r="BE34" s="754"/>
      <c r="BF34" s="754"/>
    </row>
    <row r="35" spans="3:58" x14ac:dyDescent="0.25">
      <c r="C35" s="207"/>
      <c r="D35" s="208"/>
      <c r="E35" s="207"/>
      <c r="F35" s="1"/>
      <c r="G35" s="1" t="s">
        <v>31</v>
      </c>
      <c r="H35" s="1" t="s">
        <v>493</v>
      </c>
      <c r="I35" s="1"/>
      <c r="J35" s="1"/>
      <c r="K35" s="1"/>
      <c r="L35" s="1"/>
      <c r="M35" s="1"/>
      <c r="N35" s="208"/>
      <c r="O35" s="946"/>
      <c r="P35" s="946"/>
      <c r="Q35" s="946"/>
      <c r="R35" s="946"/>
      <c r="S35" s="946"/>
      <c r="T35" s="946"/>
      <c r="U35" s="754"/>
      <c r="V35" s="754"/>
      <c r="W35" s="754"/>
      <c r="X35" s="754"/>
      <c r="Y35" s="754"/>
      <c r="Z35" s="754"/>
      <c r="AA35" s="754"/>
      <c r="AB35" s="754"/>
      <c r="AC35" s="754"/>
      <c r="AD35" s="754"/>
      <c r="AE35" s="754"/>
      <c r="AF35" s="754"/>
      <c r="AG35" s="754"/>
      <c r="AH35" s="754"/>
      <c r="AI35" s="754"/>
      <c r="AJ35" s="754"/>
      <c r="AK35" s="754"/>
      <c r="AL35" s="754"/>
      <c r="AM35" s="754"/>
      <c r="AN35" s="754"/>
      <c r="AO35" s="754"/>
      <c r="AP35" s="754"/>
      <c r="AQ35" s="754"/>
      <c r="AR35" s="754"/>
      <c r="AS35" s="754"/>
      <c r="AT35" s="754"/>
      <c r="AU35" s="754"/>
      <c r="AV35" s="754"/>
      <c r="AW35" s="754"/>
      <c r="AX35" s="754"/>
      <c r="AY35" s="754"/>
      <c r="AZ35" s="754"/>
      <c r="BA35" s="754"/>
      <c r="BB35" s="754"/>
      <c r="BC35" s="754"/>
      <c r="BD35" s="754"/>
      <c r="BE35" s="754"/>
      <c r="BF35" s="754"/>
    </row>
    <row r="36" spans="3:58" x14ac:dyDescent="0.25">
      <c r="C36" s="207"/>
      <c r="D36" s="208"/>
      <c r="E36" s="207"/>
      <c r="F36" s="1"/>
      <c r="G36" s="1" t="s">
        <v>32</v>
      </c>
      <c r="H36" s="1" t="s">
        <v>493</v>
      </c>
      <c r="I36" s="1"/>
      <c r="J36" s="1"/>
      <c r="K36" s="1"/>
      <c r="L36" s="1"/>
      <c r="M36" s="1"/>
      <c r="N36" s="208"/>
      <c r="O36" s="946"/>
      <c r="P36" s="946"/>
      <c r="Q36" s="946"/>
      <c r="R36" s="946"/>
      <c r="S36" s="946"/>
      <c r="T36" s="946"/>
      <c r="U36" s="754"/>
      <c r="V36" s="754"/>
      <c r="W36" s="754"/>
      <c r="X36" s="754"/>
      <c r="Y36" s="754"/>
      <c r="Z36" s="754"/>
      <c r="AA36" s="754"/>
      <c r="AB36" s="754"/>
      <c r="AC36" s="754"/>
      <c r="AD36" s="754"/>
      <c r="AE36" s="754"/>
      <c r="AF36" s="754"/>
      <c r="AG36" s="754"/>
      <c r="AH36" s="754"/>
      <c r="AI36" s="754"/>
      <c r="AJ36" s="754"/>
      <c r="AK36" s="754"/>
      <c r="AL36" s="754"/>
      <c r="AM36" s="754"/>
      <c r="AN36" s="754"/>
      <c r="AO36" s="754"/>
      <c r="AP36" s="754"/>
      <c r="AQ36" s="754"/>
      <c r="AR36" s="754"/>
      <c r="AS36" s="754"/>
      <c r="AT36" s="754"/>
      <c r="AU36" s="754"/>
      <c r="AV36" s="754"/>
      <c r="AW36" s="754"/>
      <c r="AX36" s="754"/>
      <c r="AY36" s="754"/>
      <c r="AZ36" s="754"/>
      <c r="BA36" s="754"/>
      <c r="BB36" s="754"/>
      <c r="BC36" s="754"/>
      <c r="BD36" s="754"/>
      <c r="BE36" s="754"/>
      <c r="BF36" s="754"/>
    </row>
    <row r="37" spans="3:58" x14ac:dyDescent="0.25">
      <c r="C37" s="207"/>
      <c r="D37" s="208"/>
      <c r="E37" s="207"/>
      <c r="F37" s="1" t="s">
        <v>119</v>
      </c>
      <c r="G37" s="1" t="s">
        <v>497</v>
      </c>
      <c r="H37" s="1"/>
      <c r="I37" s="1"/>
      <c r="J37" s="1"/>
      <c r="K37" s="1"/>
      <c r="L37" s="1"/>
      <c r="M37" s="1"/>
      <c r="N37" s="208"/>
      <c r="O37" s="946"/>
      <c r="P37" s="946"/>
      <c r="Q37" s="946"/>
      <c r="R37" s="946"/>
      <c r="S37" s="946"/>
      <c r="T37" s="946"/>
      <c r="U37" s="754"/>
      <c r="V37" s="754"/>
      <c r="W37" s="754"/>
      <c r="X37" s="754"/>
      <c r="Y37" s="754"/>
      <c r="Z37" s="754"/>
      <c r="AA37" s="754"/>
      <c r="AB37" s="754"/>
      <c r="AC37" s="754"/>
      <c r="AD37" s="754"/>
      <c r="AE37" s="754"/>
      <c r="AF37" s="754"/>
      <c r="AG37" s="754"/>
      <c r="AH37" s="754"/>
      <c r="AI37" s="754"/>
      <c r="AJ37" s="754"/>
      <c r="AK37" s="754"/>
      <c r="AL37" s="754"/>
      <c r="AM37" s="754"/>
      <c r="AN37" s="754"/>
      <c r="AO37" s="754"/>
      <c r="AP37" s="754"/>
      <c r="AQ37" s="754"/>
      <c r="AR37" s="754"/>
      <c r="AS37" s="754"/>
      <c r="AT37" s="754"/>
      <c r="AU37" s="754"/>
      <c r="AV37" s="754"/>
      <c r="AW37" s="754"/>
      <c r="AX37" s="754"/>
      <c r="AY37" s="754"/>
      <c r="AZ37" s="754"/>
      <c r="BA37" s="754"/>
      <c r="BB37" s="754"/>
      <c r="BC37" s="754"/>
      <c r="BD37" s="754"/>
      <c r="BE37" s="754"/>
      <c r="BF37" s="754"/>
    </row>
    <row r="38" spans="3:58" x14ac:dyDescent="0.25">
      <c r="C38" s="207"/>
      <c r="D38" s="208"/>
      <c r="E38" s="207"/>
      <c r="F38" s="1"/>
      <c r="G38" s="1" t="s">
        <v>30</v>
      </c>
      <c r="H38" s="1" t="s">
        <v>493</v>
      </c>
      <c r="I38" s="1"/>
      <c r="J38" s="1"/>
      <c r="K38" s="1"/>
      <c r="L38" s="1"/>
      <c r="M38" s="1"/>
      <c r="N38" s="208"/>
      <c r="O38" s="946"/>
      <c r="P38" s="946"/>
      <c r="Q38" s="946"/>
      <c r="R38" s="946"/>
      <c r="S38" s="946"/>
      <c r="T38" s="946"/>
      <c r="U38" s="754"/>
      <c r="V38" s="754"/>
      <c r="W38" s="754"/>
      <c r="X38" s="754"/>
      <c r="Y38" s="754"/>
      <c r="Z38" s="754"/>
      <c r="AA38" s="754"/>
      <c r="AB38" s="754"/>
      <c r="AC38" s="754"/>
      <c r="AD38" s="754"/>
      <c r="AE38" s="754"/>
      <c r="AF38" s="754"/>
      <c r="AG38" s="754"/>
      <c r="AH38" s="754"/>
      <c r="AI38" s="754"/>
      <c r="AJ38" s="754"/>
      <c r="AK38" s="754"/>
      <c r="AL38" s="754"/>
      <c r="AM38" s="754"/>
      <c r="AN38" s="754"/>
      <c r="AO38" s="754"/>
      <c r="AP38" s="754"/>
      <c r="AQ38" s="754"/>
      <c r="AR38" s="754"/>
      <c r="AS38" s="754"/>
      <c r="AT38" s="754"/>
      <c r="AU38" s="754"/>
      <c r="AV38" s="754"/>
      <c r="AW38" s="754"/>
      <c r="AX38" s="754"/>
      <c r="AY38" s="754"/>
      <c r="AZ38" s="754"/>
      <c r="BA38" s="754"/>
      <c r="BB38" s="754"/>
      <c r="BC38" s="754"/>
      <c r="BD38" s="754"/>
      <c r="BE38" s="754"/>
      <c r="BF38" s="754"/>
    </row>
    <row r="39" spans="3:58" x14ac:dyDescent="0.25">
      <c r="C39" s="207"/>
      <c r="D39" s="208"/>
      <c r="E39" s="207"/>
      <c r="F39" s="1"/>
      <c r="G39" s="1" t="s">
        <v>31</v>
      </c>
      <c r="H39" s="1" t="s">
        <v>493</v>
      </c>
      <c r="I39" s="1"/>
      <c r="J39" s="1"/>
      <c r="K39" s="1"/>
      <c r="L39" s="1"/>
      <c r="M39" s="1"/>
      <c r="N39" s="208"/>
      <c r="O39" s="946"/>
      <c r="P39" s="946"/>
      <c r="Q39" s="946"/>
      <c r="R39" s="946"/>
      <c r="S39" s="946"/>
      <c r="T39" s="946"/>
      <c r="U39" s="754"/>
      <c r="V39" s="754"/>
      <c r="W39" s="754"/>
      <c r="X39" s="754"/>
      <c r="Y39" s="754"/>
      <c r="Z39" s="754"/>
      <c r="AA39" s="754"/>
      <c r="AB39" s="754"/>
      <c r="AC39" s="754"/>
      <c r="AD39" s="754"/>
      <c r="AE39" s="754"/>
      <c r="AF39" s="754"/>
      <c r="AG39" s="754"/>
      <c r="AH39" s="754"/>
      <c r="AI39" s="754"/>
      <c r="AJ39" s="754"/>
      <c r="AK39" s="754"/>
      <c r="AL39" s="754"/>
      <c r="AM39" s="754"/>
      <c r="AN39" s="754"/>
      <c r="AO39" s="754"/>
      <c r="AP39" s="754"/>
      <c r="AQ39" s="754"/>
      <c r="AR39" s="754"/>
      <c r="AS39" s="754"/>
      <c r="AT39" s="754"/>
      <c r="AU39" s="754"/>
      <c r="AV39" s="754"/>
      <c r="AW39" s="754"/>
      <c r="AX39" s="754"/>
      <c r="AY39" s="754"/>
      <c r="AZ39" s="754"/>
      <c r="BA39" s="754"/>
      <c r="BB39" s="754"/>
      <c r="BC39" s="754"/>
      <c r="BD39" s="754"/>
      <c r="BE39" s="754"/>
      <c r="BF39" s="754"/>
    </row>
    <row r="40" spans="3:58" x14ac:dyDescent="0.25">
      <c r="C40" s="207"/>
      <c r="D40" s="208"/>
      <c r="E40" s="207"/>
      <c r="F40" s="1"/>
      <c r="G40" s="1" t="s">
        <v>32</v>
      </c>
      <c r="H40" s="1" t="s">
        <v>493</v>
      </c>
      <c r="I40" s="1"/>
      <c r="J40" s="1"/>
      <c r="K40" s="1"/>
      <c r="L40" s="1"/>
      <c r="M40" s="1"/>
      <c r="N40" s="208"/>
      <c r="O40" s="946"/>
      <c r="P40" s="946"/>
      <c r="Q40" s="946"/>
      <c r="R40" s="946"/>
      <c r="S40" s="946"/>
      <c r="T40" s="946"/>
      <c r="U40" s="754"/>
      <c r="V40" s="754"/>
      <c r="W40" s="754"/>
      <c r="X40" s="754"/>
      <c r="Y40" s="754"/>
      <c r="Z40" s="754"/>
      <c r="AA40" s="754"/>
      <c r="AB40" s="754"/>
      <c r="AC40" s="754"/>
      <c r="AD40" s="754"/>
      <c r="AE40" s="754"/>
      <c r="AF40" s="754"/>
      <c r="AG40" s="754"/>
      <c r="AH40" s="754"/>
      <c r="AI40" s="754"/>
      <c r="AJ40" s="754"/>
      <c r="AK40" s="754"/>
      <c r="AL40" s="754"/>
      <c r="AM40" s="754"/>
      <c r="AN40" s="754"/>
      <c r="AO40" s="754"/>
      <c r="AP40" s="754"/>
      <c r="AQ40" s="754"/>
      <c r="AR40" s="754"/>
      <c r="AS40" s="754"/>
      <c r="AT40" s="754"/>
      <c r="AU40" s="754"/>
      <c r="AV40" s="754"/>
      <c r="AW40" s="754"/>
      <c r="AX40" s="754"/>
      <c r="AY40" s="754"/>
      <c r="AZ40" s="754"/>
      <c r="BA40" s="754"/>
      <c r="BB40" s="754"/>
      <c r="BC40" s="754"/>
      <c r="BD40" s="754"/>
      <c r="BE40" s="754"/>
      <c r="BF40" s="754"/>
    </row>
    <row r="41" spans="3:58" x14ac:dyDescent="0.25">
      <c r="C41" s="207"/>
      <c r="D41" s="208"/>
      <c r="E41" s="207" t="s">
        <v>498</v>
      </c>
      <c r="F41" s="1" t="s">
        <v>499</v>
      </c>
      <c r="G41" s="1"/>
      <c r="H41" s="1"/>
      <c r="I41" s="1"/>
      <c r="J41" s="1"/>
      <c r="K41" s="1"/>
      <c r="L41" s="1"/>
      <c r="M41" s="1"/>
      <c r="N41" s="208"/>
      <c r="O41" s="946"/>
      <c r="P41" s="946"/>
      <c r="Q41" s="946"/>
      <c r="R41" s="946"/>
      <c r="S41" s="946"/>
      <c r="T41" s="946"/>
      <c r="U41" s="754"/>
      <c r="V41" s="754"/>
      <c r="W41" s="754"/>
      <c r="X41" s="754"/>
      <c r="Y41" s="754"/>
      <c r="Z41" s="754"/>
      <c r="AA41" s="754"/>
      <c r="AB41" s="754"/>
      <c r="AC41" s="754"/>
      <c r="AD41" s="754"/>
      <c r="AE41" s="754"/>
      <c r="AF41" s="754"/>
      <c r="AG41" s="754"/>
      <c r="AH41" s="754"/>
      <c r="AI41" s="754"/>
      <c r="AJ41" s="754"/>
      <c r="AK41" s="754"/>
      <c r="AL41" s="754"/>
      <c r="AM41" s="754"/>
      <c r="AN41" s="754"/>
      <c r="AO41" s="754"/>
      <c r="AP41" s="754"/>
      <c r="AQ41" s="754"/>
      <c r="AR41" s="754"/>
      <c r="AS41" s="754"/>
      <c r="AT41" s="754"/>
      <c r="AU41" s="754"/>
      <c r="AV41" s="754"/>
      <c r="AW41" s="754"/>
      <c r="AX41" s="754"/>
      <c r="AY41" s="754"/>
      <c r="AZ41" s="754"/>
      <c r="BA41" s="754"/>
      <c r="BB41" s="754"/>
      <c r="BC41" s="754"/>
      <c r="BD41" s="754"/>
      <c r="BE41" s="754"/>
      <c r="BF41" s="754"/>
    </row>
    <row r="42" spans="3:58" x14ac:dyDescent="0.25">
      <c r="C42" s="207"/>
      <c r="D42" s="208"/>
      <c r="E42" s="207"/>
      <c r="F42" s="1" t="s">
        <v>28</v>
      </c>
      <c r="G42" s="1" t="s">
        <v>500</v>
      </c>
      <c r="H42" s="1"/>
      <c r="I42" s="1"/>
      <c r="J42" s="1"/>
      <c r="K42" s="1"/>
      <c r="L42" s="1"/>
      <c r="M42" s="1"/>
      <c r="N42" s="208"/>
      <c r="O42" s="946"/>
      <c r="P42" s="946"/>
      <c r="Q42" s="946"/>
      <c r="R42" s="946"/>
      <c r="S42" s="946"/>
      <c r="T42" s="946"/>
      <c r="U42" s="754"/>
      <c r="V42" s="754"/>
      <c r="W42" s="754"/>
      <c r="X42" s="754"/>
      <c r="Y42" s="754"/>
      <c r="Z42" s="754"/>
      <c r="AA42" s="754"/>
      <c r="AB42" s="754"/>
      <c r="AC42" s="754"/>
      <c r="AD42" s="754"/>
      <c r="AE42" s="754"/>
      <c r="AF42" s="754"/>
      <c r="AG42" s="754"/>
      <c r="AH42" s="754"/>
      <c r="AI42" s="754"/>
      <c r="AJ42" s="754"/>
      <c r="AK42" s="754"/>
      <c r="AL42" s="754"/>
      <c r="AM42" s="754"/>
      <c r="AN42" s="754"/>
      <c r="AO42" s="754"/>
      <c r="AP42" s="754"/>
      <c r="AQ42" s="754"/>
      <c r="AR42" s="754"/>
      <c r="AS42" s="754"/>
      <c r="AT42" s="754"/>
      <c r="AU42" s="754"/>
      <c r="AV42" s="754"/>
      <c r="AW42" s="754"/>
      <c r="AX42" s="754"/>
      <c r="AY42" s="754"/>
      <c r="AZ42" s="754"/>
      <c r="BA42" s="754"/>
      <c r="BB42" s="754"/>
      <c r="BC42" s="754"/>
      <c r="BD42" s="754"/>
      <c r="BE42" s="754"/>
      <c r="BF42" s="754"/>
    </row>
    <row r="43" spans="3:58" x14ac:dyDescent="0.25">
      <c r="C43" s="207"/>
      <c r="D43" s="208"/>
      <c r="E43" s="207"/>
      <c r="F43" s="1"/>
      <c r="G43" s="1" t="s">
        <v>30</v>
      </c>
      <c r="H43" s="1" t="s">
        <v>493</v>
      </c>
      <c r="I43" s="1"/>
      <c r="J43" s="1"/>
      <c r="K43" s="1"/>
      <c r="L43" s="1"/>
      <c r="M43" s="1"/>
      <c r="N43" s="208"/>
      <c r="O43" s="946"/>
      <c r="P43" s="946"/>
      <c r="Q43" s="946"/>
      <c r="R43" s="946"/>
      <c r="S43" s="946"/>
      <c r="T43" s="946"/>
      <c r="U43" s="754"/>
      <c r="V43" s="754"/>
      <c r="W43" s="754"/>
      <c r="X43" s="754"/>
      <c r="Y43" s="754"/>
      <c r="Z43" s="754"/>
      <c r="AA43" s="754"/>
      <c r="AB43" s="754"/>
      <c r="AC43" s="754"/>
      <c r="AD43" s="754"/>
      <c r="AE43" s="754"/>
      <c r="AF43" s="754"/>
      <c r="AG43" s="754"/>
      <c r="AH43" s="754"/>
      <c r="AI43" s="754"/>
      <c r="AJ43" s="754"/>
      <c r="AK43" s="754"/>
      <c r="AL43" s="754"/>
      <c r="AM43" s="754"/>
      <c r="AN43" s="754"/>
      <c r="AO43" s="754"/>
      <c r="AP43" s="754"/>
      <c r="AQ43" s="754"/>
      <c r="AR43" s="754"/>
      <c r="AS43" s="754"/>
      <c r="AT43" s="754"/>
      <c r="AU43" s="754"/>
      <c r="AV43" s="754"/>
      <c r="AW43" s="754"/>
      <c r="AX43" s="754"/>
      <c r="AY43" s="754"/>
      <c r="AZ43" s="754"/>
      <c r="BA43" s="754"/>
      <c r="BB43" s="754"/>
      <c r="BC43" s="754"/>
      <c r="BD43" s="754"/>
      <c r="BE43" s="754"/>
      <c r="BF43" s="754"/>
    </row>
    <row r="44" spans="3:58" x14ac:dyDescent="0.25">
      <c r="C44" s="207"/>
      <c r="D44" s="208"/>
      <c r="E44" s="207"/>
      <c r="F44" s="1"/>
      <c r="G44" s="1" t="s">
        <v>31</v>
      </c>
      <c r="H44" s="1" t="s">
        <v>493</v>
      </c>
      <c r="I44" s="1"/>
      <c r="J44" s="1"/>
      <c r="K44" s="1"/>
      <c r="L44" s="1"/>
      <c r="M44" s="1"/>
      <c r="N44" s="208"/>
      <c r="O44" s="946"/>
      <c r="P44" s="946"/>
      <c r="Q44" s="946"/>
      <c r="R44" s="946"/>
      <c r="S44" s="946"/>
      <c r="T44" s="946"/>
      <c r="U44" s="754"/>
      <c r="V44" s="754"/>
      <c r="W44" s="754"/>
      <c r="X44" s="754"/>
      <c r="Y44" s="754"/>
      <c r="Z44" s="754"/>
      <c r="AA44" s="754"/>
      <c r="AB44" s="754"/>
      <c r="AC44" s="754"/>
      <c r="AD44" s="754"/>
      <c r="AE44" s="754"/>
      <c r="AF44" s="754"/>
      <c r="AG44" s="754"/>
      <c r="AH44" s="754"/>
      <c r="AI44" s="754"/>
      <c r="AJ44" s="754"/>
      <c r="AK44" s="754"/>
      <c r="AL44" s="754"/>
      <c r="AM44" s="754"/>
      <c r="AN44" s="754"/>
      <c r="AO44" s="754"/>
      <c r="AP44" s="754"/>
      <c r="AQ44" s="754"/>
      <c r="AR44" s="754"/>
      <c r="AS44" s="754"/>
      <c r="AT44" s="754"/>
      <c r="AU44" s="754"/>
      <c r="AV44" s="754"/>
      <c r="AW44" s="754"/>
      <c r="AX44" s="754"/>
      <c r="AY44" s="754"/>
      <c r="AZ44" s="754"/>
      <c r="BA44" s="754"/>
      <c r="BB44" s="754"/>
      <c r="BC44" s="754"/>
      <c r="BD44" s="754"/>
      <c r="BE44" s="754"/>
      <c r="BF44" s="754"/>
    </row>
    <row r="45" spans="3:58" x14ac:dyDescent="0.25">
      <c r="C45" s="207"/>
      <c r="D45" s="208"/>
      <c r="E45" s="207"/>
      <c r="F45" s="1"/>
      <c r="G45" s="1" t="s">
        <v>32</v>
      </c>
      <c r="H45" s="1" t="s">
        <v>493</v>
      </c>
      <c r="I45" s="1"/>
      <c r="J45" s="1"/>
      <c r="K45" s="1"/>
      <c r="L45" s="1"/>
      <c r="M45" s="1"/>
      <c r="N45" s="208"/>
      <c r="O45" s="946"/>
      <c r="P45" s="946"/>
      <c r="Q45" s="946"/>
      <c r="R45" s="946"/>
      <c r="S45" s="946"/>
      <c r="T45" s="946"/>
      <c r="U45" s="754"/>
      <c r="V45" s="754"/>
      <c r="W45" s="754"/>
      <c r="X45" s="754"/>
      <c r="Y45" s="754"/>
      <c r="Z45" s="754"/>
      <c r="AA45" s="754"/>
      <c r="AB45" s="754"/>
      <c r="AC45" s="754"/>
      <c r="AD45" s="754"/>
      <c r="AE45" s="754"/>
      <c r="AF45" s="754"/>
      <c r="AG45" s="754"/>
      <c r="AH45" s="754"/>
      <c r="AI45" s="754"/>
      <c r="AJ45" s="754"/>
      <c r="AK45" s="754"/>
      <c r="AL45" s="754"/>
      <c r="AM45" s="754"/>
      <c r="AN45" s="754"/>
      <c r="AO45" s="754"/>
      <c r="AP45" s="754"/>
      <c r="AQ45" s="754"/>
      <c r="AR45" s="754"/>
      <c r="AS45" s="754"/>
      <c r="AT45" s="754"/>
      <c r="AU45" s="754"/>
      <c r="AV45" s="754"/>
      <c r="AW45" s="754"/>
      <c r="AX45" s="754"/>
      <c r="AY45" s="754"/>
      <c r="AZ45" s="754"/>
      <c r="BA45" s="754"/>
      <c r="BB45" s="754"/>
      <c r="BC45" s="754"/>
      <c r="BD45" s="754"/>
      <c r="BE45" s="754"/>
      <c r="BF45" s="754"/>
    </row>
    <row r="46" spans="3:58" x14ac:dyDescent="0.25">
      <c r="C46" s="207"/>
      <c r="D46" s="208"/>
      <c r="E46" s="207"/>
      <c r="F46" s="1" t="s">
        <v>51</v>
      </c>
      <c r="G46" s="1" t="s">
        <v>501</v>
      </c>
      <c r="H46" s="1"/>
      <c r="I46" s="1"/>
      <c r="J46" s="1"/>
      <c r="K46" s="1"/>
      <c r="L46" s="1"/>
      <c r="M46" s="1"/>
      <c r="N46" s="208"/>
      <c r="O46" s="946"/>
      <c r="P46" s="946"/>
      <c r="Q46" s="946"/>
      <c r="R46" s="946"/>
      <c r="S46" s="946"/>
      <c r="T46" s="946"/>
      <c r="U46" s="754"/>
      <c r="V46" s="754"/>
      <c r="W46" s="754"/>
      <c r="X46" s="754"/>
      <c r="Y46" s="754"/>
      <c r="Z46" s="754"/>
      <c r="AA46" s="754"/>
      <c r="AB46" s="754"/>
      <c r="AC46" s="754"/>
      <c r="AD46" s="754"/>
      <c r="AE46" s="754"/>
      <c r="AF46" s="754"/>
      <c r="AG46" s="754"/>
      <c r="AH46" s="754"/>
      <c r="AI46" s="754"/>
      <c r="AJ46" s="754"/>
      <c r="AK46" s="754"/>
      <c r="AL46" s="754"/>
      <c r="AM46" s="754"/>
      <c r="AN46" s="754"/>
      <c r="AO46" s="754"/>
      <c r="AP46" s="754"/>
      <c r="AQ46" s="754"/>
      <c r="AR46" s="754"/>
      <c r="AS46" s="754"/>
      <c r="AT46" s="754"/>
      <c r="AU46" s="754"/>
      <c r="AV46" s="754"/>
      <c r="AW46" s="754"/>
      <c r="AX46" s="754"/>
      <c r="AY46" s="754"/>
      <c r="AZ46" s="754"/>
      <c r="BA46" s="754"/>
      <c r="BB46" s="754"/>
      <c r="BC46" s="754"/>
      <c r="BD46" s="754"/>
      <c r="BE46" s="754"/>
      <c r="BF46" s="754"/>
    </row>
    <row r="47" spans="3:58" x14ac:dyDescent="0.25">
      <c r="C47" s="207"/>
      <c r="D47" s="208"/>
      <c r="E47" s="207"/>
      <c r="F47" s="1"/>
      <c r="G47" s="1" t="s">
        <v>30</v>
      </c>
      <c r="H47" s="1" t="s">
        <v>493</v>
      </c>
      <c r="I47" s="1"/>
      <c r="J47" s="1"/>
      <c r="K47" s="1"/>
      <c r="L47" s="1"/>
      <c r="M47" s="1"/>
      <c r="N47" s="208"/>
      <c r="O47" s="946"/>
      <c r="P47" s="946"/>
      <c r="Q47" s="946"/>
      <c r="R47" s="946"/>
      <c r="S47" s="946"/>
      <c r="T47" s="946"/>
      <c r="U47" s="754"/>
      <c r="V47" s="754"/>
      <c r="W47" s="754"/>
      <c r="X47" s="754"/>
      <c r="Y47" s="754"/>
      <c r="Z47" s="754"/>
      <c r="AA47" s="754"/>
      <c r="AB47" s="754"/>
      <c r="AC47" s="754"/>
      <c r="AD47" s="754"/>
      <c r="AE47" s="754"/>
      <c r="AF47" s="754"/>
      <c r="AG47" s="754"/>
      <c r="AH47" s="754"/>
      <c r="AI47" s="754"/>
      <c r="AJ47" s="754"/>
      <c r="AK47" s="754"/>
      <c r="AL47" s="754"/>
      <c r="AM47" s="754"/>
      <c r="AN47" s="754"/>
      <c r="AO47" s="754"/>
      <c r="AP47" s="754"/>
      <c r="AQ47" s="754"/>
      <c r="AR47" s="754"/>
      <c r="AS47" s="754"/>
      <c r="AT47" s="754"/>
      <c r="AU47" s="754"/>
      <c r="AV47" s="754"/>
      <c r="AW47" s="754"/>
      <c r="AX47" s="754"/>
      <c r="AY47" s="754"/>
      <c r="AZ47" s="754"/>
      <c r="BA47" s="754"/>
      <c r="BB47" s="754"/>
      <c r="BC47" s="754"/>
      <c r="BD47" s="754"/>
      <c r="BE47" s="754"/>
      <c r="BF47" s="754"/>
    </row>
    <row r="48" spans="3:58" x14ac:dyDescent="0.25">
      <c r="C48" s="251"/>
      <c r="D48" s="255"/>
      <c r="E48" s="251"/>
      <c r="F48" s="252"/>
      <c r="G48" s="252" t="s">
        <v>31</v>
      </c>
      <c r="H48" s="252" t="s">
        <v>493</v>
      </c>
      <c r="I48" s="252"/>
      <c r="J48" s="252"/>
      <c r="K48" s="252"/>
      <c r="L48" s="252"/>
      <c r="M48" s="252"/>
      <c r="N48" s="255"/>
      <c r="O48" s="754"/>
      <c r="P48" s="754"/>
      <c r="Q48" s="754"/>
      <c r="R48" s="754"/>
      <c r="S48" s="754"/>
      <c r="T48" s="754"/>
      <c r="U48" s="754"/>
      <c r="V48" s="754"/>
      <c r="W48" s="754"/>
      <c r="X48" s="754"/>
      <c r="Y48" s="754"/>
      <c r="Z48" s="754"/>
      <c r="AA48" s="754"/>
      <c r="AB48" s="754"/>
      <c r="AC48" s="754"/>
      <c r="AD48" s="754"/>
      <c r="AE48" s="754"/>
      <c r="AF48" s="754"/>
      <c r="AG48" s="754"/>
      <c r="AH48" s="754"/>
      <c r="AI48" s="754"/>
      <c r="AJ48" s="754"/>
      <c r="AK48" s="754"/>
      <c r="AL48" s="754"/>
      <c r="AM48" s="754"/>
      <c r="AN48" s="754"/>
      <c r="AO48" s="754"/>
      <c r="AP48" s="754"/>
      <c r="AQ48" s="754"/>
      <c r="AR48" s="754"/>
      <c r="AS48" s="754"/>
      <c r="AT48" s="754"/>
      <c r="AU48" s="754"/>
      <c r="AV48" s="754"/>
      <c r="AW48" s="754"/>
      <c r="AX48" s="754"/>
      <c r="AY48" s="754"/>
      <c r="AZ48" s="754"/>
      <c r="BA48" s="754"/>
      <c r="BB48" s="754"/>
      <c r="BC48" s="754"/>
      <c r="BD48" s="754"/>
      <c r="BE48" s="754"/>
      <c r="BF48" s="754"/>
    </row>
    <row r="49" spans="3:58" x14ac:dyDescent="0.25">
      <c r="C49" s="273" t="s">
        <v>28</v>
      </c>
      <c r="D49" s="274" t="s">
        <v>502</v>
      </c>
      <c r="E49" s="274"/>
      <c r="F49" s="274"/>
      <c r="G49" s="274"/>
      <c r="H49" s="274"/>
      <c r="I49" s="274"/>
      <c r="J49" s="274"/>
      <c r="K49" s="274"/>
      <c r="L49" s="274"/>
      <c r="M49" s="274"/>
      <c r="N49" s="274"/>
      <c r="O49" s="274"/>
      <c r="P49" s="274"/>
      <c r="Q49" s="274"/>
      <c r="R49" s="274"/>
      <c r="S49" s="274"/>
      <c r="T49" s="274"/>
      <c r="U49" s="274"/>
      <c r="V49" s="274"/>
      <c r="W49" s="274"/>
      <c r="X49" s="274"/>
      <c r="Y49" s="274"/>
      <c r="Z49" s="274"/>
      <c r="AA49" s="274"/>
      <c r="AB49" s="274"/>
      <c r="AC49" s="274"/>
      <c r="AD49" s="274"/>
      <c r="AE49" s="274"/>
      <c r="AF49" s="274"/>
      <c r="AG49" s="274"/>
      <c r="AH49" s="274"/>
      <c r="AI49" s="274"/>
      <c r="AJ49" s="274"/>
      <c r="AK49" s="274"/>
      <c r="AL49" s="274"/>
      <c r="AM49" s="274"/>
      <c r="AN49" s="274"/>
      <c r="AO49" s="274"/>
      <c r="AP49" s="274"/>
      <c r="AQ49" s="274"/>
      <c r="AR49" s="274"/>
      <c r="AS49" s="754"/>
      <c r="AT49" s="754"/>
      <c r="AU49" s="754"/>
      <c r="AV49" s="754"/>
      <c r="AW49" s="754"/>
      <c r="AX49" s="754"/>
      <c r="AY49" s="754"/>
      <c r="AZ49" s="994"/>
      <c r="BA49" s="995"/>
      <c r="BB49" s="995"/>
      <c r="BC49" s="995"/>
      <c r="BD49" s="995"/>
      <c r="BE49" s="995"/>
      <c r="BF49" s="996"/>
    </row>
    <row r="50" spans="3:58" x14ac:dyDescent="0.25">
      <c r="C50" s="273" t="s">
        <v>51</v>
      </c>
      <c r="D50" s="274" t="s">
        <v>503</v>
      </c>
      <c r="E50" s="274"/>
      <c r="F50" s="274"/>
      <c r="G50" s="274"/>
      <c r="H50" s="274"/>
      <c r="I50" s="274"/>
      <c r="J50" s="274"/>
      <c r="K50" s="274"/>
      <c r="L50" s="274"/>
      <c r="M50" s="274"/>
      <c r="N50" s="274"/>
      <c r="O50" s="274"/>
      <c r="P50" s="274"/>
      <c r="Q50" s="274"/>
      <c r="R50" s="274"/>
      <c r="S50" s="274"/>
      <c r="T50" s="274"/>
      <c r="U50" s="274"/>
      <c r="V50" s="274"/>
      <c r="W50" s="274"/>
      <c r="X50" s="274"/>
      <c r="Y50" s="274"/>
      <c r="Z50" s="274"/>
      <c r="AA50" s="274"/>
      <c r="AB50" s="274"/>
      <c r="AC50" s="274"/>
      <c r="AD50" s="274"/>
      <c r="AE50" s="274"/>
      <c r="AF50" s="274"/>
      <c r="AG50" s="274"/>
      <c r="AH50" s="274"/>
      <c r="AI50" s="274"/>
      <c r="AJ50" s="274"/>
      <c r="AK50" s="274"/>
      <c r="AL50" s="274"/>
      <c r="AM50" s="274"/>
      <c r="AN50" s="274"/>
      <c r="AO50" s="274"/>
      <c r="AP50" s="274"/>
      <c r="AQ50" s="274"/>
      <c r="AR50" s="274"/>
      <c r="AS50" s="754"/>
      <c r="AT50" s="754"/>
      <c r="AU50" s="754"/>
      <c r="AV50" s="754"/>
      <c r="AW50" s="754"/>
      <c r="AX50" s="754"/>
      <c r="AY50" s="754"/>
      <c r="AZ50" s="994"/>
      <c r="BA50" s="995"/>
      <c r="BB50" s="995"/>
      <c r="BC50" s="995"/>
      <c r="BD50" s="995"/>
      <c r="BE50" s="995"/>
      <c r="BF50" s="996"/>
    </row>
    <row r="51" spans="3:58" x14ac:dyDescent="0.25">
      <c r="C51" s="273" t="s">
        <v>81</v>
      </c>
      <c r="D51" s="274" t="s">
        <v>504</v>
      </c>
      <c r="E51" s="274"/>
      <c r="F51" s="274"/>
      <c r="G51" s="274"/>
      <c r="H51" s="274"/>
      <c r="I51" s="274"/>
      <c r="J51" s="274"/>
      <c r="K51" s="274"/>
      <c r="L51" s="274"/>
      <c r="M51" s="274"/>
      <c r="N51" s="274"/>
      <c r="O51" s="274"/>
      <c r="P51" s="274"/>
      <c r="Q51" s="274"/>
      <c r="R51" s="274"/>
      <c r="S51" s="274"/>
      <c r="T51" s="274"/>
      <c r="U51" s="274"/>
      <c r="V51" s="274"/>
      <c r="W51" s="274"/>
      <c r="X51" s="274"/>
      <c r="Y51" s="274"/>
      <c r="Z51" s="274"/>
      <c r="AA51" s="274"/>
      <c r="AB51" s="274"/>
      <c r="AC51" s="274"/>
      <c r="AD51" s="274"/>
      <c r="AE51" s="274"/>
      <c r="AF51" s="274"/>
      <c r="AG51" s="274"/>
      <c r="AH51" s="274"/>
      <c r="AI51" s="274"/>
      <c r="AJ51" s="274"/>
      <c r="AK51" s="274"/>
      <c r="AL51" s="274"/>
      <c r="AM51" s="274"/>
      <c r="AN51" s="274"/>
      <c r="AO51" s="274"/>
      <c r="AP51" s="274"/>
      <c r="AQ51" s="274"/>
      <c r="AR51" s="274"/>
      <c r="AS51" s="754"/>
      <c r="AT51" s="754"/>
      <c r="AU51" s="754"/>
      <c r="AV51" s="754"/>
      <c r="AW51" s="754"/>
      <c r="AX51" s="754"/>
      <c r="AY51" s="754"/>
      <c r="AZ51" s="994"/>
      <c r="BA51" s="995"/>
      <c r="BB51" s="995"/>
      <c r="BC51" s="995"/>
      <c r="BD51" s="995"/>
      <c r="BE51" s="995"/>
      <c r="BF51" s="996"/>
    </row>
    <row r="52" spans="3:58" x14ac:dyDescent="0.25">
      <c r="C52" s="263"/>
      <c r="D52" s="265"/>
      <c r="E52" s="263" t="s">
        <v>505</v>
      </c>
      <c r="F52" s="264" t="s">
        <v>506</v>
      </c>
      <c r="G52" s="264"/>
      <c r="H52" s="264"/>
      <c r="I52" s="264"/>
      <c r="J52" s="264"/>
      <c r="K52" s="264"/>
      <c r="L52" s="264"/>
      <c r="M52" s="264"/>
      <c r="N52" s="265"/>
      <c r="O52" s="754"/>
      <c r="P52" s="754"/>
      <c r="Q52" s="754"/>
      <c r="R52" s="754"/>
      <c r="S52" s="754"/>
      <c r="T52" s="754"/>
      <c r="U52" s="754"/>
      <c r="V52" s="754"/>
      <c r="W52" s="754"/>
      <c r="X52" s="754"/>
      <c r="Y52" s="754"/>
      <c r="Z52" s="754"/>
      <c r="AA52" s="754"/>
      <c r="AB52" s="754"/>
      <c r="AC52" s="754"/>
      <c r="AD52" s="754"/>
      <c r="AE52" s="754"/>
      <c r="AF52" s="754"/>
      <c r="AG52" s="754"/>
      <c r="AH52" s="754"/>
      <c r="AI52" s="754"/>
      <c r="AJ52" s="754"/>
      <c r="AK52" s="754"/>
      <c r="AL52" s="754"/>
      <c r="AM52" s="754"/>
      <c r="AN52" s="754"/>
      <c r="AO52" s="754"/>
      <c r="AP52" s="754"/>
      <c r="AQ52" s="754"/>
      <c r="AR52" s="754"/>
      <c r="AS52" s="754"/>
      <c r="AT52" s="754"/>
      <c r="AU52" s="754"/>
      <c r="AV52" s="754"/>
      <c r="AW52" s="754"/>
      <c r="AX52" s="754"/>
      <c r="AY52" s="754"/>
      <c r="AZ52" s="754"/>
      <c r="BA52" s="754"/>
      <c r="BB52" s="754"/>
      <c r="BC52" s="754"/>
      <c r="BD52" s="754"/>
      <c r="BE52" s="754"/>
      <c r="BF52" s="754"/>
    </row>
    <row r="53" spans="3:58" x14ac:dyDescent="0.25">
      <c r="C53" s="266"/>
      <c r="D53" s="267"/>
      <c r="E53" s="266"/>
      <c r="F53" t="s">
        <v>28</v>
      </c>
      <c r="G53" t="s">
        <v>507</v>
      </c>
      <c r="N53" s="267"/>
      <c r="O53" s="754"/>
      <c r="P53" s="754"/>
      <c r="Q53" s="754"/>
      <c r="R53" s="754"/>
      <c r="S53" s="754"/>
      <c r="T53" s="754"/>
      <c r="U53" s="754"/>
      <c r="V53" s="754"/>
      <c r="W53" s="754"/>
      <c r="X53" s="754"/>
      <c r="Y53" s="754"/>
      <c r="Z53" s="754"/>
      <c r="AA53" s="754"/>
      <c r="AB53" s="754"/>
      <c r="AC53" s="754"/>
      <c r="AD53" s="754"/>
      <c r="AE53" s="754"/>
      <c r="AF53" s="754"/>
      <c r="AG53" s="754"/>
      <c r="AH53" s="754"/>
      <c r="AI53" s="754"/>
      <c r="AJ53" s="754"/>
      <c r="AK53" s="754"/>
      <c r="AL53" s="754"/>
      <c r="AM53" s="754"/>
      <c r="AN53" s="754"/>
      <c r="AO53" s="754"/>
      <c r="AP53" s="754"/>
      <c r="AQ53" s="754"/>
      <c r="AR53" s="754"/>
      <c r="AS53" s="754"/>
      <c r="AT53" s="754"/>
      <c r="AU53" s="754"/>
      <c r="AV53" s="754"/>
      <c r="AW53" s="754"/>
      <c r="AX53" s="754"/>
      <c r="AY53" s="754"/>
      <c r="AZ53" s="754"/>
      <c r="BA53" s="754"/>
      <c r="BB53" s="754"/>
      <c r="BC53" s="754"/>
      <c r="BD53" s="754"/>
      <c r="BE53" s="754"/>
      <c r="BF53" s="754"/>
    </row>
    <row r="54" spans="3:58" x14ac:dyDescent="0.25">
      <c r="C54" s="266"/>
      <c r="D54" s="267"/>
      <c r="E54" s="266"/>
      <c r="G54" s="1" t="s">
        <v>30</v>
      </c>
      <c r="H54" s="1" t="s">
        <v>493</v>
      </c>
      <c r="N54" s="267"/>
      <c r="O54" s="754"/>
      <c r="P54" s="754"/>
      <c r="Q54" s="754"/>
      <c r="R54" s="754"/>
      <c r="S54" s="754"/>
      <c r="T54" s="754"/>
      <c r="U54" s="754"/>
      <c r="V54" s="754"/>
      <c r="W54" s="754"/>
      <c r="X54" s="754"/>
      <c r="Y54" s="754"/>
      <c r="Z54" s="754"/>
      <c r="AA54" s="754"/>
      <c r="AB54" s="754"/>
      <c r="AC54" s="754"/>
      <c r="AD54" s="754"/>
      <c r="AE54" s="754"/>
      <c r="AF54" s="754"/>
      <c r="AG54" s="754"/>
      <c r="AH54" s="754"/>
      <c r="AI54" s="754"/>
      <c r="AJ54" s="754"/>
      <c r="AK54" s="754"/>
      <c r="AL54" s="754"/>
      <c r="AM54" s="754"/>
      <c r="AN54" s="754"/>
      <c r="AO54" s="754"/>
      <c r="AP54" s="754"/>
      <c r="AQ54" s="754"/>
      <c r="AR54" s="754"/>
      <c r="AS54" s="754"/>
      <c r="AT54" s="754"/>
      <c r="AU54" s="754"/>
      <c r="AV54" s="754"/>
      <c r="AW54" s="754"/>
      <c r="AX54" s="754"/>
      <c r="AY54" s="754"/>
      <c r="AZ54" s="754"/>
      <c r="BA54" s="754"/>
      <c r="BB54" s="754"/>
      <c r="BC54" s="754"/>
      <c r="BD54" s="754"/>
      <c r="BE54" s="754"/>
      <c r="BF54" s="754"/>
    </row>
    <row r="55" spans="3:58" x14ac:dyDescent="0.25">
      <c r="C55" s="266"/>
      <c r="D55" s="267"/>
      <c r="E55" s="266"/>
      <c r="F55" t="s">
        <v>51</v>
      </c>
      <c r="G55" t="s">
        <v>494</v>
      </c>
      <c r="N55" s="267"/>
      <c r="O55" s="754"/>
      <c r="P55" s="754"/>
      <c r="Q55" s="754"/>
      <c r="R55" s="754"/>
      <c r="S55" s="754"/>
      <c r="T55" s="754"/>
      <c r="U55" s="754"/>
      <c r="V55" s="754"/>
      <c r="W55" s="754"/>
      <c r="X55" s="754"/>
      <c r="Y55" s="754"/>
      <c r="Z55" s="754"/>
      <c r="AA55" s="754"/>
      <c r="AB55" s="754"/>
      <c r="AC55" s="754"/>
      <c r="AD55" s="754"/>
      <c r="AE55" s="754"/>
      <c r="AF55" s="754"/>
      <c r="AG55" s="754"/>
      <c r="AH55" s="754"/>
      <c r="AI55" s="754"/>
      <c r="AJ55" s="754"/>
      <c r="AK55" s="754"/>
      <c r="AL55" s="754"/>
      <c r="AM55" s="754"/>
      <c r="AN55" s="754"/>
      <c r="AO55" s="754"/>
      <c r="AP55" s="754"/>
      <c r="AQ55" s="754"/>
      <c r="AR55" s="754"/>
      <c r="AS55" s="754"/>
      <c r="AT55" s="754"/>
      <c r="AU55" s="754"/>
      <c r="AV55" s="754"/>
      <c r="AW55" s="754"/>
      <c r="AX55" s="754"/>
      <c r="AY55" s="754"/>
      <c r="AZ55" s="754"/>
      <c r="BA55" s="754"/>
      <c r="BB55" s="754"/>
      <c r="BC55" s="754"/>
      <c r="BD55" s="754"/>
      <c r="BE55" s="754"/>
      <c r="BF55" s="754"/>
    </row>
    <row r="56" spans="3:58" x14ac:dyDescent="0.25">
      <c r="C56" s="266"/>
      <c r="D56" s="267"/>
      <c r="E56" s="266"/>
      <c r="G56" s="1" t="s">
        <v>30</v>
      </c>
      <c r="H56" s="1" t="s">
        <v>493</v>
      </c>
      <c r="N56" s="267"/>
      <c r="O56" s="754"/>
      <c r="P56" s="754"/>
      <c r="Q56" s="754"/>
      <c r="R56" s="754"/>
      <c r="S56" s="754"/>
      <c r="T56" s="754"/>
      <c r="U56" s="754"/>
      <c r="V56" s="754"/>
      <c r="W56" s="754"/>
      <c r="X56" s="754"/>
      <c r="Y56" s="754"/>
      <c r="Z56" s="754"/>
      <c r="AA56" s="754"/>
      <c r="AB56" s="754"/>
      <c r="AC56" s="754"/>
      <c r="AD56" s="754"/>
      <c r="AE56" s="754"/>
      <c r="AF56" s="754"/>
      <c r="AG56" s="754"/>
      <c r="AH56" s="754"/>
      <c r="AI56" s="754"/>
      <c r="AJ56" s="754"/>
      <c r="AK56" s="754"/>
      <c r="AL56" s="754"/>
      <c r="AM56" s="754"/>
      <c r="AN56" s="754"/>
      <c r="AO56" s="754"/>
      <c r="AP56" s="754"/>
      <c r="AQ56" s="754"/>
      <c r="AR56" s="754"/>
      <c r="AS56" s="754"/>
      <c r="AT56" s="754"/>
      <c r="AU56" s="754"/>
      <c r="AV56" s="754"/>
      <c r="AW56" s="754"/>
      <c r="AX56" s="754"/>
      <c r="AY56" s="754"/>
      <c r="AZ56" s="754"/>
      <c r="BA56" s="754"/>
      <c r="BB56" s="754"/>
      <c r="BC56" s="754"/>
      <c r="BD56" s="754"/>
      <c r="BE56" s="754"/>
      <c r="BF56" s="754"/>
    </row>
    <row r="57" spans="3:58" x14ac:dyDescent="0.25">
      <c r="C57" s="266"/>
      <c r="D57" s="267"/>
      <c r="E57" s="266"/>
      <c r="F57" t="s">
        <v>81</v>
      </c>
      <c r="G57" t="s">
        <v>495</v>
      </c>
      <c r="N57" s="267"/>
      <c r="O57" s="754"/>
      <c r="P57" s="754"/>
      <c r="Q57" s="754"/>
      <c r="R57" s="754"/>
      <c r="S57" s="754"/>
      <c r="T57" s="754"/>
      <c r="U57" s="754"/>
      <c r="V57" s="754"/>
      <c r="W57" s="754"/>
      <c r="X57" s="754"/>
      <c r="Y57" s="754"/>
      <c r="Z57" s="754"/>
      <c r="AA57" s="754"/>
      <c r="AB57" s="754"/>
      <c r="AC57" s="754"/>
      <c r="AD57" s="754"/>
      <c r="AE57" s="754"/>
      <c r="AF57" s="754"/>
      <c r="AG57" s="754"/>
      <c r="AH57" s="754"/>
      <c r="AI57" s="754"/>
      <c r="AJ57" s="754"/>
      <c r="AK57" s="754"/>
      <c r="AL57" s="754"/>
      <c r="AM57" s="754"/>
      <c r="AN57" s="754"/>
      <c r="AO57" s="754"/>
      <c r="AP57" s="754"/>
      <c r="AQ57" s="754"/>
      <c r="AR57" s="754"/>
      <c r="AS57" s="754"/>
      <c r="AT57" s="754"/>
      <c r="AU57" s="754"/>
      <c r="AV57" s="754"/>
      <c r="AW57" s="754"/>
      <c r="AX57" s="754"/>
      <c r="AY57" s="754"/>
      <c r="AZ57" s="754"/>
      <c r="BA57" s="754"/>
      <c r="BB57" s="754"/>
      <c r="BC57" s="754"/>
      <c r="BD57" s="754"/>
      <c r="BE57" s="754"/>
      <c r="BF57" s="754"/>
    </row>
    <row r="58" spans="3:58" x14ac:dyDescent="0.25">
      <c r="C58" s="266"/>
      <c r="D58" s="267"/>
      <c r="E58" s="266"/>
      <c r="G58" s="1" t="s">
        <v>30</v>
      </c>
      <c r="H58" s="1" t="s">
        <v>493</v>
      </c>
      <c r="N58" s="267"/>
      <c r="O58" s="754"/>
      <c r="P58" s="754"/>
      <c r="Q58" s="754"/>
      <c r="R58" s="754"/>
      <c r="S58" s="754"/>
      <c r="T58" s="754"/>
      <c r="U58" s="754"/>
      <c r="V58" s="754"/>
      <c r="W58" s="754"/>
      <c r="X58" s="754"/>
      <c r="Y58" s="754"/>
      <c r="Z58" s="754"/>
      <c r="AA58" s="754"/>
      <c r="AB58" s="754"/>
      <c r="AC58" s="754"/>
      <c r="AD58" s="754"/>
      <c r="AE58" s="754"/>
      <c r="AF58" s="754"/>
      <c r="AG58" s="754"/>
      <c r="AH58" s="754"/>
      <c r="AI58" s="754"/>
      <c r="AJ58" s="754"/>
      <c r="AK58" s="754"/>
      <c r="AL58" s="754"/>
      <c r="AM58" s="754"/>
      <c r="AN58" s="754"/>
      <c r="AO58" s="754"/>
      <c r="AP58" s="754"/>
      <c r="AQ58" s="754"/>
      <c r="AR58" s="754"/>
      <c r="AS58" s="754"/>
      <c r="AT58" s="754"/>
      <c r="AU58" s="754"/>
      <c r="AV58" s="754"/>
      <c r="AW58" s="754"/>
      <c r="AX58" s="754"/>
      <c r="AY58" s="754"/>
      <c r="AZ58" s="754"/>
      <c r="BA58" s="754"/>
      <c r="BB58" s="754"/>
      <c r="BC58" s="754"/>
      <c r="BD58" s="754"/>
      <c r="BE58" s="754"/>
      <c r="BF58" s="754"/>
    </row>
    <row r="59" spans="3:58" x14ac:dyDescent="0.25">
      <c r="C59" s="266"/>
      <c r="D59" s="267"/>
      <c r="E59" s="266"/>
      <c r="F59" t="s">
        <v>95</v>
      </c>
      <c r="G59" t="s">
        <v>496</v>
      </c>
      <c r="N59" s="267"/>
      <c r="O59" s="754"/>
      <c r="P59" s="754"/>
      <c r="Q59" s="754"/>
      <c r="R59" s="754"/>
      <c r="S59" s="754"/>
      <c r="T59" s="754"/>
      <c r="U59" s="754"/>
      <c r="V59" s="754"/>
      <c r="W59" s="754"/>
      <c r="X59" s="754"/>
      <c r="Y59" s="754"/>
      <c r="Z59" s="754"/>
      <c r="AA59" s="754"/>
      <c r="AB59" s="754"/>
      <c r="AC59" s="754"/>
      <c r="AD59" s="754"/>
      <c r="AE59" s="754"/>
      <c r="AF59" s="754"/>
      <c r="AG59" s="754"/>
      <c r="AH59" s="754"/>
      <c r="AI59" s="754"/>
      <c r="AJ59" s="754"/>
      <c r="AK59" s="754"/>
      <c r="AL59" s="754"/>
      <c r="AM59" s="754"/>
      <c r="AN59" s="754"/>
      <c r="AO59" s="754"/>
      <c r="AP59" s="754"/>
      <c r="AQ59" s="754"/>
      <c r="AR59" s="754"/>
      <c r="AS59" s="754"/>
      <c r="AT59" s="754"/>
      <c r="AU59" s="754"/>
      <c r="AV59" s="754"/>
      <c r="AW59" s="754"/>
      <c r="AX59" s="754"/>
      <c r="AY59" s="754"/>
      <c r="AZ59" s="754"/>
      <c r="BA59" s="754"/>
      <c r="BB59" s="754"/>
      <c r="BC59" s="754"/>
      <c r="BD59" s="754"/>
      <c r="BE59" s="754"/>
      <c r="BF59" s="754"/>
    </row>
    <row r="60" spans="3:58" x14ac:dyDescent="0.25">
      <c r="C60" s="266"/>
      <c r="D60" s="267"/>
      <c r="E60" s="266"/>
      <c r="G60" s="1" t="s">
        <v>30</v>
      </c>
      <c r="H60" s="1" t="s">
        <v>493</v>
      </c>
      <c r="N60" s="267"/>
      <c r="O60" s="754"/>
      <c r="P60" s="754"/>
      <c r="Q60" s="754"/>
      <c r="R60" s="754"/>
      <c r="S60" s="754"/>
      <c r="T60" s="754"/>
      <c r="U60" s="754"/>
      <c r="V60" s="754"/>
      <c r="W60" s="754"/>
      <c r="X60" s="754"/>
      <c r="Y60" s="754"/>
      <c r="Z60" s="754"/>
      <c r="AA60" s="754"/>
      <c r="AB60" s="754"/>
      <c r="AC60" s="754"/>
      <c r="AD60" s="754"/>
      <c r="AE60" s="754"/>
      <c r="AF60" s="754"/>
      <c r="AG60" s="754"/>
      <c r="AH60" s="754"/>
      <c r="AI60" s="754"/>
      <c r="AJ60" s="754"/>
      <c r="AK60" s="754"/>
      <c r="AL60" s="754"/>
      <c r="AM60" s="754"/>
      <c r="AN60" s="754"/>
      <c r="AO60" s="754"/>
      <c r="AP60" s="754"/>
      <c r="AQ60" s="754"/>
      <c r="AR60" s="754"/>
      <c r="AS60" s="754"/>
      <c r="AT60" s="754"/>
      <c r="AU60" s="754"/>
      <c r="AV60" s="754"/>
      <c r="AW60" s="754"/>
      <c r="AX60" s="754"/>
      <c r="AY60" s="754"/>
      <c r="AZ60" s="754"/>
      <c r="BA60" s="754"/>
      <c r="BB60" s="754"/>
      <c r="BC60" s="754"/>
      <c r="BD60" s="754"/>
      <c r="BE60" s="754"/>
      <c r="BF60" s="754"/>
    </row>
    <row r="61" spans="3:58" x14ac:dyDescent="0.25">
      <c r="C61" s="266"/>
      <c r="D61" s="267"/>
      <c r="E61" s="266"/>
      <c r="F61" t="s">
        <v>119</v>
      </c>
      <c r="G61" t="s">
        <v>497</v>
      </c>
      <c r="N61" s="267"/>
      <c r="O61" s="754"/>
      <c r="P61" s="754"/>
      <c r="Q61" s="754"/>
      <c r="R61" s="754"/>
      <c r="S61" s="754"/>
      <c r="T61" s="754"/>
      <c r="U61" s="754"/>
      <c r="V61" s="754"/>
      <c r="W61" s="754"/>
      <c r="X61" s="754"/>
      <c r="Y61" s="754"/>
      <c r="Z61" s="754"/>
      <c r="AA61" s="754"/>
      <c r="AB61" s="754"/>
      <c r="AC61" s="754"/>
      <c r="AD61" s="754"/>
      <c r="AE61" s="754"/>
      <c r="AF61" s="754"/>
      <c r="AG61" s="754"/>
      <c r="AH61" s="754"/>
      <c r="AI61" s="754"/>
      <c r="AJ61" s="754"/>
      <c r="AK61" s="754"/>
      <c r="AL61" s="754"/>
      <c r="AM61" s="754"/>
      <c r="AN61" s="754"/>
      <c r="AO61" s="754"/>
      <c r="AP61" s="754"/>
      <c r="AQ61" s="754"/>
      <c r="AR61" s="754"/>
      <c r="AS61" s="754"/>
      <c r="AT61" s="754"/>
      <c r="AU61" s="754"/>
      <c r="AV61" s="754"/>
      <c r="AW61" s="754"/>
      <c r="AX61" s="754"/>
      <c r="AY61" s="754"/>
      <c r="AZ61" s="754"/>
      <c r="BA61" s="754"/>
      <c r="BB61" s="754"/>
      <c r="BC61" s="754"/>
      <c r="BD61" s="754"/>
      <c r="BE61" s="754"/>
      <c r="BF61" s="754"/>
    </row>
    <row r="62" spans="3:58" x14ac:dyDescent="0.25">
      <c r="C62" s="268"/>
      <c r="D62" s="269"/>
      <c r="E62" s="268"/>
      <c r="F62" s="254"/>
      <c r="G62" s="252" t="s">
        <v>30</v>
      </c>
      <c r="H62" s="252" t="s">
        <v>493</v>
      </c>
      <c r="I62" s="254"/>
      <c r="J62" s="254"/>
      <c r="K62" s="254"/>
      <c r="L62" s="254"/>
      <c r="M62" s="254"/>
      <c r="N62" s="269"/>
      <c r="O62" s="754"/>
      <c r="P62" s="754"/>
      <c r="Q62" s="754"/>
      <c r="R62" s="754"/>
      <c r="S62" s="754"/>
      <c r="T62" s="754"/>
      <c r="U62" s="754"/>
      <c r="V62" s="754"/>
      <c r="W62" s="754"/>
      <c r="X62" s="754"/>
      <c r="Y62" s="754"/>
      <c r="Z62" s="754"/>
      <c r="AA62" s="754"/>
      <c r="AB62" s="754"/>
      <c r="AC62" s="754"/>
      <c r="AD62" s="754"/>
      <c r="AE62" s="754"/>
      <c r="AF62" s="754"/>
      <c r="AG62" s="754"/>
      <c r="AH62" s="754"/>
      <c r="AI62" s="754"/>
      <c r="AJ62" s="754"/>
      <c r="AK62" s="754"/>
      <c r="AL62" s="754"/>
      <c r="AM62" s="754"/>
      <c r="AN62" s="754"/>
      <c r="AO62" s="754"/>
      <c r="AP62" s="754"/>
      <c r="AQ62" s="754"/>
      <c r="AR62" s="754"/>
      <c r="AS62" s="754"/>
      <c r="AT62" s="754"/>
      <c r="AU62" s="754"/>
      <c r="AV62" s="754"/>
      <c r="AW62" s="754"/>
      <c r="AX62" s="754"/>
      <c r="AY62" s="754"/>
      <c r="AZ62" s="754"/>
      <c r="BA62" s="754"/>
      <c r="BB62" s="754"/>
      <c r="BC62" s="754"/>
      <c r="BD62" s="754"/>
      <c r="BE62" s="754"/>
      <c r="BF62" s="754"/>
    </row>
    <row r="63" spans="3:58" x14ac:dyDescent="0.25">
      <c r="C63" s="273" t="s">
        <v>95</v>
      </c>
      <c r="D63" s="274" t="s">
        <v>508</v>
      </c>
      <c r="E63" s="274"/>
      <c r="F63" s="274"/>
      <c r="G63" s="274"/>
      <c r="H63" s="274"/>
      <c r="I63" s="274"/>
      <c r="J63" s="274"/>
      <c r="K63" s="274"/>
      <c r="L63" s="274"/>
      <c r="M63" s="274"/>
      <c r="N63" s="274"/>
      <c r="O63" s="274"/>
      <c r="P63" s="274"/>
      <c r="Q63" s="274"/>
      <c r="R63" s="274"/>
      <c r="S63" s="274"/>
      <c r="T63" s="274"/>
      <c r="U63" s="274"/>
      <c r="V63" s="274"/>
      <c r="W63" s="274"/>
      <c r="X63" s="274"/>
      <c r="Y63" s="274"/>
      <c r="Z63" s="274"/>
      <c r="AA63" s="274"/>
      <c r="AB63" s="274"/>
      <c r="AC63" s="274"/>
      <c r="AD63" s="274"/>
      <c r="AE63" s="274"/>
      <c r="AF63" s="274"/>
      <c r="AG63" s="274"/>
      <c r="AH63" s="274"/>
      <c r="AI63" s="274"/>
      <c r="AJ63" s="274"/>
      <c r="AK63" s="274"/>
      <c r="AL63" s="274"/>
      <c r="AM63" s="274"/>
      <c r="AN63" s="274"/>
      <c r="AO63" s="274"/>
      <c r="AP63" s="274"/>
      <c r="AQ63" s="274"/>
      <c r="AR63" s="274"/>
      <c r="AS63" s="754"/>
      <c r="AT63" s="754"/>
      <c r="AU63" s="754"/>
      <c r="AV63" s="754"/>
      <c r="AW63" s="754"/>
      <c r="AX63" s="754"/>
      <c r="AY63" s="754"/>
      <c r="AZ63" s="994"/>
      <c r="BA63" s="995"/>
      <c r="BB63" s="995"/>
      <c r="BC63" s="995"/>
      <c r="BD63" s="995"/>
      <c r="BE63" s="995"/>
      <c r="BF63" s="996"/>
    </row>
    <row r="64" spans="3:58" x14ac:dyDescent="0.25">
      <c r="C64" s="273" t="s">
        <v>119</v>
      </c>
      <c r="D64" s="274" t="s">
        <v>509</v>
      </c>
      <c r="E64" s="274"/>
      <c r="F64" s="274"/>
      <c r="G64" s="274"/>
      <c r="H64" s="274"/>
      <c r="I64" s="274"/>
      <c r="J64" s="274"/>
      <c r="K64" s="274"/>
      <c r="L64" s="274"/>
      <c r="M64" s="274"/>
      <c r="N64" s="274"/>
      <c r="O64" s="274"/>
      <c r="P64" s="274"/>
      <c r="Q64" s="274"/>
      <c r="R64" s="274"/>
      <c r="S64" s="274"/>
      <c r="T64" s="274"/>
      <c r="U64" s="274"/>
      <c r="V64" s="274"/>
      <c r="W64" s="274"/>
      <c r="X64" s="274"/>
      <c r="Y64" s="274"/>
      <c r="Z64" s="274"/>
      <c r="AA64" s="274"/>
      <c r="AB64" s="274"/>
      <c r="AC64" s="274"/>
      <c r="AD64" s="274"/>
      <c r="AE64" s="274"/>
      <c r="AF64" s="274"/>
      <c r="AG64" s="274"/>
      <c r="AH64" s="274"/>
      <c r="AI64" s="274"/>
      <c r="AJ64" s="274"/>
      <c r="AK64" s="274"/>
      <c r="AL64" s="274"/>
      <c r="AM64" s="274"/>
      <c r="AN64" s="274"/>
      <c r="AO64" s="274"/>
      <c r="AP64" s="274"/>
      <c r="AQ64" s="274"/>
      <c r="AR64" s="274"/>
      <c r="AS64" s="754"/>
      <c r="AT64" s="754"/>
      <c r="AU64" s="754"/>
      <c r="AV64" s="754"/>
      <c r="AW64" s="754"/>
      <c r="AX64" s="754"/>
      <c r="AY64" s="754"/>
      <c r="AZ64" s="994"/>
      <c r="BA64" s="995"/>
      <c r="BB64" s="995"/>
      <c r="BC64" s="995"/>
      <c r="BD64" s="995"/>
      <c r="BE64" s="995"/>
      <c r="BF64" s="996"/>
    </row>
    <row r="65" spans="3:58" x14ac:dyDescent="0.25">
      <c r="C65" s="273" t="s">
        <v>121</v>
      </c>
      <c r="D65" s="274" t="s">
        <v>510</v>
      </c>
      <c r="E65" s="274"/>
      <c r="F65" s="274"/>
      <c r="G65" s="274"/>
      <c r="H65" s="274"/>
      <c r="I65" s="274"/>
      <c r="J65" s="274"/>
      <c r="K65" s="274"/>
      <c r="L65" s="274"/>
      <c r="M65" s="274"/>
      <c r="N65" s="274"/>
      <c r="O65" s="274"/>
      <c r="P65" s="274"/>
      <c r="Q65" s="274"/>
      <c r="R65" s="274"/>
      <c r="S65" s="274"/>
      <c r="T65" s="274"/>
      <c r="U65" s="274"/>
      <c r="V65" s="274"/>
      <c r="W65" s="274"/>
      <c r="X65" s="274"/>
      <c r="Y65" s="274"/>
      <c r="Z65" s="274"/>
      <c r="AA65" s="274"/>
      <c r="AB65" s="274"/>
      <c r="AC65" s="274"/>
      <c r="AD65" s="274"/>
      <c r="AE65" s="274"/>
      <c r="AF65" s="274"/>
      <c r="AG65" s="274"/>
      <c r="AH65" s="274"/>
      <c r="AI65" s="274"/>
      <c r="AJ65" s="274"/>
      <c r="AK65" s="274"/>
      <c r="AL65" s="274"/>
      <c r="AM65" s="274"/>
      <c r="AN65" s="274"/>
      <c r="AO65" s="274"/>
      <c r="AP65" s="274"/>
      <c r="AQ65" s="274"/>
      <c r="AR65" s="274"/>
      <c r="AS65" s="754"/>
      <c r="AT65" s="754"/>
      <c r="AU65" s="754"/>
      <c r="AV65" s="754"/>
      <c r="AW65" s="754"/>
      <c r="AX65" s="754"/>
      <c r="AY65" s="754"/>
      <c r="AZ65" s="994"/>
      <c r="BA65" s="995"/>
      <c r="BB65" s="995"/>
      <c r="BC65" s="995"/>
      <c r="BD65" s="995"/>
      <c r="BE65" s="995"/>
      <c r="BF65" s="996"/>
    </row>
  </sheetData>
  <mergeCells count="313">
    <mergeCell ref="AZ50:BF50"/>
    <mergeCell ref="AZ51:BF51"/>
    <mergeCell ref="AS63:AY63"/>
    <mergeCell ref="AZ63:BF63"/>
    <mergeCell ref="AS64:AY64"/>
    <mergeCell ref="AZ64:BF64"/>
    <mergeCell ref="AS65:AY65"/>
    <mergeCell ref="AZ65:BF65"/>
    <mergeCell ref="AZ62:BF62"/>
    <mergeCell ref="AZ61:BF61"/>
    <mergeCell ref="O62:T62"/>
    <mergeCell ref="U62:AC62"/>
    <mergeCell ref="AD62:AJ62"/>
    <mergeCell ref="AK62:AN62"/>
    <mergeCell ref="AO62:AR62"/>
    <mergeCell ref="AS62:AY62"/>
    <mergeCell ref="O61:T61"/>
    <mergeCell ref="U61:AC61"/>
    <mergeCell ref="AD61:AJ61"/>
    <mergeCell ref="AK61:AN61"/>
    <mergeCell ref="AO61:AR61"/>
    <mergeCell ref="AS61:AY61"/>
    <mergeCell ref="O60:T60"/>
    <mergeCell ref="U60:AC60"/>
    <mergeCell ref="AD60:AJ60"/>
    <mergeCell ref="AK60:AN60"/>
    <mergeCell ref="AO60:AR60"/>
    <mergeCell ref="AS60:AY60"/>
    <mergeCell ref="AZ58:BF58"/>
    <mergeCell ref="O59:T59"/>
    <mergeCell ref="U59:AC59"/>
    <mergeCell ref="AD59:AJ59"/>
    <mergeCell ref="AK59:AN59"/>
    <mergeCell ref="AO59:AR59"/>
    <mergeCell ref="AS59:AY59"/>
    <mergeCell ref="AZ59:BF59"/>
    <mergeCell ref="O58:T58"/>
    <mergeCell ref="U58:AC58"/>
    <mergeCell ref="AD58:AJ58"/>
    <mergeCell ref="AK58:AN58"/>
    <mergeCell ref="AO58:AR58"/>
    <mergeCell ref="AS58:AY58"/>
    <mergeCell ref="AZ60:BF60"/>
    <mergeCell ref="O54:T54"/>
    <mergeCell ref="U54:AC54"/>
    <mergeCell ref="AD54:AJ54"/>
    <mergeCell ref="AK54:AN54"/>
    <mergeCell ref="AO54:AR54"/>
    <mergeCell ref="AS54:AY54"/>
    <mergeCell ref="AZ56:BF56"/>
    <mergeCell ref="O57:T57"/>
    <mergeCell ref="U57:AC57"/>
    <mergeCell ref="AD57:AJ57"/>
    <mergeCell ref="AK57:AN57"/>
    <mergeCell ref="AO57:AR57"/>
    <mergeCell ref="AS57:AY57"/>
    <mergeCell ref="AZ57:BF57"/>
    <mergeCell ref="O56:T56"/>
    <mergeCell ref="U56:AC56"/>
    <mergeCell ref="AD56:AJ56"/>
    <mergeCell ref="AK56:AN56"/>
    <mergeCell ref="AO56:AR56"/>
    <mergeCell ref="AS56:AY56"/>
    <mergeCell ref="AZ54:BF54"/>
    <mergeCell ref="AZ55:BF55"/>
    <mergeCell ref="O55:T55"/>
    <mergeCell ref="U55:AC55"/>
    <mergeCell ref="U46:AC46"/>
    <mergeCell ref="AD46:AJ46"/>
    <mergeCell ref="AK46:AN46"/>
    <mergeCell ref="AO46:AR46"/>
    <mergeCell ref="AS46:AY46"/>
    <mergeCell ref="AZ46:BF46"/>
    <mergeCell ref="AZ52:BF52"/>
    <mergeCell ref="O53:T53"/>
    <mergeCell ref="U53:AC53"/>
    <mergeCell ref="AD53:AJ53"/>
    <mergeCell ref="AK53:AN53"/>
    <mergeCell ref="AO53:AR53"/>
    <mergeCell ref="AS53:AY53"/>
    <mergeCell ref="AZ53:BF53"/>
    <mergeCell ref="O52:T52"/>
    <mergeCell ref="U52:AC52"/>
    <mergeCell ref="AD52:AJ52"/>
    <mergeCell ref="AK52:AN52"/>
    <mergeCell ref="AO52:AR52"/>
    <mergeCell ref="AS52:AY52"/>
    <mergeCell ref="AS49:AY49"/>
    <mergeCell ref="AS50:AY50"/>
    <mergeCell ref="AS51:AY51"/>
    <mergeCell ref="AZ49:BF49"/>
    <mergeCell ref="U42:AC42"/>
    <mergeCell ref="AD42:AJ42"/>
    <mergeCell ref="AK42:AN42"/>
    <mergeCell ref="AO42:AR42"/>
    <mergeCell ref="AS42:AY42"/>
    <mergeCell ref="AZ42:BF42"/>
    <mergeCell ref="U45:AC45"/>
    <mergeCell ref="AD45:AJ45"/>
    <mergeCell ref="AK45:AN45"/>
    <mergeCell ref="AO45:AR45"/>
    <mergeCell ref="AS45:AY45"/>
    <mergeCell ref="AZ45:BF45"/>
    <mergeCell ref="U44:AC44"/>
    <mergeCell ref="AD44:AJ44"/>
    <mergeCell ref="AK44:AN44"/>
    <mergeCell ref="AO44:AR44"/>
    <mergeCell ref="AS44:AY44"/>
    <mergeCell ref="AZ44:BF44"/>
    <mergeCell ref="AD43:AJ43"/>
    <mergeCell ref="AK43:AN43"/>
    <mergeCell ref="AO43:AR43"/>
    <mergeCell ref="AS43:AY43"/>
    <mergeCell ref="AZ43:BF43"/>
    <mergeCell ref="U37:AC37"/>
    <mergeCell ref="AD37:AJ37"/>
    <mergeCell ref="AK37:AN37"/>
    <mergeCell ref="AO37:AR37"/>
    <mergeCell ref="AS37:AY37"/>
    <mergeCell ref="AZ37:BF37"/>
    <mergeCell ref="U41:AC41"/>
    <mergeCell ref="AD41:AJ41"/>
    <mergeCell ref="AK41:AN41"/>
    <mergeCell ref="AO41:AR41"/>
    <mergeCell ref="AS41:AY41"/>
    <mergeCell ref="AZ41:BF41"/>
    <mergeCell ref="U40:AC40"/>
    <mergeCell ref="AD40:AJ40"/>
    <mergeCell ref="AK40:AN40"/>
    <mergeCell ref="AO40:AR40"/>
    <mergeCell ref="AS40:AY40"/>
    <mergeCell ref="AZ40:BF40"/>
    <mergeCell ref="U36:AC36"/>
    <mergeCell ref="AD36:AJ36"/>
    <mergeCell ref="AK36:AN36"/>
    <mergeCell ref="AO36:AR36"/>
    <mergeCell ref="AS36:AY36"/>
    <mergeCell ref="AZ36:BF36"/>
    <mergeCell ref="U35:AC35"/>
    <mergeCell ref="AD35:AJ35"/>
    <mergeCell ref="AK35:AN35"/>
    <mergeCell ref="AO35:AR35"/>
    <mergeCell ref="AS35:AY35"/>
    <mergeCell ref="AZ35:BF35"/>
    <mergeCell ref="U34:AC34"/>
    <mergeCell ref="AD34:AJ34"/>
    <mergeCell ref="AK34:AN34"/>
    <mergeCell ref="AO34:AR34"/>
    <mergeCell ref="AS34:AY34"/>
    <mergeCell ref="AZ34:BF34"/>
    <mergeCell ref="AS32:AY32"/>
    <mergeCell ref="AZ32:BF32"/>
    <mergeCell ref="U33:AC33"/>
    <mergeCell ref="AD33:AJ33"/>
    <mergeCell ref="AK33:AN33"/>
    <mergeCell ref="AO33:AR33"/>
    <mergeCell ref="AS33:AY33"/>
    <mergeCell ref="AZ33:BF33"/>
    <mergeCell ref="AD32:AJ32"/>
    <mergeCell ref="AK32:AN32"/>
    <mergeCell ref="AO32:AR32"/>
    <mergeCell ref="U32:AC32"/>
    <mergeCell ref="U31:AC31"/>
    <mergeCell ref="AD31:AJ31"/>
    <mergeCell ref="AK31:AN31"/>
    <mergeCell ref="AO31:AR31"/>
    <mergeCell ref="AS31:AY31"/>
    <mergeCell ref="AZ31:BF31"/>
    <mergeCell ref="AS29:AY29"/>
    <mergeCell ref="AZ29:BF29"/>
    <mergeCell ref="U30:AC30"/>
    <mergeCell ref="AD30:AJ30"/>
    <mergeCell ref="AK30:AN30"/>
    <mergeCell ref="AO30:AR30"/>
    <mergeCell ref="AS30:AY30"/>
    <mergeCell ref="AZ30:BF30"/>
    <mergeCell ref="U29:AC29"/>
    <mergeCell ref="AD29:AJ29"/>
    <mergeCell ref="AK29:AN29"/>
    <mergeCell ref="AO29:AR29"/>
    <mergeCell ref="U28:AC28"/>
    <mergeCell ref="AD28:AJ28"/>
    <mergeCell ref="AK28:AN28"/>
    <mergeCell ref="AO28:AR28"/>
    <mergeCell ref="AS28:AY28"/>
    <mergeCell ref="AZ28:BF28"/>
    <mergeCell ref="U27:AC27"/>
    <mergeCell ref="AD27:AJ27"/>
    <mergeCell ref="AK27:AN27"/>
    <mergeCell ref="AO27:AR27"/>
    <mergeCell ref="AS27:AY27"/>
    <mergeCell ref="AZ27:BF27"/>
    <mergeCell ref="U26:AC26"/>
    <mergeCell ref="AD26:AJ26"/>
    <mergeCell ref="AK26:AN26"/>
    <mergeCell ref="AO26:AR26"/>
    <mergeCell ref="AS26:AY26"/>
    <mergeCell ref="AZ26:BF26"/>
    <mergeCell ref="U25:AC25"/>
    <mergeCell ref="AD25:AJ25"/>
    <mergeCell ref="AK25:AN25"/>
    <mergeCell ref="AO25:AR25"/>
    <mergeCell ref="AS25:AY25"/>
    <mergeCell ref="AZ25:BF25"/>
    <mergeCell ref="U24:AC24"/>
    <mergeCell ref="AD24:AJ24"/>
    <mergeCell ref="AK24:AN24"/>
    <mergeCell ref="AO24:AR24"/>
    <mergeCell ref="AS24:AY24"/>
    <mergeCell ref="AZ24:BF24"/>
    <mergeCell ref="AS22:AY22"/>
    <mergeCell ref="AZ22:BF22"/>
    <mergeCell ref="U23:AC23"/>
    <mergeCell ref="AD23:AJ23"/>
    <mergeCell ref="AK23:AN23"/>
    <mergeCell ref="AO23:AR23"/>
    <mergeCell ref="AS23:AY23"/>
    <mergeCell ref="AZ23:BF23"/>
    <mergeCell ref="U22:AC22"/>
    <mergeCell ref="AD22:AJ22"/>
    <mergeCell ref="AK22:AN22"/>
    <mergeCell ref="AO22:AR22"/>
    <mergeCell ref="U21:AC21"/>
    <mergeCell ref="AD21:AJ21"/>
    <mergeCell ref="AK21:AN21"/>
    <mergeCell ref="AO21:AR21"/>
    <mergeCell ref="AS21:AY21"/>
    <mergeCell ref="AZ21:BF21"/>
    <mergeCell ref="U20:AC20"/>
    <mergeCell ref="AD20:AJ20"/>
    <mergeCell ref="AK20:AN20"/>
    <mergeCell ref="AO20:AR20"/>
    <mergeCell ref="AS20:AY20"/>
    <mergeCell ref="AZ20:BF20"/>
    <mergeCell ref="O25:T25"/>
    <mergeCell ref="O38:T38"/>
    <mergeCell ref="O39:T39"/>
    <mergeCell ref="O40:T40"/>
    <mergeCell ref="O41:T41"/>
    <mergeCell ref="O42:T42"/>
    <mergeCell ref="O43:T43"/>
    <mergeCell ref="O32:T32"/>
    <mergeCell ref="O33:T33"/>
    <mergeCell ref="O34:T34"/>
    <mergeCell ref="O35:T35"/>
    <mergeCell ref="O36:T36"/>
    <mergeCell ref="O37:T37"/>
    <mergeCell ref="O26:T26"/>
    <mergeCell ref="O27:T27"/>
    <mergeCell ref="O28:T28"/>
    <mergeCell ref="O29:T29"/>
    <mergeCell ref="O30:T30"/>
    <mergeCell ref="O31:T31"/>
    <mergeCell ref="AZ16:BF18"/>
    <mergeCell ref="AO19:AR19"/>
    <mergeCell ref="AK19:AN19"/>
    <mergeCell ref="AD19:AJ19"/>
    <mergeCell ref="U19:AC19"/>
    <mergeCell ref="O19:T19"/>
    <mergeCell ref="AK16:AR17"/>
    <mergeCell ref="AO18:AR18"/>
    <mergeCell ref="AK18:AN18"/>
    <mergeCell ref="AS16:AY18"/>
    <mergeCell ref="AS19:AY19"/>
    <mergeCell ref="AZ19:BF19"/>
    <mergeCell ref="O20:T20"/>
    <mergeCell ref="O21:T21"/>
    <mergeCell ref="O22:T22"/>
    <mergeCell ref="O23:T23"/>
    <mergeCell ref="O24:T24"/>
    <mergeCell ref="AO48:AR48"/>
    <mergeCell ref="AS48:AY48"/>
    <mergeCell ref="AZ48:BF48"/>
    <mergeCell ref="O44:T44"/>
    <mergeCell ref="O45:T45"/>
    <mergeCell ref="O46:T46"/>
    <mergeCell ref="U38:AC38"/>
    <mergeCell ref="AD38:AJ38"/>
    <mergeCell ref="AK38:AN38"/>
    <mergeCell ref="AO38:AR38"/>
    <mergeCell ref="AS38:AY38"/>
    <mergeCell ref="AZ38:BF38"/>
    <mergeCell ref="U39:AC39"/>
    <mergeCell ref="AD39:AJ39"/>
    <mergeCell ref="AK39:AN39"/>
    <mergeCell ref="AO39:AR39"/>
    <mergeCell ref="AS39:AY39"/>
    <mergeCell ref="AZ39:BF39"/>
    <mergeCell ref="U43:AC43"/>
    <mergeCell ref="AD55:AJ55"/>
    <mergeCell ref="AK55:AN55"/>
    <mergeCell ref="AO55:AR55"/>
    <mergeCell ref="AS55:AY55"/>
    <mergeCell ref="C19:D19"/>
    <mergeCell ref="E19:N19"/>
    <mergeCell ref="W5:AO9"/>
    <mergeCell ref="AX5:BE9"/>
    <mergeCell ref="C16:D18"/>
    <mergeCell ref="E16:N18"/>
    <mergeCell ref="O16:T18"/>
    <mergeCell ref="U16:AC18"/>
    <mergeCell ref="AD16:AJ18"/>
    <mergeCell ref="AD47:AJ47"/>
    <mergeCell ref="AK47:AN47"/>
    <mergeCell ref="AO47:AR47"/>
    <mergeCell ref="AS47:AY47"/>
    <mergeCell ref="O47:T47"/>
    <mergeCell ref="O48:T48"/>
    <mergeCell ref="U47:AC47"/>
    <mergeCell ref="AZ47:BF47"/>
    <mergeCell ref="U48:AC48"/>
    <mergeCell ref="AD48:AJ48"/>
    <mergeCell ref="AK48:AN48"/>
  </mergeCells>
  <pageMargins left="0.25" right="0.25" top="0.75" bottom="0.75" header="0.3" footer="0.3"/>
  <pageSetup scale="37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2361A-64C2-4544-9DF3-D7BF643305A5}">
  <dimension ref="C4:BB85"/>
  <sheetViews>
    <sheetView showGridLines="0" topLeftCell="B1" zoomScale="90" zoomScaleNormal="90" workbookViewId="0">
      <selection activeCell="E76" sqref="E76:K77"/>
    </sheetView>
  </sheetViews>
  <sheetFormatPr defaultRowHeight="15" x14ac:dyDescent="0.25"/>
  <cols>
    <col min="2" max="2" width="8.7109375" customWidth="1"/>
    <col min="3" max="3" width="4.28515625" customWidth="1"/>
    <col min="4" max="4" width="5.28515625" customWidth="1"/>
    <col min="5" max="6" width="4.28515625" customWidth="1"/>
    <col min="7" max="7" width="4.42578125" customWidth="1"/>
    <col min="8" max="9" width="4.5703125" customWidth="1"/>
    <col min="10" max="10" width="4.42578125" customWidth="1"/>
    <col min="11" max="11" width="4.7109375" customWidth="1"/>
    <col min="12" max="13" width="4.28515625" customWidth="1"/>
    <col min="14" max="15" width="3.42578125" customWidth="1"/>
    <col min="16" max="20" width="4.28515625" customWidth="1"/>
    <col min="21" max="26" width="3.7109375" customWidth="1"/>
    <col min="27" max="36" width="4.28515625" customWidth="1"/>
    <col min="37" max="37" width="5.7109375" customWidth="1"/>
    <col min="38" max="45" width="4.28515625" customWidth="1"/>
  </cols>
  <sheetData>
    <row r="4" spans="3:42" x14ac:dyDescent="0.25">
      <c r="C4" s="190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2"/>
      <c r="O4" s="192"/>
      <c r="P4" s="192"/>
      <c r="Q4" s="192"/>
      <c r="R4" s="192"/>
      <c r="S4" s="192"/>
      <c r="T4" s="192"/>
      <c r="U4" s="192"/>
      <c r="V4" s="192"/>
      <c r="W4" s="192"/>
      <c r="X4" s="192"/>
      <c r="Y4" s="192"/>
      <c r="Z4" s="192"/>
      <c r="AA4" s="192"/>
      <c r="AB4" s="192"/>
      <c r="AC4" s="192"/>
      <c r="AD4" s="192"/>
      <c r="AE4" s="192"/>
      <c r="AF4" s="192"/>
      <c r="AG4" s="192"/>
      <c r="AH4" s="192"/>
      <c r="AI4" s="192"/>
      <c r="AJ4" s="192"/>
      <c r="AK4" s="192"/>
      <c r="AL4" s="192"/>
      <c r="AM4" s="192"/>
      <c r="AN4" s="192"/>
      <c r="AO4" s="192"/>
      <c r="AP4" s="193"/>
    </row>
    <row r="5" spans="3:42" ht="15.6" customHeight="1" x14ac:dyDescent="0.4">
      <c r="C5" s="194"/>
      <c r="D5" s="170" t="s">
        <v>202</v>
      </c>
      <c r="E5" s="14"/>
      <c r="F5" s="14"/>
      <c r="G5" s="14"/>
      <c r="H5" s="14"/>
      <c r="I5" s="14"/>
      <c r="J5" s="14"/>
      <c r="K5" s="14"/>
      <c r="L5" s="14"/>
      <c r="M5" s="14"/>
      <c r="N5" s="163"/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48"/>
      <c r="Z5" s="248"/>
      <c r="AA5" s="248"/>
      <c r="AB5" s="248"/>
      <c r="AC5" s="248"/>
      <c r="AD5" s="248"/>
      <c r="AE5" s="248"/>
      <c r="AF5" s="248"/>
      <c r="AG5" s="248"/>
      <c r="AH5" s="163"/>
      <c r="AI5" s="163"/>
      <c r="AJ5" s="163"/>
      <c r="AK5" s="163"/>
      <c r="AL5" s="163"/>
      <c r="AM5" s="163"/>
      <c r="AN5" s="163"/>
      <c r="AO5" s="163"/>
      <c r="AP5" s="195"/>
    </row>
    <row r="6" spans="3:42" ht="2.65" customHeight="1" x14ac:dyDescent="0.4">
      <c r="C6" s="194"/>
      <c r="D6" s="14"/>
      <c r="E6" s="14"/>
      <c r="F6" s="14"/>
      <c r="G6" s="14"/>
      <c r="H6" s="14"/>
      <c r="I6" s="14"/>
      <c r="J6" s="14"/>
      <c r="K6" s="14"/>
      <c r="L6" s="14"/>
      <c r="M6" s="14"/>
      <c r="N6" s="163"/>
      <c r="O6" s="248"/>
      <c r="P6" s="248"/>
      <c r="Q6" s="248"/>
      <c r="R6" s="248"/>
      <c r="S6" s="248"/>
      <c r="T6" s="248"/>
      <c r="U6" s="248"/>
      <c r="V6" s="248"/>
      <c r="W6" s="248"/>
      <c r="X6" s="248"/>
      <c r="Y6" s="248"/>
      <c r="Z6" s="248"/>
      <c r="AA6" s="248"/>
      <c r="AB6" s="248"/>
      <c r="AC6" s="248"/>
      <c r="AD6" s="248"/>
      <c r="AE6" s="248"/>
      <c r="AF6" s="248"/>
      <c r="AG6" s="248"/>
      <c r="AH6" s="163"/>
      <c r="AI6" s="163"/>
      <c r="AJ6" s="163"/>
      <c r="AK6" s="163"/>
      <c r="AL6" s="163"/>
      <c r="AM6" s="163"/>
      <c r="AN6" s="163"/>
      <c r="AO6" s="163"/>
      <c r="AP6" s="195"/>
    </row>
    <row r="7" spans="3:42" ht="14.65" customHeight="1" x14ac:dyDescent="0.35">
      <c r="C7" s="194"/>
      <c r="D7" s="174" t="s">
        <v>511</v>
      </c>
      <c r="E7" s="14"/>
      <c r="F7" s="14"/>
      <c r="G7" s="14"/>
      <c r="H7" s="14"/>
      <c r="I7" s="225"/>
      <c r="J7" s="225"/>
      <c r="K7" s="225"/>
      <c r="L7" s="225"/>
      <c r="M7" s="225"/>
      <c r="N7" s="163"/>
      <c r="O7" s="993" t="s">
        <v>516</v>
      </c>
      <c r="P7" s="993"/>
      <c r="Q7" s="993"/>
      <c r="R7" s="993"/>
      <c r="S7" s="993"/>
      <c r="T7" s="993"/>
      <c r="U7" s="993"/>
      <c r="V7" s="993"/>
      <c r="W7" s="993"/>
      <c r="X7" s="993"/>
      <c r="Y7" s="993"/>
      <c r="Z7" s="993"/>
      <c r="AA7" s="993"/>
      <c r="AB7" s="993"/>
      <c r="AC7" s="993"/>
      <c r="AD7" s="993"/>
      <c r="AE7" s="993"/>
      <c r="AF7" s="993"/>
      <c r="AG7" s="993"/>
      <c r="AH7" s="163"/>
      <c r="AI7" s="887" t="s">
        <v>652</v>
      </c>
      <c r="AJ7" s="887"/>
      <c r="AK7" s="887"/>
      <c r="AL7" s="887"/>
      <c r="AM7" s="887"/>
      <c r="AN7" s="887"/>
      <c r="AO7" s="887"/>
      <c r="AP7" s="195"/>
    </row>
    <row r="8" spans="3:42" ht="2.65" customHeight="1" x14ac:dyDescent="0.35">
      <c r="C8" s="194"/>
      <c r="D8" s="2"/>
      <c r="E8" s="14"/>
      <c r="F8" s="14"/>
      <c r="G8" s="14"/>
      <c r="H8" s="14"/>
      <c r="I8" s="225"/>
      <c r="J8" s="225"/>
      <c r="K8" s="225"/>
      <c r="L8" s="225"/>
      <c r="M8" s="225"/>
      <c r="N8" s="163"/>
      <c r="O8" s="993"/>
      <c r="P8" s="993"/>
      <c r="Q8" s="993"/>
      <c r="R8" s="993"/>
      <c r="S8" s="993"/>
      <c r="T8" s="993"/>
      <c r="U8" s="993"/>
      <c r="V8" s="993"/>
      <c r="W8" s="993"/>
      <c r="X8" s="993"/>
      <c r="Y8" s="993"/>
      <c r="Z8" s="993"/>
      <c r="AA8" s="993"/>
      <c r="AB8" s="993"/>
      <c r="AC8" s="993"/>
      <c r="AD8" s="993"/>
      <c r="AE8" s="993"/>
      <c r="AF8" s="993"/>
      <c r="AG8" s="993"/>
      <c r="AH8" s="163"/>
      <c r="AI8" s="887"/>
      <c r="AJ8" s="887"/>
      <c r="AK8" s="887"/>
      <c r="AL8" s="887"/>
      <c r="AM8" s="887"/>
      <c r="AN8" s="887"/>
      <c r="AO8" s="887"/>
      <c r="AP8" s="195"/>
    </row>
    <row r="9" spans="3:42" ht="14.65" customHeight="1" x14ac:dyDescent="0.25">
      <c r="C9" s="194"/>
      <c r="D9" s="174" t="s">
        <v>650</v>
      </c>
      <c r="E9" s="175"/>
      <c r="F9" s="175"/>
      <c r="G9" s="175"/>
      <c r="H9" s="175"/>
      <c r="I9" s="227"/>
      <c r="J9" s="227"/>
      <c r="K9" s="227"/>
      <c r="L9" s="227"/>
      <c r="M9" s="227"/>
      <c r="N9" s="163"/>
      <c r="O9" s="993"/>
      <c r="P9" s="993"/>
      <c r="Q9" s="993"/>
      <c r="R9" s="993"/>
      <c r="S9" s="993"/>
      <c r="T9" s="993"/>
      <c r="U9" s="993"/>
      <c r="V9" s="993"/>
      <c r="W9" s="993"/>
      <c r="X9" s="993"/>
      <c r="Y9" s="993"/>
      <c r="Z9" s="993"/>
      <c r="AA9" s="993"/>
      <c r="AB9" s="993"/>
      <c r="AC9" s="993"/>
      <c r="AD9" s="993"/>
      <c r="AE9" s="993"/>
      <c r="AF9" s="993"/>
      <c r="AG9" s="993"/>
      <c r="AH9" s="163"/>
      <c r="AI9" s="887"/>
      <c r="AJ9" s="887"/>
      <c r="AK9" s="887"/>
      <c r="AL9" s="887"/>
      <c r="AM9" s="887"/>
      <c r="AN9" s="887"/>
      <c r="AO9" s="887"/>
      <c r="AP9" s="195"/>
    </row>
    <row r="10" spans="3:42" ht="2.65" customHeight="1" x14ac:dyDescent="0.25">
      <c r="C10" s="194"/>
      <c r="D10" s="2"/>
      <c r="E10" s="175"/>
      <c r="F10" s="175"/>
      <c r="G10" s="175"/>
      <c r="H10" s="175"/>
      <c r="I10" s="227"/>
      <c r="J10" s="227"/>
      <c r="K10" s="227"/>
      <c r="L10" s="227"/>
      <c r="M10" s="227"/>
      <c r="N10" s="163"/>
      <c r="O10" s="993"/>
      <c r="P10" s="993"/>
      <c r="Q10" s="993"/>
      <c r="R10" s="993"/>
      <c r="S10" s="993"/>
      <c r="T10" s="993"/>
      <c r="U10" s="993"/>
      <c r="V10" s="993"/>
      <c r="W10" s="993"/>
      <c r="X10" s="993"/>
      <c r="Y10" s="993"/>
      <c r="Z10" s="993"/>
      <c r="AA10" s="993"/>
      <c r="AB10" s="993"/>
      <c r="AC10" s="993"/>
      <c r="AD10" s="993"/>
      <c r="AE10" s="993"/>
      <c r="AF10" s="993"/>
      <c r="AG10" s="993"/>
      <c r="AH10" s="163"/>
      <c r="AI10" s="887"/>
      <c r="AJ10" s="887"/>
      <c r="AK10" s="887"/>
      <c r="AL10" s="887"/>
      <c r="AM10" s="887"/>
      <c r="AN10" s="887"/>
      <c r="AO10" s="887"/>
      <c r="AP10" s="195"/>
    </row>
    <row r="11" spans="3:42" ht="14.65" customHeight="1" x14ac:dyDescent="0.25">
      <c r="C11" s="194"/>
      <c r="D11" s="174" t="s">
        <v>512</v>
      </c>
      <c r="E11" s="175"/>
      <c r="F11" s="175"/>
      <c r="G11" s="175"/>
      <c r="H11" s="175"/>
      <c r="I11" s="227"/>
      <c r="J11" s="227"/>
      <c r="K11" s="227"/>
      <c r="L11" s="227"/>
      <c r="M11" s="227"/>
      <c r="N11" s="163"/>
      <c r="O11" s="993"/>
      <c r="P11" s="993"/>
      <c r="Q11" s="993"/>
      <c r="R11" s="993"/>
      <c r="S11" s="993"/>
      <c r="T11" s="993"/>
      <c r="U11" s="993"/>
      <c r="V11" s="993"/>
      <c r="W11" s="993"/>
      <c r="X11" s="993"/>
      <c r="Y11" s="993"/>
      <c r="Z11" s="993"/>
      <c r="AA11" s="993"/>
      <c r="AB11" s="993"/>
      <c r="AC11" s="993"/>
      <c r="AD11" s="993"/>
      <c r="AE11" s="993"/>
      <c r="AF11" s="993"/>
      <c r="AG11" s="993"/>
      <c r="AH11" s="163"/>
      <c r="AI11" s="887"/>
      <c r="AJ11" s="887"/>
      <c r="AK11" s="887"/>
      <c r="AL11" s="887"/>
      <c r="AM11" s="887"/>
      <c r="AN11" s="887"/>
      <c r="AO11" s="887"/>
      <c r="AP11" s="195"/>
    </row>
    <row r="12" spans="3:42" ht="2.65" customHeight="1" x14ac:dyDescent="0.25">
      <c r="C12" s="194"/>
      <c r="D12" s="2"/>
      <c r="E12" s="175"/>
      <c r="F12" s="175"/>
      <c r="G12" s="175"/>
      <c r="H12" s="175"/>
      <c r="I12" s="227"/>
      <c r="J12" s="227"/>
      <c r="K12" s="227"/>
      <c r="L12" s="227"/>
      <c r="M12" s="227"/>
      <c r="N12" s="163"/>
      <c r="O12" s="171"/>
      <c r="P12" s="172"/>
      <c r="Q12" s="163"/>
      <c r="R12" s="163"/>
      <c r="S12" s="163"/>
      <c r="T12" s="163"/>
      <c r="U12" s="163"/>
      <c r="V12" s="163"/>
      <c r="W12" s="163"/>
      <c r="X12" s="163"/>
      <c r="Y12" s="163"/>
      <c r="Z12" s="163"/>
      <c r="AA12" s="163"/>
      <c r="AB12" s="163"/>
      <c r="AC12" s="163"/>
      <c r="AD12" s="163"/>
      <c r="AE12" s="163"/>
      <c r="AF12" s="163"/>
      <c r="AG12" s="163"/>
      <c r="AH12" s="163"/>
      <c r="AI12" s="887"/>
      <c r="AJ12" s="887"/>
      <c r="AK12" s="887"/>
      <c r="AL12" s="887"/>
      <c r="AM12" s="887"/>
      <c r="AN12" s="887"/>
      <c r="AO12" s="887"/>
      <c r="AP12" s="195"/>
    </row>
    <row r="13" spans="3:42" ht="16.5" customHeight="1" x14ac:dyDescent="0.25">
      <c r="C13" s="194"/>
      <c r="D13" s="174" t="s">
        <v>651</v>
      </c>
      <c r="E13" s="175"/>
      <c r="F13" s="175"/>
      <c r="G13" s="175"/>
      <c r="H13" s="175"/>
      <c r="I13" s="227"/>
      <c r="J13" s="227"/>
      <c r="K13" s="227"/>
      <c r="L13" s="227"/>
      <c r="M13" s="227"/>
      <c r="N13" s="230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  <c r="AA13" s="163"/>
      <c r="AB13" s="163"/>
      <c r="AC13" s="163"/>
      <c r="AD13" s="163"/>
      <c r="AE13" s="163"/>
      <c r="AF13" s="163"/>
      <c r="AG13" s="163"/>
      <c r="AH13" s="163"/>
      <c r="AI13" s="887"/>
      <c r="AJ13" s="887"/>
      <c r="AK13" s="887"/>
      <c r="AL13" s="887"/>
      <c r="AM13" s="887"/>
      <c r="AN13" s="887"/>
      <c r="AO13" s="887"/>
      <c r="AP13" s="195"/>
    </row>
    <row r="14" spans="3:42" ht="2.65" customHeight="1" x14ac:dyDescent="0.25">
      <c r="C14" s="194"/>
      <c r="D14" s="2"/>
      <c r="E14" s="175"/>
      <c r="F14" s="175"/>
      <c r="G14" s="175"/>
      <c r="H14" s="175"/>
      <c r="I14" s="175"/>
      <c r="J14" s="175"/>
      <c r="K14" s="175"/>
      <c r="L14" s="175"/>
      <c r="M14" s="175"/>
      <c r="N14" s="163"/>
      <c r="O14" s="176"/>
      <c r="P14" s="176"/>
      <c r="Q14" s="163"/>
      <c r="R14" s="163"/>
      <c r="S14" s="163"/>
      <c r="T14" s="163"/>
      <c r="U14" s="163"/>
      <c r="V14" s="163"/>
      <c r="W14" s="163"/>
      <c r="X14" s="163"/>
      <c r="Y14" s="163"/>
      <c r="Z14" s="163"/>
      <c r="AA14" s="163"/>
      <c r="AB14" s="163"/>
      <c r="AC14" s="163"/>
      <c r="AD14" s="163"/>
      <c r="AE14" s="163"/>
      <c r="AF14" s="163"/>
      <c r="AG14" s="163"/>
      <c r="AH14" s="163"/>
      <c r="AI14" s="163"/>
      <c r="AJ14" s="163"/>
      <c r="AK14" s="163"/>
      <c r="AL14" s="163"/>
      <c r="AM14" s="163"/>
      <c r="AN14" s="163"/>
      <c r="AO14" s="163"/>
      <c r="AP14" s="195"/>
    </row>
    <row r="15" spans="3:42" x14ac:dyDescent="0.25">
      <c r="C15" s="194"/>
      <c r="D15" s="2" t="s">
        <v>513</v>
      </c>
      <c r="E15" s="175"/>
      <c r="F15" s="175"/>
      <c r="G15" s="175"/>
      <c r="H15" s="175"/>
      <c r="I15" s="175"/>
      <c r="J15" s="175"/>
      <c r="K15" s="175"/>
      <c r="L15" s="175"/>
      <c r="M15" s="175"/>
      <c r="N15" s="163"/>
      <c r="O15" s="176"/>
      <c r="P15" s="176"/>
      <c r="Q15" s="163"/>
      <c r="R15" s="163"/>
      <c r="S15" s="163"/>
      <c r="T15" s="163"/>
      <c r="U15" s="163"/>
      <c r="V15" s="163"/>
      <c r="W15" s="163"/>
      <c r="X15" s="163"/>
      <c r="Y15" s="163"/>
      <c r="Z15" s="163"/>
      <c r="AA15" s="163"/>
      <c r="AB15" s="163"/>
      <c r="AC15" s="163"/>
      <c r="AD15" s="163"/>
      <c r="AE15" s="163"/>
      <c r="AF15" s="163"/>
      <c r="AG15" s="163"/>
      <c r="AH15" s="163"/>
      <c r="AI15" s="163"/>
      <c r="AJ15" s="163"/>
      <c r="AK15" s="163"/>
      <c r="AL15" s="163"/>
      <c r="AM15" s="163"/>
      <c r="AN15" s="163"/>
      <c r="AO15" s="163"/>
      <c r="AP15" s="195"/>
    </row>
    <row r="16" spans="3:42" ht="3" customHeight="1" x14ac:dyDescent="0.25">
      <c r="C16" s="194"/>
      <c r="D16" s="2"/>
      <c r="E16" s="175"/>
      <c r="F16" s="175"/>
      <c r="G16" s="175"/>
      <c r="H16" s="175"/>
      <c r="I16" s="175"/>
      <c r="J16" s="175"/>
      <c r="K16" s="175"/>
      <c r="L16" s="175"/>
      <c r="M16" s="175"/>
      <c r="N16" s="163"/>
      <c r="O16" s="176"/>
      <c r="P16" s="176"/>
      <c r="Q16" s="163"/>
      <c r="R16" s="163"/>
      <c r="S16" s="163"/>
      <c r="T16" s="163"/>
      <c r="U16" s="163"/>
      <c r="V16" s="163"/>
      <c r="W16" s="163"/>
      <c r="X16" s="163"/>
      <c r="Y16" s="163"/>
      <c r="Z16" s="163"/>
      <c r="AA16" s="163"/>
      <c r="AB16" s="163"/>
      <c r="AC16" s="163"/>
      <c r="AD16" s="163"/>
      <c r="AE16" s="163"/>
      <c r="AF16" s="163"/>
      <c r="AG16" s="163"/>
      <c r="AH16" s="163"/>
      <c r="AI16" s="163"/>
      <c r="AJ16" s="163"/>
      <c r="AK16" s="163"/>
      <c r="AL16" s="163"/>
      <c r="AM16" s="163"/>
      <c r="AN16" s="163"/>
      <c r="AO16" s="163"/>
      <c r="AP16" s="195"/>
    </row>
    <row r="17" spans="3:54" x14ac:dyDescent="0.25">
      <c r="C17" s="194"/>
      <c r="D17" s="2" t="s">
        <v>514</v>
      </c>
      <c r="E17" s="175"/>
      <c r="F17" s="175"/>
      <c r="G17" s="175"/>
      <c r="H17" s="175"/>
      <c r="I17" s="175"/>
      <c r="J17" s="175"/>
      <c r="K17" s="175"/>
      <c r="L17" s="175"/>
      <c r="M17" s="175"/>
      <c r="N17" s="163"/>
      <c r="O17" s="231" t="s">
        <v>36</v>
      </c>
      <c r="P17" s="176"/>
      <c r="Q17" s="45"/>
      <c r="R17" s="1013"/>
      <c r="S17" s="1013"/>
      <c r="T17" s="1013"/>
      <c r="U17" s="1013"/>
      <c r="V17" s="1013"/>
      <c r="W17" s="1013"/>
      <c r="X17" s="1013"/>
      <c r="Y17" s="1013"/>
      <c r="Z17" s="1013"/>
      <c r="AA17" s="1013"/>
      <c r="AB17" s="1013"/>
      <c r="AC17" s="1013"/>
      <c r="AD17" s="1013"/>
      <c r="AE17" s="1013"/>
      <c r="AF17" s="1013"/>
      <c r="AG17" s="1013"/>
      <c r="AH17" s="163"/>
      <c r="AI17" s="214" t="s">
        <v>11</v>
      </c>
      <c r="AJ17" s="163"/>
      <c r="AK17" s="163"/>
      <c r="AL17" s="1012"/>
      <c r="AM17" s="1012"/>
      <c r="AN17" s="1012"/>
      <c r="AO17" s="1012"/>
      <c r="AP17" s="195"/>
    </row>
    <row r="18" spans="3:54" ht="2.65" customHeight="1" x14ac:dyDescent="0.25">
      <c r="C18" s="194"/>
      <c r="D18" s="2"/>
      <c r="E18" s="175"/>
      <c r="F18" s="175"/>
      <c r="G18" s="175"/>
      <c r="H18" s="175"/>
      <c r="I18" s="175"/>
      <c r="J18" s="175"/>
      <c r="K18" s="175"/>
      <c r="L18" s="175"/>
      <c r="M18" s="175"/>
      <c r="N18" s="163"/>
      <c r="O18" s="176"/>
      <c r="P18" s="176"/>
      <c r="Q18" s="163"/>
      <c r="R18" s="1014"/>
      <c r="S18" s="1014"/>
      <c r="T18" s="1014"/>
      <c r="U18" s="1014"/>
      <c r="V18" s="1014"/>
      <c r="W18" s="1014"/>
      <c r="X18" s="1014"/>
      <c r="Y18" s="1014"/>
      <c r="Z18" s="1014"/>
      <c r="AA18" s="1014"/>
      <c r="AB18" s="1014"/>
      <c r="AC18" s="1014"/>
      <c r="AD18" s="1014"/>
      <c r="AE18" s="1014"/>
      <c r="AF18" s="1014"/>
      <c r="AG18" s="1014"/>
      <c r="AH18" s="163"/>
      <c r="AI18" s="163"/>
      <c r="AJ18" s="163"/>
      <c r="AK18" s="163"/>
      <c r="AL18" s="1012"/>
      <c r="AM18" s="1012"/>
      <c r="AN18" s="1012"/>
      <c r="AO18" s="1012"/>
      <c r="AP18" s="195"/>
    </row>
    <row r="19" spans="3:54" ht="11.65" customHeight="1" x14ac:dyDescent="0.25">
      <c r="C19" s="194"/>
      <c r="D19" s="174" t="s">
        <v>515</v>
      </c>
      <c r="E19" s="14"/>
      <c r="F19" s="14"/>
      <c r="G19" s="14"/>
      <c r="H19" s="14"/>
      <c r="I19" s="14"/>
      <c r="J19" s="14"/>
      <c r="K19" s="14"/>
      <c r="L19" s="14"/>
      <c r="M19" s="14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  <c r="AA19" s="163"/>
      <c r="AB19" s="163"/>
      <c r="AC19" s="163"/>
      <c r="AD19" s="163"/>
      <c r="AE19" s="163"/>
      <c r="AF19" s="163"/>
      <c r="AG19" s="163"/>
      <c r="AH19" s="163"/>
      <c r="AI19" s="163"/>
      <c r="AJ19" s="163"/>
      <c r="AK19" s="163"/>
      <c r="AL19" s="163"/>
      <c r="AM19" s="163"/>
      <c r="AN19" s="163"/>
      <c r="AO19" s="163"/>
      <c r="AP19" s="195"/>
    </row>
    <row r="20" spans="3:54" ht="6" customHeight="1" x14ac:dyDescent="0.25">
      <c r="C20" s="194"/>
      <c r="D20" s="174"/>
      <c r="E20" s="14"/>
      <c r="F20" s="14"/>
      <c r="G20" s="14"/>
      <c r="H20" s="14"/>
      <c r="I20" s="14"/>
      <c r="J20" s="14"/>
      <c r="K20" s="14"/>
      <c r="L20" s="14"/>
      <c r="M20" s="14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  <c r="AA20" s="163"/>
      <c r="AB20" s="163"/>
      <c r="AC20" s="163"/>
      <c r="AD20" s="163"/>
      <c r="AE20" s="163"/>
      <c r="AF20" s="163"/>
      <c r="AG20" s="163"/>
      <c r="AH20" s="163"/>
      <c r="AI20" s="163"/>
      <c r="AJ20" s="163"/>
      <c r="AK20" s="163"/>
      <c r="AL20" s="163"/>
      <c r="AM20" s="163"/>
      <c r="AN20" s="163"/>
      <c r="AO20" s="163"/>
      <c r="AP20" s="195"/>
    </row>
    <row r="21" spans="3:54" ht="2.65" customHeight="1" x14ac:dyDescent="0.25">
      <c r="C21" s="197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  <c r="AL21" s="115"/>
      <c r="AM21" s="115"/>
      <c r="AN21" s="115"/>
      <c r="AO21" s="115"/>
      <c r="AP21" s="198"/>
      <c r="AQ21" s="115"/>
      <c r="AR21" s="115"/>
    </row>
    <row r="22" spans="3:54" x14ac:dyDescent="0.25">
      <c r="C22" s="329" t="s">
        <v>28</v>
      </c>
      <c r="D22" s="330" t="s">
        <v>654</v>
      </c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200"/>
    </row>
    <row r="23" spans="3:54" ht="3.6" customHeight="1" x14ac:dyDescent="0.25">
      <c r="C23" s="201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202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6"/>
    </row>
    <row r="24" spans="3:54" ht="18.600000000000001" customHeight="1" x14ac:dyDescent="0.25">
      <c r="C24" s="892" t="s">
        <v>263</v>
      </c>
      <c r="D24" s="794"/>
      <c r="E24" s="764" t="s">
        <v>653</v>
      </c>
      <c r="F24" s="764"/>
      <c r="G24" s="764"/>
      <c r="H24" s="764"/>
      <c r="I24" s="764"/>
      <c r="J24" s="764"/>
      <c r="K24" s="764"/>
      <c r="L24" s="764"/>
      <c r="M24" s="764"/>
      <c r="N24" s="764"/>
      <c r="O24" s="764"/>
      <c r="P24" s="764"/>
      <c r="Q24" s="764"/>
      <c r="R24" s="764"/>
      <c r="S24" s="764"/>
      <c r="T24" s="764"/>
      <c r="U24" s="764"/>
      <c r="V24" s="764"/>
      <c r="W24" s="892" t="s">
        <v>523</v>
      </c>
      <c r="X24" s="794"/>
      <c r="Y24" s="794"/>
      <c r="Z24" s="794"/>
      <c r="AA24" s="794"/>
      <c r="AB24" s="794"/>
      <c r="AC24" s="794"/>
      <c r="AD24" s="794"/>
      <c r="AE24" s="794"/>
      <c r="AF24" s="794"/>
      <c r="AG24" s="794"/>
      <c r="AH24" s="794"/>
      <c r="AI24" s="794"/>
      <c r="AJ24" s="794"/>
      <c r="AK24" s="794"/>
      <c r="AL24" s="764" t="s">
        <v>200</v>
      </c>
      <c r="AM24" s="764"/>
      <c r="AN24" s="764"/>
      <c r="AO24" s="764"/>
      <c r="AP24" s="764"/>
      <c r="AQ24" s="153"/>
      <c r="AR24" s="153"/>
      <c r="AS24" s="153"/>
      <c r="BA24" s="154"/>
      <c r="BB24" s="154"/>
    </row>
    <row r="25" spans="3:54" ht="14.65" customHeight="1" x14ac:dyDescent="0.25">
      <c r="C25" s="744"/>
      <c r="D25" s="749"/>
      <c r="E25" s="764" t="s">
        <v>176</v>
      </c>
      <c r="F25" s="764"/>
      <c r="G25" s="764"/>
      <c r="H25" s="764" t="s">
        <v>517</v>
      </c>
      <c r="I25" s="764"/>
      <c r="J25" s="764"/>
      <c r="K25" s="764" t="s">
        <v>462</v>
      </c>
      <c r="L25" s="764"/>
      <c r="M25" s="764"/>
      <c r="N25" s="764"/>
      <c r="O25" s="764"/>
      <c r="P25" s="764" t="s">
        <v>518</v>
      </c>
      <c r="Q25" s="764"/>
      <c r="R25" s="764"/>
      <c r="S25" s="764" t="s">
        <v>519</v>
      </c>
      <c r="T25" s="764"/>
      <c r="U25" s="764"/>
      <c r="V25" s="764"/>
      <c r="W25" s="892" t="s">
        <v>7</v>
      </c>
      <c r="X25" s="794"/>
      <c r="Y25" s="794"/>
      <c r="Z25" s="889"/>
      <c r="AA25" s="892" t="s">
        <v>520</v>
      </c>
      <c r="AB25" s="794"/>
      <c r="AC25" s="889"/>
      <c r="AD25" s="764" t="s">
        <v>521</v>
      </c>
      <c r="AE25" s="764"/>
      <c r="AF25" s="764"/>
      <c r="AG25" s="764"/>
      <c r="AH25" s="892" t="s">
        <v>522</v>
      </c>
      <c r="AI25" s="794"/>
      <c r="AJ25" s="794"/>
      <c r="AK25" s="794"/>
      <c r="AL25" s="764"/>
      <c r="AM25" s="764"/>
      <c r="AN25" s="764"/>
      <c r="AO25" s="764"/>
      <c r="AP25" s="764"/>
      <c r="AQ25" s="153"/>
      <c r="AR25" s="153"/>
      <c r="AZ25" s="153"/>
      <c r="BA25" s="154"/>
    </row>
    <row r="26" spans="3:54" ht="19.149999999999999" customHeight="1" x14ac:dyDescent="0.25">
      <c r="C26" s="893"/>
      <c r="D26" s="796"/>
      <c r="E26" s="764"/>
      <c r="F26" s="764"/>
      <c r="G26" s="764"/>
      <c r="H26" s="764"/>
      <c r="I26" s="764"/>
      <c r="J26" s="764"/>
      <c r="K26" s="764"/>
      <c r="L26" s="764"/>
      <c r="M26" s="764"/>
      <c r="N26" s="764"/>
      <c r="O26" s="764"/>
      <c r="P26" s="764"/>
      <c r="Q26" s="764"/>
      <c r="R26" s="764"/>
      <c r="S26" s="764"/>
      <c r="T26" s="764"/>
      <c r="U26" s="764"/>
      <c r="V26" s="764"/>
      <c r="W26" s="893"/>
      <c r="X26" s="796"/>
      <c r="Y26" s="796"/>
      <c r="Z26" s="891"/>
      <c r="AA26" s="893"/>
      <c r="AB26" s="796"/>
      <c r="AC26" s="891"/>
      <c r="AD26" s="764"/>
      <c r="AE26" s="764"/>
      <c r="AF26" s="764"/>
      <c r="AG26" s="764"/>
      <c r="AH26" s="893"/>
      <c r="AI26" s="796"/>
      <c r="AJ26" s="796"/>
      <c r="AK26" s="796"/>
      <c r="AL26" s="764"/>
      <c r="AM26" s="764"/>
      <c r="AN26" s="764"/>
      <c r="AO26" s="764"/>
      <c r="AP26" s="764"/>
    </row>
    <row r="27" spans="3:54" x14ac:dyDescent="0.25">
      <c r="C27" s="755" t="s">
        <v>213</v>
      </c>
      <c r="D27" s="755"/>
      <c r="E27" s="755" t="s">
        <v>214</v>
      </c>
      <c r="F27" s="755"/>
      <c r="G27" s="755"/>
      <c r="H27" s="755" t="s">
        <v>215</v>
      </c>
      <c r="I27" s="755"/>
      <c r="J27" s="755"/>
      <c r="K27" s="755" t="s">
        <v>216</v>
      </c>
      <c r="L27" s="755"/>
      <c r="M27" s="755"/>
      <c r="N27" s="755"/>
      <c r="O27" s="755"/>
      <c r="P27" s="755" t="s">
        <v>217</v>
      </c>
      <c r="Q27" s="755"/>
      <c r="R27" s="755"/>
      <c r="S27" s="755" t="s">
        <v>218</v>
      </c>
      <c r="T27" s="755"/>
      <c r="U27" s="755"/>
      <c r="V27" s="755"/>
      <c r="W27" s="755" t="s">
        <v>219</v>
      </c>
      <c r="X27" s="755"/>
      <c r="Y27" s="755"/>
      <c r="Z27" s="755"/>
      <c r="AA27" s="755" t="s">
        <v>220</v>
      </c>
      <c r="AB27" s="755"/>
      <c r="AC27" s="755"/>
      <c r="AD27" s="755" t="s">
        <v>223</v>
      </c>
      <c r="AE27" s="755"/>
      <c r="AF27" s="755"/>
      <c r="AG27" s="755"/>
      <c r="AH27" s="755" t="s">
        <v>248</v>
      </c>
      <c r="AI27" s="755"/>
      <c r="AJ27" s="755"/>
      <c r="AK27" s="755"/>
      <c r="AL27" s="755" t="s">
        <v>455</v>
      </c>
      <c r="AM27" s="755"/>
      <c r="AN27" s="755"/>
      <c r="AO27" s="755"/>
      <c r="AP27" s="755"/>
    </row>
    <row r="28" spans="3:54" x14ac:dyDescent="0.25">
      <c r="C28" s="755"/>
      <c r="D28" s="755"/>
      <c r="E28" s="754"/>
      <c r="F28" s="754"/>
      <c r="G28" s="754"/>
      <c r="H28" s="754"/>
      <c r="I28" s="754"/>
      <c r="J28" s="754"/>
      <c r="K28" s="754"/>
      <c r="L28" s="754"/>
      <c r="M28" s="754"/>
      <c r="N28" s="754"/>
      <c r="O28" s="754"/>
      <c r="P28" s="754"/>
      <c r="Q28" s="754"/>
      <c r="R28" s="754"/>
      <c r="S28" s="754"/>
      <c r="T28" s="754"/>
      <c r="U28" s="754"/>
      <c r="V28" s="754"/>
      <c r="W28" s="754"/>
      <c r="X28" s="754"/>
      <c r="Y28" s="754"/>
      <c r="Z28" s="754"/>
      <c r="AA28" s="754"/>
      <c r="AB28" s="754"/>
      <c r="AC28" s="754"/>
      <c r="AD28" s="754"/>
      <c r="AE28" s="754"/>
      <c r="AF28" s="754"/>
      <c r="AG28" s="754"/>
      <c r="AH28" s="754"/>
      <c r="AI28" s="754"/>
      <c r="AJ28" s="754"/>
      <c r="AK28" s="754"/>
      <c r="AL28" s="754"/>
      <c r="AM28" s="754"/>
      <c r="AN28" s="754"/>
      <c r="AO28" s="754"/>
      <c r="AP28" s="754"/>
    </row>
    <row r="29" spans="3:54" x14ac:dyDescent="0.25">
      <c r="C29" s="755"/>
      <c r="D29" s="755"/>
      <c r="E29" s="754"/>
      <c r="F29" s="754"/>
      <c r="G29" s="754"/>
      <c r="H29" s="754"/>
      <c r="I29" s="754"/>
      <c r="J29" s="754"/>
      <c r="K29" s="754"/>
      <c r="L29" s="754"/>
      <c r="M29" s="754"/>
      <c r="N29" s="754"/>
      <c r="O29" s="754"/>
      <c r="P29" s="754"/>
      <c r="Q29" s="754"/>
      <c r="R29" s="754"/>
      <c r="S29" s="754"/>
      <c r="T29" s="754"/>
      <c r="U29" s="754"/>
      <c r="V29" s="754"/>
      <c r="W29" s="754"/>
      <c r="X29" s="754"/>
      <c r="Y29" s="754"/>
      <c r="Z29" s="754"/>
      <c r="AA29" s="754"/>
      <c r="AB29" s="754"/>
      <c r="AC29" s="754"/>
      <c r="AD29" s="754"/>
      <c r="AE29" s="754"/>
      <c r="AF29" s="754"/>
      <c r="AG29" s="754"/>
      <c r="AH29" s="754"/>
      <c r="AI29" s="754"/>
      <c r="AJ29" s="754"/>
      <c r="AK29" s="754"/>
      <c r="AL29" s="754"/>
      <c r="AM29" s="754"/>
      <c r="AN29" s="754"/>
      <c r="AO29" s="754"/>
      <c r="AP29" s="754"/>
    </row>
    <row r="30" spans="3:54" x14ac:dyDescent="0.25">
      <c r="C30" s="755"/>
      <c r="D30" s="755"/>
      <c r="E30" s="754"/>
      <c r="F30" s="754"/>
      <c r="G30" s="754"/>
      <c r="H30" s="754"/>
      <c r="I30" s="754"/>
      <c r="J30" s="754"/>
      <c r="K30" s="754"/>
      <c r="L30" s="754"/>
      <c r="M30" s="754"/>
      <c r="N30" s="754"/>
      <c r="O30" s="754"/>
      <c r="P30" s="754"/>
      <c r="Q30" s="754"/>
      <c r="R30" s="754"/>
      <c r="S30" s="754"/>
      <c r="T30" s="754"/>
      <c r="U30" s="754"/>
      <c r="V30" s="754"/>
      <c r="W30" s="754"/>
      <c r="X30" s="754"/>
      <c r="Y30" s="754"/>
      <c r="Z30" s="754"/>
      <c r="AA30" s="754"/>
      <c r="AB30" s="754"/>
      <c r="AC30" s="754"/>
      <c r="AD30" s="754"/>
      <c r="AE30" s="754"/>
      <c r="AF30" s="754"/>
      <c r="AG30" s="754"/>
      <c r="AH30" s="754"/>
      <c r="AI30" s="754"/>
      <c r="AJ30" s="754"/>
      <c r="AK30" s="754"/>
      <c r="AL30" s="754"/>
      <c r="AM30" s="754"/>
      <c r="AN30" s="754"/>
      <c r="AO30" s="754"/>
      <c r="AP30" s="754"/>
    </row>
    <row r="31" spans="3:54" x14ac:dyDescent="0.25">
      <c r="C31" s="755"/>
      <c r="D31" s="755"/>
      <c r="E31" s="754"/>
      <c r="F31" s="754"/>
      <c r="G31" s="754"/>
      <c r="H31" s="754"/>
      <c r="I31" s="754"/>
      <c r="J31" s="754"/>
      <c r="K31" s="754"/>
      <c r="L31" s="754"/>
      <c r="M31" s="754"/>
      <c r="N31" s="754"/>
      <c r="O31" s="754"/>
      <c r="P31" s="754"/>
      <c r="Q31" s="754"/>
      <c r="R31" s="754"/>
      <c r="S31" s="754"/>
      <c r="T31" s="754"/>
      <c r="U31" s="754"/>
      <c r="V31" s="754"/>
      <c r="W31" s="754"/>
      <c r="X31" s="754"/>
      <c r="Y31" s="754"/>
      <c r="Z31" s="754"/>
      <c r="AA31" s="754"/>
      <c r="AB31" s="754"/>
      <c r="AC31" s="754"/>
      <c r="AD31" s="754"/>
      <c r="AE31" s="754"/>
      <c r="AF31" s="754"/>
      <c r="AG31" s="754"/>
      <c r="AH31" s="754"/>
      <c r="AI31" s="754"/>
      <c r="AJ31" s="754"/>
      <c r="AK31" s="754"/>
      <c r="AL31" s="754"/>
      <c r="AM31" s="754"/>
      <c r="AN31" s="754"/>
      <c r="AO31" s="754"/>
      <c r="AP31" s="754"/>
    </row>
    <row r="32" spans="3:54" x14ac:dyDescent="0.25">
      <c r="C32" s="755"/>
      <c r="D32" s="755"/>
      <c r="E32" s="754"/>
      <c r="F32" s="754"/>
      <c r="G32" s="754"/>
      <c r="H32" s="754"/>
      <c r="I32" s="754"/>
      <c r="J32" s="754"/>
      <c r="K32" s="754"/>
      <c r="L32" s="754"/>
      <c r="M32" s="754"/>
      <c r="N32" s="754"/>
      <c r="O32" s="754"/>
      <c r="P32" s="754"/>
      <c r="Q32" s="754"/>
      <c r="R32" s="754"/>
      <c r="S32" s="754"/>
      <c r="T32" s="754"/>
      <c r="U32" s="754"/>
      <c r="V32" s="754"/>
      <c r="W32" s="754"/>
      <c r="X32" s="754"/>
      <c r="Y32" s="754"/>
      <c r="Z32" s="754"/>
      <c r="AA32" s="754"/>
      <c r="AB32" s="754"/>
      <c r="AC32" s="754"/>
      <c r="AD32" s="754"/>
      <c r="AE32" s="754"/>
      <c r="AF32" s="754"/>
      <c r="AG32" s="754"/>
      <c r="AH32" s="754"/>
      <c r="AI32" s="754"/>
      <c r="AJ32" s="754"/>
      <c r="AK32" s="754"/>
      <c r="AL32" s="754"/>
      <c r="AM32" s="754"/>
      <c r="AN32" s="754"/>
      <c r="AO32" s="754"/>
      <c r="AP32" s="754"/>
    </row>
    <row r="33" spans="3:42" x14ac:dyDescent="0.25">
      <c r="C33" s="755"/>
      <c r="D33" s="755"/>
      <c r="E33" s="754"/>
      <c r="F33" s="754"/>
      <c r="G33" s="754"/>
      <c r="H33" s="754"/>
      <c r="I33" s="754"/>
      <c r="J33" s="754"/>
      <c r="K33" s="754"/>
      <c r="L33" s="754"/>
      <c r="M33" s="754"/>
      <c r="N33" s="754"/>
      <c r="O33" s="754"/>
      <c r="P33" s="754"/>
      <c r="Q33" s="754"/>
      <c r="R33" s="754"/>
      <c r="S33" s="754"/>
      <c r="T33" s="754"/>
      <c r="U33" s="754"/>
      <c r="V33" s="754"/>
      <c r="W33" s="754"/>
      <c r="X33" s="754"/>
      <c r="Y33" s="754"/>
      <c r="Z33" s="754"/>
      <c r="AA33" s="754"/>
      <c r="AB33" s="754"/>
      <c r="AC33" s="754"/>
      <c r="AD33" s="754"/>
      <c r="AE33" s="754"/>
      <c r="AF33" s="754"/>
      <c r="AG33" s="754"/>
      <c r="AH33" s="754"/>
      <c r="AI33" s="754"/>
      <c r="AJ33" s="754"/>
      <c r="AK33" s="754"/>
      <c r="AL33" s="754"/>
      <c r="AM33" s="754"/>
      <c r="AN33" s="754"/>
      <c r="AO33" s="754"/>
      <c r="AP33" s="754"/>
    </row>
    <row r="34" spans="3:42" x14ac:dyDescent="0.25">
      <c r="C34" s="755"/>
      <c r="D34" s="755"/>
      <c r="E34" s="754"/>
      <c r="F34" s="754"/>
      <c r="G34" s="754"/>
      <c r="H34" s="754"/>
      <c r="I34" s="754"/>
      <c r="J34" s="754"/>
      <c r="K34" s="754"/>
      <c r="L34" s="754"/>
      <c r="M34" s="754"/>
      <c r="N34" s="754"/>
      <c r="O34" s="754"/>
      <c r="P34" s="754"/>
      <c r="Q34" s="754"/>
      <c r="R34" s="754"/>
      <c r="S34" s="754"/>
      <c r="T34" s="754"/>
      <c r="U34" s="754"/>
      <c r="V34" s="754"/>
      <c r="W34" s="754"/>
      <c r="X34" s="754"/>
      <c r="Y34" s="754"/>
      <c r="Z34" s="754"/>
      <c r="AA34" s="754"/>
      <c r="AB34" s="754"/>
      <c r="AC34" s="754"/>
      <c r="AD34" s="754"/>
      <c r="AE34" s="754"/>
      <c r="AF34" s="754"/>
      <c r="AG34" s="754"/>
      <c r="AH34" s="754"/>
      <c r="AI34" s="754"/>
      <c r="AJ34" s="754"/>
      <c r="AK34" s="754"/>
      <c r="AL34" s="754"/>
      <c r="AM34" s="754"/>
      <c r="AN34" s="754"/>
      <c r="AO34" s="754"/>
      <c r="AP34" s="754"/>
    </row>
    <row r="35" spans="3:42" x14ac:dyDescent="0.25">
      <c r="C35" s="755"/>
      <c r="D35" s="755"/>
      <c r="E35" s="754"/>
      <c r="F35" s="754"/>
      <c r="G35" s="754"/>
      <c r="H35" s="754"/>
      <c r="I35" s="754"/>
      <c r="J35" s="754"/>
      <c r="K35" s="754"/>
      <c r="L35" s="754"/>
      <c r="M35" s="754"/>
      <c r="N35" s="754"/>
      <c r="O35" s="754"/>
      <c r="P35" s="754"/>
      <c r="Q35" s="754"/>
      <c r="R35" s="754"/>
      <c r="S35" s="754"/>
      <c r="T35" s="754"/>
      <c r="U35" s="754"/>
      <c r="V35" s="754"/>
      <c r="W35" s="754"/>
      <c r="X35" s="754"/>
      <c r="Y35" s="754"/>
      <c r="Z35" s="754"/>
      <c r="AA35" s="754"/>
      <c r="AB35" s="754"/>
      <c r="AC35" s="754"/>
      <c r="AD35" s="754"/>
      <c r="AE35" s="754"/>
      <c r="AF35" s="754"/>
      <c r="AG35" s="754"/>
      <c r="AH35" s="754"/>
      <c r="AI35" s="754"/>
      <c r="AJ35" s="754"/>
      <c r="AK35" s="754"/>
      <c r="AL35" s="754"/>
      <c r="AM35" s="754"/>
      <c r="AN35" s="754"/>
      <c r="AO35" s="754"/>
      <c r="AP35" s="754"/>
    </row>
    <row r="36" spans="3:42" x14ac:dyDescent="0.25">
      <c r="C36" s="755"/>
      <c r="D36" s="755"/>
      <c r="E36" s="754"/>
      <c r="F36" s="754"/>
      <c r="G36" s="754"/>
      <c r="H36" s="754"/>
      <c r="I36" s="754"/>
      <c r="J36" s="754"/>
      <c r="K36" s="754"/>
      <c r="L36" s="754"/>
      <c r="M36" s="754"/>
      <c r="N36" s="754"/>
      <c r="O36" s="754"/>
      <c r="P36" s="754"/>
      <c r="Q36" s="754"/>
      <c r="R36" s="754"/>
      <c r="S36" s="754"/>
      <c r="T36" s="754"/>
      <c r="U36" s="754"/>
      <c r="V36" s="754"/>
      <c r="W36" s="754"/>
      <c r="X36" s="754"/>
      <c r="Y36" s="754"/>
      <c r="Z36" s="754"/>
      <c r="AA36" s="754"/>
      <c r="AB36" s="754"/>
      <c r="AC36" s="754"/>
      <c r="AD36" s="754"/>
      <c r="AE36" s="754"/>
      <c r="AF36" s="754"/>
      <c r="AG36" s="754"/>
      <c r="AH36" s="754"/>
      <c r="AI36" s="754"/>
      <c r="AJ36" s="754"/>
      <c r="AK36" s="754"/>
      <c r="AL36" s="754"/>
      <c r="AM36" s="754"/>
      <c r="AN36" s="754"/>
      <c r="AO36" s="754"/>
      <c r="AP36" s="754"/>
    </row>
    <row r="37" spans="3:42" x14ac:dyDescent="0.25">
      <c r="C37" s="755"/>
      <c r="D37" s="755"/>
      <c r="E37" s="754"/>
      <c r="F37" s="754"/>
      <c r="G37" s="754"/>
      <c r="H37" s="754"/>
      <c r="I37" s="754"/>
      <c r="J37" s="754"/>
      <c r="K37" s="754"/>
      <c r="L37" s="754"/>
      <c r="M37" s="754"/>
      <c r="N37" s="754"/>
      <c r="O37" s="754"/>
      <c r="P37" s="754"/>
      <c r="Q37" s="754"/>
      <c r="R37" s="754"/>
      <c r="S37" s="754"/>
      <c r="T37" s="754"/>
      <c r="U37" s="754"/>
      <c r="V37" s="754"/>
      <c r="W37" s="754"/>
      <c r="X37" s="754"/>
      <c r="Y37" s="754"/>
      <c r="Z37" s="754"/>
      <c r="AA37" s="754"/>
      <c r="AB37" s="754"/>
      <c r="AC37" s="754"/>
      <c r="AD37" s="754"/>
      <c r="AE37" s="754"/>
      <c r="AF37" s="754"/>
      <c r="AG37" s="754"/>
      <c r="AH37" s="754"/>
      <c r="AI37" s="754"/>
      <c r="AJ37" s="754"/>
      <c r="AK37" s="754"/>
      <c r="AL37" s="754"/>
      <c r="AM37" s="754"/>
      <c r="AN37" s="754"/>
      <c r="AO37" s="754"/>
      <c r="AP37" s="754"/>
    </row>
    <row r="38" spans="3:42" x14ac:dyDescent="0.25">
      <c r="C38" s="755"/>
      <c r="D38" s="755"/>
      <c r="E38" s="754"/>
      <c r="F38" s="754"/>
      <c r="G38" s="754"/>
      <c r="H38" s="754"/>
      <c r="I38" s="754"/>
      <c r="J38" s="754"/>
      <c r="K38" s="754"/>
      <c r="L38" s="754"/>
      <c r="M38" s="754"/>
      <c r="N38" s="754"/>
      <c r="O38" s="754"/>
      <c r="P38" s="754"/>
      <c r="Q38" s="754"/>
      <c r="R38" s="754"/>
      <c r="S38" s="754"/>
      <c r="T38" s="754"/>
      <c r="U38" s="754"/>
      <c r="V38" s="754"/>
      <c r="W38" s="754"/>
      <c r="X38" s="754"/>
      <c r="Y38" s="754"/>
      <c r="Z38" s="754"/>
      <c r="AA38" s="754"/>
      <c r="AB38" s="754"/>
      <c r="AC38" s="754"/>
      <c r="AD38" s="754"/>
      <c r="AE38" s="754"/>
      <c r="AF38" s="754"/>
      <c r="AG38" s="754"/>
      <c r="AH38" s="754"/>
      <c r="AI38" s="754"/>
      <c r="AJ38" s="754"/>
      <c r="AK38" s="754"/>
      <c r="AL38" s="754"/>
      <c r="AM38" s="754"/>
      <c r="AN38" s="754"/>
      <c r="AO38" s="754"/>
      <c r="AP38" s="754"/>
    </row>
    <row r="39" spans="3:42" x14ac:dyDescent="0.25">
      <c r="C39" s="755"/>
      <c r="D39" s="755"/>
      <c r="E39" s="754"/>
      <c r="F39" s="754"/>
      <c r="G39" s="754"/>
      <c r="H39" s="754"/>
      <c r="I39" s="754"/>
      <c r="J39" s="754"/>
      <c r="K39" s="754"/>
      <c r="L39" s="754"/>
      <c r="M39" s="754"/>
      <c r="N39" s="754"/>
      <c r="O39" s="754"/>
      <c r="P39" s="754"/>
      <c r="Q39" s="754"/>
      <c r="R39" s="754"/>
      <c r="S39" s="754"/>
      <c r="T39" s="754"/>
      <c r="U39" s="754"/>
      <c r="V39" s="754"/>
      <c r="W39" s="754"/>
      <c r="X39" s="754"/>
      <c r="Y39" s="754"/>
      <c r="Z39" s="754"/>
      <c r="AA39" s="754"/>
      <c r="AB39" s="754"/>
      <c r="AC39" s="754"/>
      <c r="AD39" s="754"/>
      <c r="AE39" s="754"/>
      <c r="AF39" s="754"/>
      <c r="AG39" s="754"/>
      <c r="AH39" s="754"/>
      <c r="AI39" s="754"/>
      <c r="AJ39" s="754"/>
      <c r="AK39" s="754"/>
      <c r="AL39" s="754"/>
      <c r="AM39" s="754"/>
      <c r="AN39" s="754"/>
      <c r="AO39" s="754"/>
      <c r="AP39" s="754"/>
    </row>
    <row r="40" spans="3:42" x14ac:dyDescent="0.25">
      <c r="C40" s="755"/>
      <c r="D40" s="755"/>
      <c r="E40" s="754"/>
      <c r="F40" s="754"/>
      <c r="G40" s="754"/>
      <c r="H40" s="754"/>
      <c r="I40" s="754"/>
      <c r="J40" s="754"/>
      <c r="K40" s="754"/>
      <c r="L40" s="754"/>
      <c r="M40" s="754"/>
      <c r="N40" s="754"/>
      <c r="O40" s="754"/>
      <c r="P40" s="754"/>
      <c r="Q40" s="754"/>
      <c r="R40" s="754"/>
      <c r="S40" s="754"/>
      <c r="T40" s="754"/>
      <c r="U40" s="754"/>
      <c r="V40" s="754"/>
      <c r="W40" s="754"/>
      <c r="X40" s="754"/>
      <c r="Y40" s="754"/>
      <c r="Z40" s="754"/>
      <c r="AA40" s="754"/>
      <c r="AB40" s="754"/>
      <c r="AC40" s="754"/>
      <c r="AD40" s="754"/>
      <c r="AE40" s="754"/>
      <c r="AF40" s="754"/>
      <c r="AG40" s="754"/>
      <c r="AH40" s="754"/>
      <c r="AI40" s="754"/>
      <c r="AJ40" s="754"/>
      <c r="AK40" s="754"/>
      <c r="AL40" s="754"/>
      <c r="AM40" s="754"/>
      <c r="AN40" s="754"/>
      <c r="AO40" s="754"/>
      <c r="AP40" s="754"/>
    </row>
    <row r="41" spans="3:42" x14ac:dyDescent="0.25">
      <c r="C41" s="755"/>
      <c r="D41" s="755"/>
      <c r="E41" s="754"/>
      <c r="F41" s="754"/>
      <c r="G41" s="754"/>
      <c r="H41" s="754"/>
      <c r="I41" s="754"/>
      <c r="J41" s="754"/>
      <c r="K41" s="754"/>
      <c r="L41" s="754"/>
      <c r="M41" s="754"/>
      <c r="N41" s="754"/>
      <c r="O41" s="754"/>
      <c r="P41" s="754"/>
      <c r="Q41" s="754"/>
      <c r="R41" s="754"/>
      <c r="S41" s="754"/>
      <c r="T41" s="754"/>
      <c r="U41" s="754"/>
      <c r="V41" s="754"/>
      <c r="W41" s="754"/>
      <c r="X41" s="754"/>
      <c r="Y41" s="754"/>
      <c r="Z41" s="754"/>
      <c r="AA41" s="754"/>
      <c r="AB41" s="754"/>
      <c r="AC41" s="754"/>
      <c r="AD41" s="754"/>
      <c r="AE41" s="754"/>
      <c r="AF41" s="754"/>
      <c r="AG41" s="754"/>
      <c r="AH41" s="754"/>
      <c r="AI41" s="754"/>
      <c r="AJ41" s="754"/>
      <c r="AK41" s="754"/>
      <c r="AL41" s="754"/>
      <c r="AM41" s="754"/>
      <c r="AN41" s="754"/>
      <c r="AO41" s="754"/>
      <c r="AP41" s="754"/>
    </row>
    <row r="42" spans="3:42" ht="11.65" customHeight="1" x14ac:dyDescent="0.25">
      <c r="C42" s="1011"/>
      <c r="D42" s="808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208"/>
    </row>
    <row r="43" spans="3:42" ht="11.65" customHeight="1" x14ac:dyDescent="0.25">
      <c r="C43" s="1011"/>
      <c r="D43" s="808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208"/>
    </row>
    <row r="44" spans="3:42" x14ac:dyDescent="0.25">
      <c r="C44" s="329" t="s">
        <v>51</v>
      </c>
      <c r="D44" s="330" t="s">
        <v>524</v>
      </c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200"/>
    </row>
    <row r="45" spans="3:42" ht="3" customHeight="1" x14ac:dyDescent="0.25">
      <c r="C45" s="201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202"/>
    </row>
    <row r="46" spans="3:42" x14ac:dyDescent="0.25">
      <c r="C46" s="892" t="s">
        <v>263</v>
      </c>
      <c r="D46" s="794"/>
      <c r="E46" s="728" t="s">
        <v>525</v>
      </c>
      <c r="F46" s="728"/>
      <c r="G46" s="728"/>
      <c r="H46" s="728"/>
      <c r="I46" s="728"/>
      <c r="J46" s="728"/>
      <c r="K46" s="728"/>
      <c r="L46" s="728"/>
      <c r="M46" s="728"/>
      <c r="N46" s="728"/>
      <c r="O46" s="728"/>
      <c r="P46" s="728"/>
      <c r="Q46" s="728"/>
      <c r="R46" s="728"/>
      <c r="S46" s="728"/>
      <c r="T46" s="728"/>
      <c r="U46" s="728"/>
      <c r="V46" s="728"/>
      <c r="W46" s="728"/>
      <c r="X46" s="728"/>
      <c r="Y46" s="728"/>
      <c r="Z46" s="728"/>
      <c r="AA46" s="728"/>
      <c r="AB46" s="728"/>
      <c r="AC46" s="728"/>
      <c r="AD46" s="728"/>
      <c r="AE46" s="728"/>
      <c r="AF46" s="728"/>
      <c r="AG46" s="728"/>
      <c r="AH46" s="728" t="s">
        <v>529</v>
      </c>
      <c r="AI46" s="728"/>
      <c r="AJ46" s="728"/>
      <c r="AK46" s="728"/>
      <c r="AL46" s="728"/>
      <c r="AM46" s="728"/>
      <c r="AN46" s="728"/>
      <c r="AO46" s="728"/>
      <c r="AP46" s="728"/>
    </row>
    <row r="47" spans="3:42" x14ac:dyDescent="0.25">
      <c r="C47" s="744"/>
      <c r="D47" s="749"/>
      <c r="E47" s="728" t="s">
        <v>526</v>
      </c>
      <c r="F47" s="728"/>
      <c r="G47" s="728"/>
      <c r="H47" s="728"/>
      <c r="I47" s="728"/>
      <c r="J47" s="728"/>
      <c r="K47" s="728"/>
      <c r="L47" s="728" t="s">
        <v>7</v>
      </c>
      <c r="M47" s="728"/>
      <c r="N47" s="728"/>
      <c r="O47" s="728"/>
      <c r="P47" s="728" t="s">
        <v>462</v>
      </c>
      <c r="Q47" s="728"/>
      <c r="R47" s="728"/>
      <c r="S47" s="728"/>
      <c r="T47" s="935" t="s">
        <v>176</v>
      </c>
      <c r="U47" s="627"/>
      <c r="V47" s="936"/>
      <c r="W47" s="846" t="s">
        <v>527</v>
      </c>
      <c r="X47" s="847"/>
      <c r="Y47" s="845"/>
      <c r="Z47" s="935" t="s">
        <v>528</v>
      </c>
      <c r="AA47" s="627"/>
      <c r="AB47" s="627"/>
      <c r="AC47" s="936"/>
      <c r="AD47" s="728" t="s">
        <v>200</v>
      </c>
      <c r="AE47" s="728"/>
      <c r="AF47" s="728"/>
      <c r="AG47" s="728"/>
      <c r="AH47" s="728" t="s">
        <v>519</v>
      </c>
      <c r="AI47" s="728"/>
      <c r="AJ47" s="728"/>
      <c r="AK47" s="728"/>
      <c r="AL47" s="728"/>
      <c r="AM47" s="849" t="s">
        <v>530</v>
      </c>
      <c r="AN47" s="849"/>
      <c r="AO47" s="849"/>
      <c r="AP47" s="849"/>
    </row>
    <row r="48" spans="3:42" ht="25.5" customHeight="1" x14ac:dyDescent="0.25">
      <c r="C48" s="893"/>
      <c r="D48" s="796"/>
      <c r="E48" s="728"/>
      <c r="F48" s="728"/>
      <c r="G48" s="728"/>
      <c r="H48" s="728"/>
      <c r="I48" s="728"/>
      <c r="J48" s="728"/>
      <c r="K48" s="728"/>
      <c r="L48" s="728"/>
      <c r="M48" s="728"/>
      <c r="N48" s="728"/>
      <c r="O48" s="728"/>
      <c r="P48" s="728"/>
      <c r="Q48" s="728"/>
      <c r="R48" s="728"/>
      <c r="S48" s="728"/>
      <c r="T48" s="937"/>
      <c r="U48" s="938"/>
      <c r="V48" s="939"/>
      <c r="W48" s="1015"/>
      <c r="X48" s="1016"/>
      <c r="Y48" s="1017"/>
      <c r="Z48" s="937"/>
      <c r="AA48" s="938"/>
      <c r="AB48" s="938"/>
      <c r="AC48" s="939"/>
      <c r="AD48" s="728"/>
      <c r="AE48" s="728"/>
      <c r="AF48" s="728"/>
      <c r="AG48" s="728"/>
      <c r="AH48" s="728"/>
      <c r="AI48" s="728"/>
      <c r="AJ48" s="728"/>
      <c r="AK48" s="728"/>
      <c r="AL48" s="728"/>
      <c r="AM48" s="849"/>
      <c r="AN48" s="849"/>
      <c r="AO48" s="849"/>
      <c r="AP48" s="849"/>
    </row>
    <row r="49" spans="3:42" x14ac:dyDescent="0.25">
      <c r="C49" s="755" t="s">
        <v>213</v>
      </c>
      <c r="D49" s="755"/>
      <c r="E49" s="755" t="s">
        <v>214</v>
      </c>
      <c r="F49" s="754"/>
      <c r="G49" s="754"/>
      <c r="H49" s="754"/>
      <c r="I49" s="754"/>
      <c r="J49" s="754"/>
      <c r="K49" s="754"/>
      <c r="L49" s="755" t="s">
        <v>215</v>
      </c>
      <c r="M49" s="754"/>
      <c r="N49" s="754"/>
      <c r="O49" s="754"/>
      <c r="P49" s="755" t="s">
        <v>216</v>
      </c>
      <c r="Q49" s="754"/>
      <c r="R49" s="754"/>
      <c r="S49" s="754"/>
      <c r="T49" s="755" t="s">
        <v>217</v>
      </c>
      <c r="U49" s="754"/>
      <c r="V49" s="754"/>
      <c r="W49" s="755" t="s">
        <v>218</v>
      </c>
      <c r="X49" s="754"/>
      <c r="Y49" s="754"/>
      <c r="Z49" s="755" t="s">
        <v>219</v>
      </c>
      <c r="AA49" s="754"/>
      <c r="AB49" s="754"/>
      <c r="AC49" s="754"/>
      <c r="AD49" s="755" t="s">
        <v>220</v>
      </c>
      <c r="AE49" s="754"/>
      <c r="AF49" s="754"/>
      <c r="AG49" s="754"/>
      <c r="AH49" s="755" t="s">
        <v>223</v>
      </c>
      <c r="AI49" s="754"/>
      <c r="AJ49" s="754"/>
      <c r="AK49" s="754"/>
      <c r="AL49" s="754"/>
      <c r="AM49" s="755" t="s">
        <v>248</v>
      </c>
      <c r="AN49" s="754"/>
      <c r="AO49" s="754"/>
      <c r="AP49" s="754"/>
    </row>
    <row r="50" spans="3:42" x14ac:dyDescent="0.25">
      <c r="C50" s="755"/>
      <c r="D50" s="755"/>
      <c r="E50" s="998"/>
      <c r="F50" s="998"/>
      <c r="G50" s="998"/>
      <c r="H50" s="998"/>
      <c r="I50" s="998"/>
      <c r="J50" s="998"/>
      <c r="K50" s="998"/>
      <c r="L50" s="998"/>
      <c r="M50" s="998"/>
      <c r="N50" s="998"/>
      <c r="O50" s="998"/>
      <c r="P50" s="998"/>
      <c r="Q50" s="998"/>
      <c r="R50" s="998"/>
      <c r="S50" s="998"/>
      <c r="T50" s="998"/>
      <c r="U50" s="998"/>
      <c r="V50" s="998"/>
      <c r="W50" s="997"/>
      <c r="X50" s="997"/>
      <c r="Y50" s="997"/>
      <c r="Z50" s="998"/>
      <c r="AA50" s="998"/>
      <c r="AB50" s="998"/>
      <c r="AC50" s="998"/>
      <c r="AD50" s="998"/>
      <c r="AE50" s="998"/>
      <c r="AF50" s="998"/>
      <c r="AG50" s="998"/>
      <c r="AH50" s="998"/>
      <c r="AI50" s="998"/>
      <c r="AJ50" s="998"/>
      <c r="AK50" s="998"/>
      <c r="AL50" s="998"/>
      <c r="AM50" s="997"/>
      <c r="AN50" s="997"/>
      <c r="AO50" s="997"/>
      <c r="AP50" s="997"/>
    </row>
    <row r="51" spans="3:42" x14ac:dyDescent="0.25">
      <c r="C51" s="755"/>
      <c r="D51" s="755"/>
      <c r="E51" s="998"/>
      <c r="F51" s="998"/>
      <c r="G51" s="998"/>
      <c r="H51" s="998"/>
      <c r="I51" s="998"/>
      <c r="J51" s="998"/>
      <c r="K51" s="998"/>
      <c r="L51" s="998"/>
      <c r="M51" s="998"/>
      <c r="N51" s="998"/>
      <c r="O51" s="998"/>
      <c r="P51" s="998"/>
      <c r="Q51" s="998"/>
      <c r="R51" s="998"/>
      <c r="S51" s="998"/>
      <c r="T51" s="998"/>
      <c r="U51" s="998"/>
      <c r="V51" s="998"/>
      <c r="W51" s="997"/>
      <c r="X51" s="997"/>
      <c r="Y51" s="997"/>
      <c r="Z51" s="998"/>
      <c r="AA51" s="998"/>
      <c r="AB51" s="998"/>
      <c r="AC51" s="998"/>
      <c r="AD51" s="998"/>
      <c r="AE51" s="998"/>
      <c r="AF51" s="998"/>
      <c r="AG51" s="998"/>
      <c r="AH51" s="998"/>
      <c r="AI51" s="998"/>
      <c r="AJ51" s="998"/>
      <c r="AK51" s="998"/>
      <c r="AL51" s="998"/>
      <c r="AM51" s="997"/>
      <c r="AN51" s="997"/>
      <c r="AO51" s="997"/>
      <c r="AP51" s="997"/>
    </row>
    <row r="52" spans="3:42" x14ac:dyDescent="0.25">
      <c r="C52" s="755"/>
      <c r="D52" s="755"/>
      <c r="E52" s="998"/>
      <c r="F52" s="998"/>
      <c r="G52" s="998"/>
      <c r="H52" s="998"/>
      <c r="I52" s="998"/>
      <c r="J52" s="998"/>
      <c r="K52" s="998"/>
      <c r="L52" s="998"/>
      <c r="M52" s="998"/>
      <c r="N52" s="998"/>
      <c r="O52" s="998"/>
      <c r="P52" s="998"/>
      <c r="Q52" s="998"/>
      <c r="R52" s="998"/>
      <c r="S52" s="998"/>
      <c r="T52" s="999"/>
      <c r="U52" s="1000"/>
      <c r="V52" s="1001"/>
      <c r="W52" s="1005"/>
      <c r="X52" s="1006"/>
      <c r="Y52" s="1007"/>
      <c r="Z52" s="999"/>
      <c r="AA52" s="1000"/>
      <c r="AB52" s="1000"/>
      <c r="AC52" s="1001"/>
      <c r="AD52" s="998"/>
      <c r="AE52" s="998"/>
      <c r="AF52" s="998"/>
      <c r="AG52" s="998"/>
      <c r="AH52" s="998"/>
      <c r="AI52" s="998"/>
      <c r="AJ52" s="998"/>
      <c r="AK52" s="998"/>
      <c r="AL52" s="998"/>
      <c r="AM52" s="997"/>
      <c r="AN52" s="997"/>
      <c r="AO52" s="997"/>
      <c r="AP52" s="997"/>
    </row>
    <row r="53" spans="3:42" x14ac:dyDescent="0.25">
      <c r="C53" s="755"/>
      <c r="D53" s="755"/>
      <c r="E53" s="998"/>
      <c r="F53" s="998"/>
      <c r="G53" s="998"/>
      <c r="H53" s="998"/>
      <c r="I53" s="998"/>
      <c r="J53" s="998"/>
      <c r="K53" s="998"/>
      <c r="L53" s="998"/>
      <c r="M53" s="998"/>
      <c r="N53" s="998"/>
      <c r="O53" s="998"/>
      <c r="P53" s="998"/>
      <c r="Q53" s="998"/>
      <c r="R53" s="998"/>
      <c r="S53" s="998"/>
      <c r="T53" s="1002"/>
      <c r="U53" s="1003"/>
      <c r="V53" s="1004"/>
      <c r="W53" s="1008"/>
      <c r="X53" s="1009"/>
      <c r="Y53" s="1010"/>
      <c r="Z53" s="1002"/>
      <c r="AA53" s="1003"/>
      <c r="AB53" s="1003"/>
      <c r="AC53" s="1004"/>
      <c r="AD53" s="998"/>
      <c r="AE53" s="998"/>
      <c r="AF53" s="998"/>
      <c r="AG53" s="998"/>
      <c r="AH53" s="998"/>
      <c r="AI53" s="998"/>
      <c r="AJ53" s="998"/>
      <c r="AK53" s="998"/>
      <c r="AL53" s="998"/>
      <c r="AM53" s="997"/>
      <c r="AN53" s="997"/>
      <c r="AO53" s="997"/>
      <c r="AP53" s="997"/>
    </row>
    <row r="54" spans="3:42" x14ac:dyDescent="0.25">
      <c r="C54" s="755"/>
      <c r="D54" s="755"/>
      <c r="E54" s="998"/>
      <c r="F54" s="998"/>
      <c r="G54" s="998"/>
      <c r="H54" s="998"/>
      <c r="I54" s="998"/>
      <c r="J54" s="998"/>
      <c r="K54" s="998"/>
      <c r="L54" s="998"/>
      <c r="M54" s="998"/>
      <c r="N54" s="998"/>
      <c r="O54" s="998"/>
      <c r="P54" s="998"/>
      <c r="Q54" s="998"/>
      <c r="R54" s="998"/>
      <c r="S54" s="998"/>
      <c r="T54" s="999"/>
      <c r="U54" s="1000"/>
      <c r="V54" s="1001"/>
      <c r="W54" s="1005"/>
      <c r="X54" s="1006"/>
      <c r="Y54" s="1007"/>
      <c r="Z54" s="999"/>
      <c r="AA54" s="1000"/>
      <c r="AB54" s="1000"/>
      <c r="AC54" s="1001"/>
      <c r="AD54" s="998"/>
      <c r="AE54" s="998"/>
      <c r="AF54" s="998"/>
      <c r="AG54" s="998"/>
      <c r="AH54" s="998"/>
      <c r="AI54" s="998"/>
      <c r="AJ54" s="998"/>
      <c r="AK54" s="998"/>
      <c r="AL54" s="998"/>
      <c r="AM54" s="997"/>
      <c r="AN54" s="997"/>
      <c r="AO54" s="997"/>
      <c r="AP54" s="997"/>
    </row>
    <row r="55" spans="3:42" x14ac:dyDescent="0.25">
      <c r="C55" s="755"/>
      <c r="D55" s="755"/>
      <c r="E55" s="998"/>
      <c r="F55" s="998"/>
      <c r="G55" s="998"/>
      <c r="H55" s="998"/>
      <c r="I55" s="998"/>
      <c r="J55" s="998"/>
      <c r="K55" s="998"/>
      <c r="L55" s="998"/>
      <c r="M55" s="998"/>
      <c r="N55" s="998"/>
      <c r="O55" s="998"/>
      <c r="P55" s="998"/>
      <c r="Q55" s="998"/>
      <c r="R55" s="998"/>
      <c r="S55" s="998"/>
      <c r="T55" s="1002"/>
      <c r="U55" s="1003"/>
      <c r="V55" s="1004"/>
      <c r="W55" s="1008"/>
      <c r="X55" s="1009"/>
      <c r="Y55" s="1010"/>
      <c r="Z55" s="1002"/>
      <c r="AA55" s="1003"/>
      <c r="AB55" s="1003"/>
      <c r="AC55" s="1004"/>
      <c r="AD55" s="998"/>
      <c r="AE55" s="998"/>
      <c r="AF55" s="998"/>
      <c r="AG55" s="998"/>
      <c r="AH55" s="998"/>
      <c r="AI55" s="998"/>
      <c r="AJ55" s="998"/>
      <c r="AK55" s="998"/>
      <c r="AL55" s="998"/>
      <c r="AM55" s="997"/>
      <c r="AN55" s="997"/>
      <c r="AO55" s="997"/>
      <c r="AP55" s="997"/>
    </row>
    <row r="56" spans="3:42" x14ac:dyDescent="0.25">
      <c r="C56" s="755"/>
      <c r="D56" s="755"/>
      <c r="E56" s="998"/>
      <c r="F56" s="998"/>
      <c r="G56" s="998"/>
      <c r="H56" s="998"/>
      <c r="I56" s="998"/>
      <c r="J56" s="998"/>
      <c r="K56" s="998"/>
      <c r="L56" s="998"/>
      <c r="M56" s="998"/>
      <c r="N56" s="998"/>
      <c r="O56" s="998"/>
      <c r="P56" s="998"/>
      <c r="Q56" s="998"/>
      <c r="R56" s="998"/>
      <c r="S56" s="998"/>
      <c r="T56" s="999"/>
      <c r="U56" s="1000"/>
      <c r="V56" s="1001"/>
      <c r="W56" s="1005"/>
      <c r="X56" s="1006"/>
      <c r="Y56" s="1007"/>
      <c r="Z56" s="999"/>
      <c r="AA56" s="1000"/>
      <c r="AB56" s="1000"/>
      <c r="AC56" s="1001"/>
      <c r="AD56" s="998"/>
      <c r="AE56" s="998"/>
      <c r="AF56" s="998"/>
      <c r="AG56" s="998"/>
      <c r="AH56" s="998"/>
      <c r="AI56" s="998"/>
      <c r="AJ56" s="998"/>
      <c r="AK56" s="998"/>
      <c r="AL56" s="998"/>
      <c r="AM56" s="997"/>
      <c r="AN56" s="997"/>
      <c r="AO56" s="997"/>
      <c r="AP56" s="997"/>
    </row>
    <row r="57" spans="3:42" x14ac:dyDescent="0.25">
      <c r="C57" s="755"/>
      <c r="D57" s="755"/>
      <c r="E57" s="998"/>
      <c r="F57" s="998"/>
      <c r="G57" s="998"/>
      <c r="H57" s="998"/>
      <c r="I57" s="998"/>
      <c r="J57" s="998"/>
      <c r="K57" s="998"/>
      <c r="L57" s="998"/>
      <c r="M57" s="998"/>
      <c r="N57" s="998"/>
      <c r="O57" s="998"/>
      <c r="P57" s="998"/>
      <c r="Q57" s="998"/>
      <c r="R57" s="998"/>
      <c r="S57" s="998"/>
      <c r="T57" s="1002"/>
      <c r="U57" s="1003"/>
      <c r="V57" s="1004"/>
      <c r="W57" s="1008"/>
      <c r="X57" s="1009"/>
      <c r="Y57" s="1010"/>
      <c r="Z57" s="1002"/>
      <c r="AA57" s="1003"/>
      <c r="AB57" s="1003"/>
      <c r="AC57" s="1004"/>
      <c r="AD57" s="998"/>
      <c r="AE57" s="998"/>
      <c r="AF57" s="998"/>
      <c r="AG57" s="998"/>
      <c r="AH57" s="998"/>
      <c r="AI57" s="998"/>
      <c r="AJ57" s="998"/>
      <c r="AK57" s="998"/>
      <c r="AL57" s="998"/>
      <c r="AM57" s="997"/>
      <c r="AN57" s="997"/>
      <c r="AO57" s="997"/>
      <c r="AP57" s="997"/>
    </row>
    <row r="58" spans="3:42" x14ac:dyDescent="0.25">
      <c r="C58" s="755"/>
      <c r="D58" s="755"/>
      <c r="E58" s="998"/>
      <c r="F58" s="998"/>
      <c r="G58" s="998"/>
      <c r="H58" s="998"/>
      <c r="I58" s="998"/>
      <c r="J58" s="998"/>
      <c r="K58" s="998"/>
      <c r="L58" s="998"/>
      <c r="M58" s="998"/>
      <c r="N58" s="998"/>
      <c r="O58" s="998"/>
      <c r="P58" s="998"/>
      <c r="Q58" s="998"/>
      <c r="R58" s="998"/>
      <c r="S58" s="998"/>
      <c r="T58" s="999"/>
      <c r="U58" s="1000"/>
      <c r="V58" s="1001"/>
      <c r="W58" s="1005"/>
      <c r="X58" s="1006"/>
      <c r="Y58" s="1007"/>
      <c r="Z58" s="999"/>
      <c r="AA58" s="1000"/>
      <c r="AB58" s="1000"/>
      <c r="AC58" s="1001"/>
      <c r="AD58" s="998"/>
      <c r="AE58" s="998"/>
      <c r="AF58" s="998"/>
      <c r="AG58" s="998"/>
      <c r="AH58" s="998"/>
      <c r="AI58" s="998"/>
      <c r="AJ58" s="998"/>
      <c r="AK58" s="998"/>
      <c r="AL58" s="998"/>
      <c r="AM58" s="997"/>
      <c r="AN58" s="997"/>
      <c r="AO58" s="997"/>
      <c r="AP58" s="997"/>
    </row>
    <row r="59" spans="3:42" x14ac:dyDescent="0.25">
      <c r="C59" s="755"/>
      <c r="D59" s="755"/>
      <c r="E59" s="998"/>
      <c r="F59" s="998"/>
      <c r="G59" s="998"/>
      <c r="H59" s="998"/>
      <c r="I59" s="998"/>
      <c r="J59" s="998"/>
      <c r="K59" s="998"/>
      <c r="L59" s="998"/>
      <c r="M59" s="998"/>
      <c r="N59" s="998"/>
      <c r="O59" s="998"/>
      <c r="P59" s="998"/>
      <c r="Q59" s="998"/>
      <c r="R59" s="998"/>
      <c r="S59" s="998"/>
      <c r="T59" s="1002"/>
      <c r="U59" s="1003"/>
      <c r="V59" s="1004"/>
      <c r="W59" s="1008"/>
      <c r="X59" s="1009"/>
      <c r="Y59" s="1010"/>
      <c r="Z59" s="1002"/>
      <c r="AA59" s="1003"/>
      <c r="AB59" s="1003"/>
      <c r="AC59" s="1004"/>
      <c r="AD59" s="998"/>
      <c r="AE59" s="998"/>
      <c r="AF59" s="998"/>
      <c r="AG59" s="998"/>
      <c r="AH59" s="998"/>
      <c r="AI59" s="998"/>
      <c r="AJ59" s="998"/>
      <c r="AK59" s="998"/>
      <c r="AL59" s="998"/>
      <c r="AM59" s="997"/>
      <c r="AN59" s="997"/>
      <c r="AO59" s="997"/>
      <c r="AP59" s="997"/>
    </row>
    <row r="60" spans="3:42" x14ac:dyDescent="0.25">
      <c r="C60" s="755"/>
      <c r="D60" s="755"/>
      <c r="E60" s="998"/>
      <c r="F60" s="998"/>
      <c r="G60" s="998"/>
      <c r="H60" s="998"/>
      <c r="I60" s="998"/>
      <c r="J60" s="998"/>
      <c r="K60" s="998"/>
      <c r="L60" s="998"/>
      <c r="M60" s="998"/>
      <c r="N60" s="998"/>
      <c r="O60" s="998"/>
      <c r="P60" s="998"/>
      <c r="Q60" s="998"/>
      <c r="R60" s="998"/>
      <c r="S60" s="998"/>
      <c r="T60" s="999"/>
      <c r="U60" s="1000"/>
      <c r="V60" s="1001"/>
      <c r="W60" s="1005"/>
      <c r="X60" s="1006"/>
      <c r="Y60" s="1007"/>
      <c r="Z60" s="999"/>
      <c r="AA60" s="1000"/>
      <c r="AB60" s="1000"/>
      <c r="AC60" s="1001"/>
      <c r="AD60" s="998"/>
      <c r="AE60" s="998"/>
      <c r="AF60" s="998"/>
      <c r="AG60" s="998"/>
      <c r="AH60" s="998"/>
      <c r="AI60" s="998"/>
      <c r="AJ60" s="998"/>
      <c r="AK60" s="998"/>
      <c r="AL60" s="998"/>
      <c r="AM60" s="997"/>
      <c r="AN60" s="997"/>
      <c r="AO60" s="997"/>
      <c r="AP60" s="997"/>
    </row>
    <row r="61" spans="3:42" x14ac:dyDescent="0.25">
      <c r="C61" s="755"/>
      <c r="D61" s="755"/>
      <c r="E61" s="998"/>
      <c r="F61" s="998"/>
      <c r="G61" s="998"/>
      <c r="H61" s="998"/>
      <c r="I61" s="998"/>
      <c r="J61" s="998"/>
      <c r="K61" s="998"/>
      <c r="L61" s="998"/>
      <c r="M61" s="998"/>
      <c r="N61" s="998"/>
      <c r="O61" s="998"/>
      <c r="P61" s="998"/>
      <c r="Q61" s="998"/>
      <c r="R61" s="998"/>
      <c r="S61" s="998"/>
      <c r="T61" s="1002"/>
      <c r="U61" s="1003"/>
      <c r="V61" s="1004"/>
      <c r="W61" s="1008"/>
      <c r="X61" s="1009"/>
      <c r="Y61" s="1010"/>
      <c r="Z61" s="1002"/>
      <c r="AA61" s="1003"/>
      <c r="AB61" s="1003"/>
      <c r="AC61" s="1004"/>
      <c r="AD61" s="998"/>
      <c r="AE61" s="998"/>
      <c r="AF61" s="998"/>
      <c r="AG61" s="998"/>
      <c r="AH61" s="998"/>
      <c r="AI61" s="998"/>
      <c r="AJ61" s="998"/>
      <c r="AK61" s="998"/>
      <c r="AL61" s="998"/>
      <c r="AM61" s="997"/>
      <c r="AN61" s="997"/>
      <c r="AO61" s="997"/>
      <c r="AP61" s="997"/>
    </row>
    <row r="62" spans="3:42" x14ac:dyDescent="0.25">
      <c r="C62" s="755"/>
      <c r="D62" s="755"/>
      <c r="E62" s="998"/>
      <c r="F62" s="998"/>
      <c r="G62" s="998"/>
      <c r="H62" s="998"/>
      <c r="I62" s="998"/>
      <c r="J62" s="998"/>
      <c r="K62" s="998"/>
      <c r="L62" s="998"/>
      <c r="M62" s="998"/>
      <c r="N62" s="998"/>
      <c r="O62" s="998"/>
      <c r="P62" s="998"/>
      <c r="Q62" s="998"/>
      <c r="R62" s="998"/>
      <c r="S62" s="998"/>
      <c r="T62" s="999"/>
      <c r="U62" s="1000"/>
      <c r="V62" s="1001"/>
      <c r="W62" s="1005"/>
      <c r="X62" s="1006"/>
      <c r="Y62" s="1007"/>
      <c r="Z62" s="999"/>
      <c r="AA62" s="1000"/>
      <c r="AB62" s="1000"/>
      <c r="AC62" s="1001"/>
      <c r="AD62" s="998"/>
      <c r="AE62" s="998"/>
      <c r="AF62" s="998"/>
      <c r="AG62" s="998"/>
      <c r="AH62" s="998"/>
      <c r="AI62" s="998"/>
      <c r="AJ62" s="998"/>
      <c r="AK62" s="998"/>
      <c r="AL62" s="998"/>
      <c r="AM62" s="997"/>
      <c r="AN62" s="997"/>
      <c r="AO62" s="997"/>
      <c r="AP62" s="997"/>
    </row>
    <row r="63" spans="3:42" x14ac:dyDescent="0.25">
      <c r="C63" s="755"/>
      <c r="D63" s="755"/>
      <c r="E63" s="998"/>
      <c r="F63" s="998"/>
      <c r="G63" s="998"/>
      <c r="H63" s="998"/>
      <c r="I63" s="998"/>
      <c r="J63" s="998"/>
      <c r="K63" s="998"/>
      <c r="L63" s="998"/>
      <c r="M63" s="998"/>
      <c r="N63" s="998"/>
      <c r="O63" s="998"/>
      <c r="P63" s="998"/>
      <c r="Q63" s="998"/>
      <c r="R63" s="998"/>
      <c r="S63" s="998"/>
      <c r="T63" s="1002"/>
      <c r="U63" s="1003"/>
      <c r="V63" s="1004"/>
      <c r="W63" s="1008"/>
      <c r="X63" s="1009"/>
      <c r="Y63" s="1010"/>
      <c r="Z63" s="1002"/>
      <c r="AA63" s="1003"/>
      <c r="AB63" s="1003"/>
      <c r="AC63" s="1004"/>
      <c r="AD63" s="998"/>
      <c r="AE63" s="998"/>
      <c r="AF63" s="998"/>
      <c r="AG63" s="998"/>
      <c r="AH63" s="998"/>
      <c r="AI63" s="998"/>
      <c r="AJ63" s="998"/>
      <c r="AK63" s="998"/>
      <c r="AL63" s="998"/>
      <c r="AM63" s="997"/>
      <c r="AN63" s="997"/>
      <c r="AO63" s="997"/>
      <c r="AP63" s="997"/>
    </row>
    <row r="64" spans="3:42" x14ac:dyDescent="0.25">
      <c r="C64" s="755"/>
      <c r="D64" s="755"/>
      <c r="E64" s="998"/>
      <c r="F64" s="998"/>
      <c r="G64" s="998"/>
      <c r="H64" s="998"/>
      <c r="I64" s="998"/>
      <c r="J64" s="998"/>
      <c r="K64" s="998"/>
      <c r="L64" s="998"/>
      <c r="M64" s="998"/>
      <c r="N64" s="998"/>
      <c r="O64" s="998"/>
      <c r="P64" s="998"/>
      <c r="Q64" s="998"/>
      <c r="R64" s="998"/>
      <c r="S64" s="998"/>
      <c r="T64" s="999"/>
      <c r="U64" s="1000"/>
      <c r="V64" s="1001"/>
      <c r="W64" s="1005"/>
      <c r="X64" s="1006"/>
      <c r="Y64" s="1007"/>
      <c r="Z64" s="999"/>
      <c r="AA64" s="1000"/>
      <c r="AB64" s="1000"/>
      <c r="AC64" s="1001"/>
      <c r="AD64" s="998"/>
      <c r="AE64" s="998"/>
      <c r="AF64" s="998"/>
      <c r="AG64" s="998"/>
      <c r="AH64" s="998"/>
      <c r="AI64" s="998"/>
      <c r="AJ64" s="998"/>
      <c r="AK64" s="998"/>
      <c r="AL64" s="998"/>
      <c r="AM64" s="997"/>
      <c r="AN64" s="997"/>
      <c r="AO64" s="997"/>
      <c r="AP64" s="997"/>
    </row>
    <row r="65" spans="3:42" x14ac:dyDescent="0.25">
      <c r="C65" s="755"/>
      <c r="D65" s="755"/>
      <c r="E65" s="998"/>
      <c r="F65" s="998"/>
      <c r="G65" s="998"/>
      <c r="H65" s="998"/>
      <c r="I65" s="998"/>
      <c r="J65" s="998"/>
      <c r="K65" s="998"/>
      <c r="L65" s="998"/>
      <c r="M65" s="998"/>
      <c r="N65" s="998"/>
      <c r="O65" s="998"/>
      <c r="P65" s="998"/>
      <c r="Q65" s="998"/>
      <c r="R65" s="998"/>
      <c r="S65" s="998"/>
      <c r="T65" s="1002"/>
      <c r="U65" s="1003"/>
      <c r="V65" s="1004"/>
      <c r="W65" s="1008"/>
      <c r="X65" s="1009"/>
      <c r="Y65" s="1010"/>
      <c r="Z65" s="1002"/>
      <c r="AA65" s="1003"/>
      <c r="AB65" s="1003"/>
      <c r="AC65" s="1004"/>
      <c r="AD65" s="998"/>
      <c r="AE65" s="998"/>
      <c r="AF65" s="998"/>
      <c r="AG65" s="998"/>
      <c r="AH65" s="998"/>
      <c r="AI65" s="998"/>
      <c r="AJ65" s="998"/>
      <c r="AK65" s="998"/>
      <c r="AL65" s="998"/>
      <c r="AM65" s="997"/>
      <c r="AN65" s="997"/>
      <c r="AO65" s="997"/>
      <c r="AP65" s="997"/>
    </row>
    <row r="66" spans="3:42" x14ac:dyDescent="0.25">
      <c r="C66" s="755"/>
      <c r="D66" s="755"/>
      <c r="E66" s="998"/>
      <c r="F66" s="998"/>
      <c r="G66" s="998"/>
      <c r="H66" s="998"/>
      <c r="I66" s="998"/>
      <c r="J66" s="998"/>
      <c r="K66" s="998"/>
      <c r="L66" s="998"/>
      <c r="M66" s="998"/>
      <c r="N66" s="998"/>
      <c r="O66" s="998"/>
      <c r="P66" s="998"/>
      <c r="Q66" s="998"/>
      <c r="R66" s="998"/>
      <c r="S66" s="998"/>
      <c r="T66" s="999"/>
      <c r="U66" s="1000"/>
      <c r="V66" s="1001"/>
      <c r="W66" s="1005"/>
      <c r="X66" s="1006"/>
      <c r="Y66" s="1007"/>
      <c r="Z66" s="999"/>
      <c r="AA66" s="1000"/>
      <c r="AB66" s="1000"/>
      <c r="AC66" s="1001"/>
      <c r="AD66" s="998"/>
      <c r="AE66" s="998"/>
      <c r="AF66" s="998"/>
      <c r="AG66" s="998"/>
      <c r="AH66" s="998"/>
      <c r="AI66" s="998"/>
      <c r="AJ66" s="998"/>
      <c r="AK66" s="998"/>
      <c r="AL66" s="998"/>
      <c r="AM66" s="997"/>
      <c r="AN66" s="997"/>
      <c r="AO66" s="997"/>
      <c r="AP66" s="997"/>
    </row>
    <row r="67" spans="3:42" x14ac:dyDescent="0.25">
      <c r="C67" s="755"/>
      <c r="D67" s="755"/>
      <c r="E67" s="998"/>
      <c r="F67" s="998"/>
      <c r="G67" s="998"/>
      <c r="H67" s="998"/>
      <c r="I67" s="998"/>
      <c r="J67" s="998"/>
      <c r="K67" s="998"/>
      <c r="L67" s="998"/>
      <c r="M67" s="998"/>
      <c r="N67" s="998"/>
      <c r="O67" s="998"/>
      <c r="P67" s="998"/>
      <c r="Q67" s="998"/>
      <c r="R67" s="998"/>
      <c r="S67" s="998"/>
      <c r="T67" s="1002"/>
      <c r="U67" s="1003"/>
      <c r="V67" s="1004"/>
      <c r="W67" s="1008"/>
      <c r="X67" s="1009"/>
      <c r="Y67" s="1010"/>
      <c r="Z67" s="1002"/>
      <c r="AA67" s="1003"/>
      <c r="AB67" s="1003"/>
      <c r="AC67" s="1004"/>
      <c r="AD67" s="998"/>
      <c r="AE67" s="998"/>
      <c r="AF67" s="998"/>
      <c r="AG67" s="998"/>
      <c r="AH67" s="998"/>
      <c r="AI67" s="998"/>
      <c r="AJ67" s="998"/>
      <c r="AK67" s="998"/>
      <c r="AL67" s="998"/>
      <c r="AM67" s="997"/>
      <c r="AN67" s="997"/>
      <c r="AO67" s="997"/>
      <c r="AP67" s="997"/>
    </row>
    <row r="68" spans="3:42" ht="11.65" customHeight="1" x14ac:dyDescent="0.25">
      <c r="C68" s="1011"/>
      <c r="D68" s="808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208"/>
    </row>
    <row r="69" spans="3:42" ht="11.65" customHeight="1" x14ac:dyDescent="0.25">
      <c r="C69" s="1011"/>
      <c r="D69" s="808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208"/>
    </row>
    <row r="70" spans="3:42" x14ac:dyDescent="0.25">
      <c r="C70" s="329" t="s">
        <v>81</v>
      </c>
      <c r="D70" s="330" t="s">
        <v>655</v>
      </c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200"/>
    </row>
    <row r="71" spans="3:42" ht="3" customHeight="1" x14ac:dyDescent="0.25">
      <c r="C71" s="201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202"/>
    </row>
    <row r="72" spans="3:42" x14ac:dyDescent="0.25">
      <c r="C72" s="764" t="s">
        <v>263</v>
      </c>
      <c r="D72" s="764"/>
      <c r="E72" s="728" t="s">
        <v>526</v>
      </c>
      <c r="F72" s="728"/>
      <c r="G72" s="728"/>
      <c r="H72" s="728"/>
      <c r="I72" s="728"/>
      <c r="J72" s="728"/>
      <c r="K72" s="728"/>
      <c r="L72" s="728" t="s">
        <v>531</v>
      </c>
      <c r="M72" s="728"/>
      <c r="N72" s="728"/>
      <c r="O72" s="728"/>
      <c r="P72" s="728" t="s">
        <v>462</v>
      </c>
      <c r="Q72" s="728"/>
      <c r="R72" s="728"/>
      <c r="S72" s="728"/>
      <c r="T72" s="728"/>
      <c r="U72" s="849" t="s">
        <v>532</v>
      </c>
      <c r="V72" s="849"/>
      <c r="W72" s="849"/>
      <c r="X72" s="849"/>
      <c r="Y72" s="849"/>
      <c r="Z72" s="849"/>
      <c r="AA72" s="849" t="s">
        <v>533</v>
      </c>
      <c r="AB72" s="849"/>
      <c r="AC72" s="849"/>
      <c r="AD72" s="849"/>
      <c r="AE72" s="849"/>
      <c r="AF72" s="849" t="s">
        <v>534</v>
      </c>
      <c r="AG72" s="849"/>
      <c r="AH72" s="849"/>
      <c r="AI72" s="849"/>
      <c r="AJ72" s="849"/>
      <c r="AK72" s="849" t="s">
        <v>535</v>
      </c>
      <c r="AL72" s="849"/>
      <c r="AM72" s="849"/>
      <c r="AN72" s="849"/>
      <c r="AO72" s="849"/>
      <c r="AP72" s="849"/>
    </row>
    <row r="73" spans="3:42" ht="14.65" customHeight="1" x14ac:dyDescent="0.25">
      <c r="C73" s="764"/>
      <c r="D73" s="764"/>
      <c r="E73" s="728"/>
      <c r="F73" s="728"/>
      <c r="G73" s="728"/>
      <c r="H73" s="728"/>
      <c r="I73" s="728"/>
      <c r="J73" s="728"/>
      <c r="K73" s="728"/>
      <c r="L73" s="728"/>
      <c r="M73" s="728"/>
      <c r="N73" s="728"/>
      <c r="O73" s="728"/>
      <c r="P73" s="728"/>
      <c r="Q73" s="728"/>
      <c r="R73" s="728"/>
      <c r="S73" s="728"/>
      <c r="T73" s="728"/>
      <c r="U73" s="849"/>
      <c r="V73" s="849"/>
      <c r="W73" s="849"/>
      <c r="X73" s="849"/>
      <c r="Y73" s="849"/>
      <c r="Z73" s="849"/>
      <c r="AA73" s="849"/>
      <c r="AB73" s="849"/>
      <c r="AC73" s="849"/>
      <c r="AD73" s="849"/>
      <c r="AE73" s="849"/>
      <c r="AF73" s="849"/>
      <c r="AG73" s="849"/>
      <c r="AH73" s="849"/>
      <c r="AI73" s="849"/>
      <c r="AJ73" s="849"/>
      <c r="AK73" s="849"/>
      <c r="AL73" s="849"/>
      <c r="AM73" s="849"/>
      <c r="AN73" s="849"/>
      <c r="AO73" s="849"/>
      <c r="AP73" s="849"/>
    </row>
    <row r="74" spans="3:42" x14ac:dyDescent="0.25">
      <c r="C74" s="764"/>
      <c r="D74" s="764"/>
      <c r="E74" s="728"/>
      <c r="F74" s="728"/>
      <c r="G74" s="728"/>
      <c r="H74" s="728"/>
      <c r="I74" s="728"/>
      <c r="J74" s="728"/>
      <c r="K74" s="728"/>
      <c r="L74" s="728"/>
      <c r="M74" s="728"/>
      <c r="N74" s="728"/>
      <c r="O74" s="728"/>
      <c r="P74" s="728"/>
      <c r="Q74" s="728"/>
      <c r="R74" s="728"/>
      <c r="S74" s="728"/>
      <c r="T74" s="728"/>
      <c r="U74" s="849"/>
      <c r="V74" s="849"/>
      <c r="W74" s="849"/>
      <c r="X74" s="849"/>
      <c r="Y74" s="849"/>
      <c r="Z74" s="849"/>
      <c r="AA74" s="849"/>
      <c r="AB74" s="849"/>
      <c r="AC74" s="849"/>
      <c r="AD74" s="849"/>
      <c r="AE74" s="849"/>
      <c r="AF74" s="849"/>
      <c r="AG74" s="849"/>
      <c r="AH74" s="849"/>
      <c r="AI74" s="849"/>
      <c r="AJ74" s="849"/>
      <c r="AK74" s="849"/>
      <c r="AL74" s="849"/>
      <c r="AM74" s="849"/>
      <c r="AN74" s="849"/>
      <c r="AO74" s="849"/>
      <c r="AP74" s="849"/>
    </row>
    <row r="75" spans="3:42" x14ac:dyDescent="0.25">
      <c r="C75" s="755" t="s">
        <v>213</v>
      </c>
      <c r="D75" s="755"/>
      <c r="E75" s="755" t="s">
        <v>214</v>
      </c>
      <c r="F75" s="754"/>
      <c r="G75" s="754"/>
      <c r="H75" s="754"/>
      <c r="I75" s="754"/>
      <c r="J75" s="754"/>
      <c r="K75" s="754"/>
      <c r="L75" s="755" t="s">
        <v>215</v>
      </c>
      <c r="M75" s="754"/>
      <c r="N75" s="754"/>
      <c r="O75" s="754"/>
      <c r="P75" s="755" t="s">
        <v>216</v>
      </c>
      <c r="Q75" s="755"/>
      <c r="R75" s="755"/>
      <c r="S75" s="755"/>
      <c r="T75" s="755"/>
      <c r="U75" s="755" t="s">
        <v>217</v>
      </c>
      <c r="V75" s="754"/>
      <c r="W75" s="754"/>
      <c r="X75" s="754"/>
      <c r="Y75" s="754"/>
      <c r="Z75" s="754"/>
      <c r="AA75" s="755" t="s">
        <v>218</v>
      </c>
      <c r="AB75" s="754"/>
      <c r="AC75" s="754"/>
      <c r="AD75" s="754"/>
      <c r="AE75" s="754"/>
      <c r="AF75" s="755" t="s">
        <v>219</v>
      </c>
      <c r="AG75" s="754"/>
      <c r="AH75" s="754"/>
      <c r="AI75" s="754"/>
      <c r="AJ75" s="754"/>
      <c r="AK75" s="755" t="s">
        <v>220</v>
      </c>
      <c r="AL75" s="754"/>
      <c r="AM75" s="754"/>
      <c r="AN75" s="754"/>
      <c r="AO75" s="754"/>
      <c r="AP75" s="754"/>
    </row>
    <row r="76" spans="3:42" x14ac:dyDescent="0.25">
      <c r="C76" s="754"/>
      <c r="D76" s="754"/>
      <c r="E76" s="754"/>
      <c r="F76" s="754"/>
      <c r="G76" s="754"/>
      <c r="H76" s="754"/>
      <c r="I76" s="754"/>
      <c r="J76" s="754"/>
      <c r="K76" s="754"/>
      <c r="L76" s="754"/>
      <c r="M76" s="754"/>
      <c r="N76" s="754"/>
      <c r="O76" s="754"/>
      <c r="P76" s="754"/>
      <c r="Q76" s="754"/>
      <c r="R76" s="754"/>
      <c r="S76" s="754"/>
      <c r="T76" s="754"/>
      <c r="U76" s="754"/>
      <c r="V76" s="754"/>
      <c r="W76" s="754"/>
      <c r="X76" s="754"/>
      <c r="Y76" s="754"/>
      <c r="Z76" s="754"/>
      <c r="AA76" s="754"/>
      <c r="AB76" s="754"/>
      <c r="AC76" s="754"/>
      <c r="AD76" s="754"/>
      <c r="AE76" s="754"/>
      <c r="AF76" s="754"/>
      <c r="AG76" s="754"/>
      <c r="AH76" s="754"/>
      <c r="AI76" s="754"/>
      <c r="AJ76" s="754"/>
      <c r="AK76" s="754"/>
      <c r="AL76" s="754"/>
      <c r="AM76" s="754"/>
      <c r="AN76" s="754"/>
      <c r="AO76" s="754"/>
      <c r="AP76" s="754"/>
    </row>
    <row r="77" spans="3:42" x14ac:dyDescent="0.25">
      <c r="C77" s="754"/>
      <c r="D77" s="754"/>
      <c r="E77" s="754"/>
      <c r="F77" s="754"/>
      <c r="G77" s="754"/>
      <c r="H77" s="754"/>
      <c r="I77" s="754"/>
      <c r="J77" s="754"/>
      <c r="K77" s="754"/>
      <c r="L77" s="754"/>
      <c r="M77" s="754"/>
      <c r="N77" s="754"/>
      <c r="O77" s="754"/>
      <c r="P77" s="754"/>
      <c r="Q77" s="754"/>
      <c r="R77" s="754"/>
      <c r="S77" s="754"/>
      <c r="T77" s="754"/>
      <c r="U77" s="754"/>
      <c r="V77" s="754"/>
      <c r="W77" s="754"/>
      <c r="X77" s="754"/>
      <c r="Y77" s="754"/>
      <c r="Z77" s="754"/>
      <c r="AA77" s="754"/>
      <c r="AB77" s="754"/>
      <c r="AC77" s="754"/>
      <c r="AD77" s="754"/>
      <c r="AE77" s="754"/>
      <c r="AF77" s="754"/>
      <c r="AG77" s="754"/>
      <c r="AH77" s="754"/>
      <c r="AI77" s="754"/>
      <c r="AJ77" s="754"/>
      <c r="AK77" s="754"/>
      <c r="AL77" s="754"/>
      <c r="AM77" s="754"/>
      <c r="AN77" s="754"/>
      <c r="AO77" s="754"/>
      <c r="AP77" s="754"/>
    </row>
    <row r="78" spans="3:42" x14ac:dyDescent="0.25">
      <c r="C78" s="754"/>
      <c r="D78" s="754"/>
      <c r="E78" s="754"/>
      <c r="F78" s="754"/>
      <c r="G78" s="754"/>
      <c r="H78" s="754"/>
      <c r="I78" s="754"/>
      <c r="J78" s="754"/>
      <c r="K78" s="754"/>
      <c r="L78" s="754"/>
      <c r="M78" s="754"/>
      <c r="N78" s="754"/>
      <c r="O78" s="754"/>
      <c r="P78" s="754"/>
      <c r="Q78" s="754"/>
      <c r="R78" s="754"/>
      <c r="S78" s="754"/>
      <c r="T78" s="754"/>
      <c r="U78" s="754"/>
      <c r="V78" s="754"/>
      <c r="W78" s="754"/>
      <c r="X78" s="754"/>
      <c r="Y78" s="754"/>
      <c r="Z78" s="754"/>
      <c r="AA78" s="754"/>
      <c r="AB78" s="754"/>
      <c r="AC78" s="754"/>
      <c r="AD78" s="754"/>
      <c r="AE78" s="754"/>
      <c r="AF78" s="754"/>
      <c r="AG78" s="754"/>
      <c r="AH78" s="754"/>
      <c r="AI78" s="754"/>
      <c r="AJ78" s="754"/>
      <c r="AK78" s="754"/>
      <c r="AL78" s="754"/>
      <c r="AM78" s="754"/>
      <c r="AN78" s="754"/>
      <c r="AO78" s="754"/>
      <c r="AP78" s="754"/>
    </row>
    <row r="79" spans="3:42" x14ac:dyDescent="0.25">
      <c r="C79" s="754"/>
      <c r="D79" s="754"/>
      <c r="E79" s="754"/>
      <c r="F79" s="754"/>
      <c r="G79" s="754"/>
      <c r="H79" s="754"/>
      <c r="I79" s="754"/>
      <c r="J79" s="754"/>
      <c r="K79" s="754"/>
      <c r="L79" s="754"/>
      <c r="M79" s="754"/>
      <c r="N79" s="754"/>
      <c r="O79" s="754"/>
      <c r="P79" s="754"/>
      <c r="Q79" s="754"/>
      <c r="R79" s="754"/>
      <c r="S79" s="754"/>
      <c r="T79" s="754"/>
      <c r="U79" s="754"/>
      <c r="V79" s="754"/>
      <c r="W79" s="754"/>
      <c r="X79" s="754"/>
      <c r="Y79" s="754"/>
      <c r="Z79" s="754"/>
      <c r="AA79" s="754"/>
      <c r="AB79" s="754"/>
      <c r="AC79" s="754"/>
      <c r="AD79" s="754"/>
      <c r="AE79" s="754"/>
      <c r="AF79" s="754"/>
      <c r="AG79" s="754"/>
      <c r="AH79" s="754"/>
      <c r="AI79" s="754"/>
      <c r="AJ79" s="754"/>
      <c r="AK79" s="754"/>
      <c r="AL79" s="754"/>
      <c r="AM79" s="754"/>
      <c r="AN79" s="754"/>
      <c r="AO79" s="754"/>
      <c r="AP79" s="754"/>
    </row>
    <row r="80" spans="3:42" x14ac:dyDescent="0.25">
      <c r="C80" s="754"/>
      <c r="D80" s="754"/>
      <c r="E80" s="754"/>
      <c r="F80" s="754"/>
      <c r="G80" s="754"/>
      <c r="H80" s="754"/>
      <c r="I80" s="754"/>
      <c r="J80" s="754"/>
      <c r="K80" s="754"/>
      <c r="L80" s="754"/>
      <c r="M80" s="754"/>
      <c r="N80" s="754"/>
      <c r="O80" s="754"/>
      <c r="P80" s="754"/>
      <c r="Q80" s="754"/>
      <c r="R80" s="754"/>
      <c r="S80" s="754"/>
      <c r="T80" s="754"/>
      <c r="U80" s="754"/>
      <c r="V80" s="754"/>
      <c r="W80" s="754"/>
      <c r="X80" s="754"/>
      <c r="Y80" s="754"/>
      <c r="Z80" s="754"/>
      <c r="AA80" s="754"/>
      <c r="AB80" s="754"/>
      <c r="AC80" s="754"/>
      <c r="AD80" s="754"/>
      <c r="AE80" s="754"/>
      <c r="AF80" s="754"/>
      <c r="AG80" s="754"/>
      <c r="AH80" s="754"/>
      <c r="AI80" s="754"/>
      <c r="AJ80" s="754"/>
      <c r="AK80" s="754"/>
      <c r="AL80" s="754"/>
      <c r="AM80" s="754"/>
      <c r="AN80" s="754"/>
      <c r="AO80" s="754"/>
      <c r="AP80" s="754"/>
    </row>
    <row r="81" spans="3:42" x14ac:dyDescent="0.25">
      <c r="C81" s="754"/>
      <c r="D81" s="754"/>
      <c r="E81" s="754"/>
      <c r="F81" s="754"/>
      <c r="G81" s="754"/>
      <c r="H81" s="754"/>
      <c r="I81" s="754"/>
      <c r="J81" s="754"/>
      <c r="K81" s="754"/>
      <c r="L81" s="754"/>
      <c r="M81" s="754"/>
      <c r="N81" s="754"/>
      <c r="O81" s="754"/>
      <c r="P81" s="754"/>
      <c r="Q81" s="754"/>
      <c r="R81" s="754"/>
      <c r="S81" s="754"/>
      <c r="T81" s="754"/>
      <c r="U81" s="754"/>
      <c r="V81" s="754"/>
      <c r="W81" s="754"/>
      <c r="X81" s="754"/>
      <c r="Y81" s="754"/>
      <c r="Z81" s="754"/>
      <c r="AA81" s="754"/>
      <c r="AB81" s="754"/>
      <c r="AC81" s="754"/>
      <c r="AD81" s="754"/>
      <c r="AE81" s="754"/>
      <c r="AF81" s="754"/>
      <c r="AG81" s="754"/>
      <c r="AH81" s="754"/>
      <c r="AI81" s="754"/>
      <c r="AJ81" s="754"/>
      <c r="AK81" s="754"/>
      <c r="AL81" s="754"/>
      <c r="AM81" s="754"/>
      <c r="AN81" s="754"/>
      <c r="AO81" s="754"/>
      <c r="AP81" s="754"/>
    </row>
    <row r="82" spans="3:42" x14ac:dyDescent="0.25">
      <c r="C82" s="754"/>
      <c r="D82" s="754"/>
      <c r="E82" s="754"/>
      <c r="F82" s="754"/>
      <c r="G82" s="754"/>
      <c r="H82" s="754"/>
      <c r="I82" s="754"/>
      <c r="J82" s="754"/>
      <c r="K82" s="754"/>
      <c r="L82" s="754"/>
      <c r="M82" s="754"/>
      <c r="N82" s="754"/>
      <c r="O82" s="754"/>
      <c r="P82" s="754"/>
      <c r="Q82" s="754"/>
      <c r="R82" s="754"/>
      <c r="S82" s="754"/>
      <c r="T82" s="754"/>
      <c r="U82" s="754"/>
      <c r="V82" s="754"/>
      <c r="W82" s="754"/>
      <c r="X82" s="754"/>
      <c r="Y82" s="754"/>
      <c r="Z82" s="754"/>
      <c r="AA82" s="754"/>
      <c r="AB82" s="754"/>
      <c r="AC82" s="754"/>
      <c r="AD82" s="754"/>
      <c r="AE82" s="754"/>
      <c r="AF82" s="754"/>
      <c r="AG82" s="754"/>
      <c r="AH82" s="754"/>
      <c r="AI82" s="754"/>
      <c r="AJ82" s="754"/>
      <c r="AK82" s="754"/>
      <c r="AL82" s="754"/>
      <c r="AM82" s="754"/>
      <c r="AN82" s="754"/>
      <c r="AO82" s="754"/>
      <c r="AP82" s="754"/>
    </row>
    <row r="83" spans="3:42" x14ac:dyDescent="0.25">
      <c r="C83" s="754"/>
      <c r="D83" s="754"/>
      <c r="E83" s="754"/>
      <c r="F83" s="754"/>
      <c r="G83" s="754"/>
      <c r="H83" s="754"/>
      <c r="I83" s="754"/>
      <c r="J83" s="754"/>
      <c r="K83" s="754"/>
      <c r="L83" s="754"/>
      <c r="M83" s="754"/>
      <c r="N83" s="754"/>
      <c r="O83" s="754"/>
      <c r="P83" s="754"/>
      <c r="Q83" s="754"/>
      <c r="R83" s="754"/>
      <c r="S83" s="754"/>
      <c r="T83" s="754"/>
      <c r="U83" s="754"/>
      <c r="V83" s="754"/>
      <c r="W83" s="754"/>
      <c r="X83" s="754"/>
      <c r="Y83" s="754"/>
      <c r="Z83" s="754"/>
      <c r="AA83" s="754"/>
      <c r="AB83" s="754"/>
      <c r="AC83" s="754"/>
      <c r="AD83" s="754"/>
      <c r="AE83" s="754"/>
      <c r="AF83" s="754"/>
      <c r="AG83" s="754"/>
      <c r="AH83" s="754"/>
      <c r="AI83" s="754"/>
      <c r="AJ83" s="754"/>
      <c r="AK83" s="754"/>
      <c r="AL83" s="754"/>
      <c r="AM83" s="754"/>
      <c r="AN83" s="754"/>
      <c r="AO83" s="754"/>
      <c r="AP83" s="754"/>
    </row>
    <row r="84" spans="3:42" x14ac:dyDescent="0.25">
      <c r="C84" s="754"/>
      <c r="D84" s="754"/>
      <c r="E84" s="754"/>
      <c r="F84" s="754"/>
      <c r="G84" s="754"/>
      <c r="H84" s="754"/>
      <c r="I84" s="754"/>
      <c r="J84" s="754"/>
      <c r="K84" s="754"/>
      <c r="L84" s="754"/>
      <c r="M84" s="754"/>
      <c r="N84" s="754"/>
      <c r="O84" s="754"/>
      <c r="P84" s="754"/>
      <c r="Q84" s="754"/>
      <c r="R84" s="754"/>
      <c r="S84" s="754"/>
      <c r="T84" s="754"/>
      <c r="U84" s="754"/>
      <c r="V84" s="754"/>
      <c r="W84" s="754"/>
      <c r="X84" s="754"/>
      <c r="Y84" s="754"/>
      <c r="Z84" s="754"/>
      <c r="AA84" s="754"/>
      <c r="AB84" s="754"/>
      <c r="AC84" s="754"/>
      <c r="AD84" s="754"/>
      <c r="AE84" s="754"/>
      <c r="AF84" s="754"/>
      <c r="AG84" s="754"/>
      <c r="AH84" s="754"/>
      <c r="AI84" s="754"/>
      <c r="AJ84" s="754"/>
      <c r="AK84" s="754"/>
      <c r="AL84" s="754"/>
      <c r="AM84" s="754"/>
      <c r="AN84" s="754"/>
      <c r="AO84" s="754"/>
      <c r="AP84" s="754"/>
    </row>
    <row r="85" spans="3:42" x14ac:dyDescent="0.25">
      <c r="C85" s="754"/>
      <c r="D85" s="754"/>
      <c r="E85" s="754"/>
      <c r="F85" s="754"/>
      <c r="G85" s="754"/>
      <c r="H85" s="754"/>
      <c r="I85" s="754"/>
      <c r="J85" s="754"/>
      <c r="K85" s="754"/>
      <c r="L85" s="754"/>
      <c r="M85" s="754"/>
      <c r="N85" s="754"/>
      <c r="O85" s="754"/>
      <c r="P85" s="754"/>
      <c r="Q85" s="754"/>
      <c r="R85" s="754"/>
      <c r="S85" s="754"/>
      <c r="T85" s="754"/>
      <c r="U85" s="754"/>
      <c r="V85" s="754"/>
      <c r="W85" s="754"/>
      <c r="X85" s="754"/>
      <c r="Y85" s="754"/>
      <c r="Z85" s="754"/>
      <c r="AA85" s="754"/>
      <c r="AB85" s="754"/>
      <c r="AC85" s="754"/>
      <c r="AD85" s="754"/>
      <c r="AE85" s="754"/>
      <c r="AF85" s="754"/>
      <c r="AG85" s="754"/>
      <c r="AH85" s="754"/>
      <c r="AI85" s="754"/>
      <c r="AJ85" s="754"/>
      <c r="AK85" s="754"/>
      <c r="AL85" s="754"/>
      <c r="AM85" s="754"/>
      <c r="AN85" s="754"/>
      <c r="AO85" s="754"/>
      <c r="AP85" s="754"/>
    </row>
  </sheetData>
  <mergeCells count="295">
    <mergeCell ref="AK72:AP74"/>
    <mergeCell ref="C69:D69"/>
    <mergeCell ref="C68:D68"/>
    <mergeCell ref="AK75:AP75"/>
    <mergeCell ref="C76:D77"/>
    <mergeCell ref="E76:K77"/>
    <mergeCell ref="L76:O77"/>
    <mergeCell ref="P76:T77"/>
    <mergeCell ref="U76:Z77"/>
    <mergeCell ref="AA76:AE77"/>
    <mergeCell ref="AF76:AJ77"/>
    <mergeCell ref="AK76:AP77"/>
    <mergeCell ref="C75:D75"/>
    <mergeCell ref="E75:K75"/>
    <mergeCell ref="L75:O75"/>
    <mergeCell ref="P75:T75"/>
    <mergeCell ref="E72:K74"/>
    <mergeCell ref="L72:O74"/>
    <mergeCell ref="P72:T74"/>
    <mergeCell ref="U72:Z74"/>
    <mergeCell ref="AA72:AE74"/>
    <mergeCell ref="AF72:AJ74"/>
    <mergeCell ref="U75:Z75"/>
    <mergeCell ref="AA75:AE75"/>
    <mergeCell ref="E62:K63"/>
    <mergeCell ref="L62:O63"/>
    <mergeCell ref="P62:S63"/>
    <mergeCell ref="T62:V63"/>
    <mergeCell ref="W62:Y63"/>
    <mergeCell ref="Z62:AC63"/>
    <mergeCell ref="AD62:AG63"/>
    <mergeCell ref="AH62:AL63"/>
    <mergeCell ref="AM62:AP63"/>
    <mergeCell ref="E60:K61"/>
    <mergeCell ref="L60:O61"/>
    <mergeCell ref="P60:S61"/>
    <mergeCell ref="T60:V61"/>
    <mergeCell ref="W60:Y61"/>
    <mergeCell ref="Z60:AC61"/>
    <mergeCell ref="AD60:AG61"/>
    <mergeCell ref="AH60:AL61"/>
    <mergeCell ref="AM60:AP61"/>
    <mergeCell ref="AD56:AG57"/>
    <mergeCell ref="AH56:AL57"/>
    <mergeCell ref="AM56:AP57"/>
    <mergeCell ref="E58:K59"/>
    <mergeCell ref="L58:O59"/>
    <mergeCell ref="P58:S59"/>
    <mergeCell ref="T58:V59"/>
    <mergeCell ref="W58:Y59"/>
    <mergeCell ref="Z58:AC59"/>
    <mergeCell ref="AD58:AG59"/>
    <mergeCell ref="E56:K57"/>
    <mergeCell ref="L56:O57"/>
    <mergeCell ref="P56:S57"/>
    <mergeCell ref="T56:V57"/>
    <mergeCell ref="W56:Y57"/>
    <mergeCell ref="Z56:AC57"/>
    <mergeCell ref="AH58:AL59"/>
    <mergeCell ref="AM58:AP59"/>
    <mergeCell ref="T54:V55"/>
    <mergeCell ref="W54:Y55"/>
    <mergeCell ref="Z54:AC55"/>
    <mergeCell ref="AD54:AG55"/>
    <mergeCell ref="AH54:AL55"/>
    <mergeCell ref="AM54:AP55"/>
    <mergeCell ref="AM50:AP51"/>
    <mergeCell ref="E52:K53"/>
    <mergeCell ref="L52:O53"/>
    <mergeCell ref="P52:S53"/>
    <mergeCell ref="T52:V53"/>
    <mergeCell ref="W52:Y53"/>
    <mergeCell ref="Z52:AC53"/>
    <mergeCell ref="AD52:AG53"/>
    <mergeCell ref="AH52:AL53"/>
    <mergeCell ref="AM52:AP53"/>
    <mergeCell ref="L54:O55"/>
    <mergeCell ref="P54:S55"/>
    <mergeCell ref="AH49:AL49"/>
    <mergeCell ref="E50:K51"/>
    <mergeCell ref="L50:O51"/>
    <mergeCell ref="P50:S51"/>
    <mergeCell ref="T50:V51"/>
    <mergeCell ref="W50:Y51"/>
    <mergeCell ref="Z50:AC51"/>
    <mergeCell ref="AD50:AG51"/>
    <mergeCell ref="AH50:AL51"/>
    <mergeCell ref="AH46:AP46"/>
    <mergeCell ref="AH47:AL48"/>
    <mergeCell ref="AM47:AP48"/>
    <mergeCell ref="C64:D65"/>
    <mergeCell ref="C66:D67"/>
    <mergeCell ref="P49:S49"/>
    <mergeCell ref="T49:V49"/>
    <mergeCell ref="W49:Y49"/>
    <mergeCell ref="Z49:AC49"/>
    <mergeCell ref="AD49:AG49"/>
    <mergeCell ref="AD47:AG48"/>
    <mergeCell ref="Z47:AC48"/>
    <mergeCell ref="W47:Y48"/>
    <mergeCell ref="T47:V48"/>
    <mergeCell ref="C46:D48"/>
    <mergeCell ref="C50:D51"/>
    <mergeCell ref="C52:D53"/>
    <mergeCell ref="E46:AG46"/>
    <mergeCell ref="E47:K48"/>
    <mergeCell ref="L47:O48"/>
    <mergeCell ref="P47:S48"/>
    <mergeCell ref="C62:D63"/>
    <mergeCell ref="C60:D61"/>
    <mergeCell ref="E54:K55"/>
    <mergeCell ref="AL40:AP41"/>
    <mergeCell ref="AD38:AG39"/>
    <mergeCell ref="AH38:AK39"/>
    <mergeCell ref="AL38:AP39"/>
    <mergeCell ref="E40:G41"/>
    <mergeCell ref="H40:J41"/>
    <mergeCell ref="K40:O41"/>
    <mergeCell ref="P40:R41"/>
    <mergeCell ref="S40:V41"/>
    <mergeCell ref="W40:Z41"/>
    <mergeCell ref="AA40:AC41"/>
    <mergeCell ref="E38:G39"/>
    <mergeCell ref="H38:J39"/>
    <mergeCell ref="K38:O39"/>
    <mergeCell ref="P38:R39"/>
    <mergeCell ref="S38:V39"/>
    <mergeCell ref="W38:Z39"/>
    <mergeCell ref="AA38:AC39"/>
    <mergeCell ref="AD40:AG41"/>
    <mergeCell ref="AH40:AK41"/>
    <mergeCell ref="AL32:AP33"/>
    <mergeCell ref="AL34:AP35"/>
    <mergeCell ref="E36:G37"/>
    <mergeCell ref="H36:J37"/>
    <mergeCell ref="K36:O37"/>
    <mergeCell ref="P36:R37"/>
    <mergeCell ref="S36:V37"/>
    <mergeCell ref="W36:Z37"/>
    <mergeCell ref="AA36:AC37"/>
    <mergeCell ref="AD36:AG37"/>
    <mergeCell ref="AH36:AK37"/>
    <mergeCell ref="AL36:AP37"/>
    <mergeCell ref="E34:G35"/>
    <mergeCell ref="H34:J35"/>
    <mergeCell ref="K34:O35"/>
    <mergeCell ref="P34:R35"/>
    <mergeCell ref="S34:V35"/>
    <mergeCell ref="W34:Z35"/>
    <mergeCell ref="AA34:AC35"/>
    <mergeCell ref="AD34:AG35"/>
    <mergeCell ref="AH34:AK35"/>
    <mergeCell ref="AA32:AC33"/>
    <mergeCell ref="H30:J31"/>
    <mergeCell ref="K30:O31"/>
    <mergeCell ref="P30:R31"/>
    <mergeCell ref="S30:V31"/>
    <mergeCell ref="W30:Z31"/>
    <mergeCell ref="AA30:AC31"/>
    <mergeCell ref="AD32:AG33"/>
    <mergeCell ref="AH32:AK33"/>
    <mergeCell ref="AG17:AG18"/>
    <mergeCell ref="P25:R26"/>
    <mergeCell ref="S25:V26"/>
    <mergeCell ref="E24:V24"/>
    <mergeCell ref="E25:G26"/>
    <mergeCell ref="W25:Z26"/>
    <mergeCell ref="AA25:AC26"/>
    <mergeCell ref="AH25:AK26"/>
    <mergeCell ref="S32:V33"/>
    <mergeCell ref="W32:Z33"/>
    <mergeCell ref="K32:O33"/>
    <mergeCell ref="P32:R33"/>
    <mergeCell ref="AL17:AL18"/>
    <mergeCell ref="AM17:AM18"/>
    <mergeCell ref="K27:O27"/>
    <mergeCell ref="H27:J27"/>
    <mergeCell ref="E27:G27"/>
    <mergeCell ref="C28:D29"/>
    <mergeCell ref="C30:D31"/>
    <mergeCell ref="C32:D33"/>
    <mergeCell ref="E28:G29"/>
    <mergeCell ref="H28:J29"/>
    <mergeCell ref="K28:O29"/>
    <mergeCell ref="E30:G31"/>
    <mergeCell ref="AD25:AG26"/>
    <mergeCell ref="W24:AK24"/>
    <mergeCell ref="AL24:AP26"/>
    <mergeCell ref="AD27:AG27"/>
    <mergeCell ref="AL27:AP27"/>
    <mergeCell ref="AD28:AG29"/>
    <mergeCell ref="AH28:AK29"/>
    <mergeCell ref="AL28:AP29"/>
    <mergeCell ref="P28:R29"/>
    <mergeCell ref="S28:V29"/>
    <mergeCell ref="W28:Z29"/>
    <mergeCell ref="C24:D26"/>
    <mergeCell ref="C54:D55"/>
    <mergeCell ref="C56:D57"/>
    <mergeCell ref="C58:D59"/>
    <mergeCell ref="AN17:AN18"/>
    <mergeCell ref="AO17:AO18"/>
    <mergeCell ref="O7:AG11"/>
    <mergeCell ref="AI7:AO13"/>
    <mergeCell ref="R17:R18"/>
    <mergeCell ref="S17:S18"/>
    <mergeCell ref="T17:T18"/>
    <mergeCell ref="U17:U18"/>
    <mergeCell ref="V17:V18"/>
    <mergeCell ref="W17:W18"/>
    <mergeCell ref="X17:X18"/>
    <mergeCell ref="AC17:AC18"/>
    <mergeCell ref="AD17:AD18"/>
    <mergeCell ref="AE17:AE18"/>
    <mergeCell ref="AF17:AF18"/>
    <mergeCell ref="Y17:Y18"/>
    <mergeCell ref="Z17:Z18"/>
    <mergeCell ref="AA17:AA18"/>
    <mergeCell ref="AB17:AB18"/>
    <mergeCell ref="H25:J26"/>
    <mergeCell ref="K25:O26"/>
    <mergeCell ref="C84:D85"/>
    <mergeCell ref="E84:K85"/>
    <mergeCell ref="L84:O85"/>
    <mergeCell ref="P84:T85"/>
    <mergeCell ref="U84:Z85"/>
    <mergeCell ref="AA84:AE85"/>
    <mergeCell ref="AF84:AJ85"/>
    <mergeCell ref="AK84:AP85"/>
    <mergeCell ref="C82:D83"/>
    <mergeCell ref="E82:K83"/>
    <mergeCell ref="L82:O83"/>
    <mergeCell ref="P82:T83"/>
    <mergeCell ref="U82:Z83"/>
    <mergeCell ref="AA82:AE83"/>
    <mergeCell ref="AF82:AJ83"/>
    <mergeCell ref="AK82:AP83"/>
    <mergeCell ref="AK80:AP81"/>
    <mergeCell ref="C78:D79"/>
    <mergeCell ref="E78:K79"/>
    <mergeCell ref="L78:O79"/>
    <mergeCell ref="P78:T79"/>
    <mergeCell ref="U78:Z79"/>
    <mergeCell ref="AA78:AE79"/>
    <mergeCell ref="AF78:AJ79"/>
    <mergeCell ref="AK78:AP79"/>
    <mergeCell ref="C80:D81"/>
    <mergeCell ref="E80:K81"/>
    <mergeCell ref="L80:O81"/>
    <mergeCell ref="P80:T81"/>
    <mergeCell ref="U80:Z81"/>
    <mergeCell ref="AA80:AE81"/>
    <mergeCell ref="AF80:AJ81"/>
    <mergeCell ref="AF75:AJ75"/>
    <mergeCell ref="C72:D74"/>
    <mergeCell ref="AM49:AP49"/>
    <mergeCell ref="C49:D49"/>
    <mergeCell ref="E49:K49"/>
    <mergeCell ref="L49:O49"/>
    <mergeCell ref="AH27:AK27"/>
    <mergeCell ref="C27:D27"/>
    <mergeCell ref="P27:R27"/>
    <mergeCell ref="S27:V27"/>
    <mergeCell ref="W27:Z27"/>
    <mergeCell ref="C42:D42"/>
    <mergeCell ref="C43:D43"/>
    <mergeCell ref="C38:D39"/>
    <mergeCell ref="C40:D41"/>
    <mergeCell ref="C34:D35"/>
    <mergeCell ref="C36:D37"/>
    <mergeCell ref="AA27:AC27"/>
    <mergeCell ref="AD30:AG31"/>
    <mergeCell ref="AH30:AK31"/>
    <mergeCell ref="AL30:AP31"/>
    <mergeCell ref="E32:G33"/>
    <mergeCell ref="H32:J33"/>
    <mergeCell ref="AA28:AC29"/>
    <mergeCell ref="AM64:AP65"/>
    <mergeCell ref="E66:K67"/>
    <mergeCell ref="L66:O67"/>
    <mergeCell ref="P66:S67"/>
    <mergeCell ref="T66:V67"/>
    <mergeCell ref="W66:Y67"/>
    <mergeCell ref="E64:K65"/>
    <mergeCell ref="L64:O65"/>
    <mergeCell ref="P64:S65"/>
    <mergeCell ref="T64:V65"/>
    <mergeCell ref="W64:Y65"/>
    <mergeCell ref="Z64:AC65"/>
    <mergeCell ref="AD64:AG65"/>
    <mergeCell ref="AH64:AL65"/>
    <mergeCell ref="Z66:AC67"/>
    <mergeCell ref="AD66:AG67"/>
    <mergeCell ref="AH66:AL67"/>
    <mergeCell ref="AM66:AP67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8E894-9C2A-4462-B0F9-9AFE31E7DFF6}">
  <dimension ref="C4:BB96"/>
  <sheetViews>
    <sheetView showGridLines="0" topLeftCell="B1" zoomScale="90" zoomScaleNormal="90" workbookViewId="0">
      <selection activeCell="U105" sqref="U105"/>
    </sheetView>
  </sheetViews>
  <sheetFormatPr defaultRowHeight="15" x14ac:dyDescent="0.25"/>
  <cols>
    <col min="2" max="2" width="8.7109375" customWidth="1"/>
    <col min="3" max="6" width="4.28515625" customWidth="1"/>
    <col min="7" max="7" width="4.42578125" customWidth="1"/>
    <col min="8" max="9" width="4.5703125" customWidth="1"/>
    <col min="10" max="10" width="4.42578125" customWidth="1"/>
    <col min="11" max="11" width="4.7109375" customWidth="1"/>
    <col min="12" max="13" width="4.28515625" customWidth="1"/>
    <col min="14" max="15" width="3.42578125" customWidth="1"/>
    <col min="16" max="20" width="4.28515625" customWidth="1"/>
    <col min="21" max="26" width="3.7109375" customWidth="1"/>
    <col min="27" max="36" width="4.28515625" customWidth="1"/>
    <col min="37" max="37" width="5.7109375" customWidth="1"/>
    <col min="38" max="45" width="4.28515625" customWidth="1"/>
  </cols>
  <sheetData>
    <row r="4" spans="3:42" x14ac:dyDescent="0.25">
      <c r="C4" s="165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8"/>
    </row>
    <row r="5" spans="3:42" ht="15.6" customHeight="1" x14ac:dyDescent="0.4">
      <c r="C5" s="169"/>
      <c r="D5" s="170" t="s">
        <v>202</v>
      </c>
      <c r="E5" s="14"/>
      <c r="F5" s="14"/>
      <c r="G5" s="14"/>
      <c r="H5" s="14"/>
      <c r="I5" s="14"/>
      <c r="J5" s="14"/>
      <c r="K5" s="14"/>
      <c r="L5" s="14"/>
      <c r="M5" s="14"/>
      <c r="N5" s="163"/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48"/>
      <c r="Z5" s="248"/>
      <c r="AA5" s="248"/>
      <c r="AB5" s="248"/>
      <c r="AC5" s="248"/>
      <c r="AD5" s="248"/>
      <c r="AE5" s="248"/>
      <c r="AF5" s="248"/>
      <c r="AG5" s="248"/>
      <c r="AH5" s="163"/>
      <c r="AI5" s="163"/>
      <c r="AJ5" s="163"/>
      <c r="AK5" s="163"/>
      <c r="AL5" s="163"/>
      <c r="AM5" s="163"/>
      <c r="AN5" s="163"/>
      <c r="AO5" s="163"/>
      <c r="AP5" s="173"/>
    </row>
    <row r="6" spans="3:42" ht="2.65" customHeight="1" x14ac:dyDescent="0.4">
      <c r="C6" s="169"/>
      <c r="D6" s="14"/>
      <c r="E6" s="14"/>
      <c r="F6" s="14"/>
      <c r="G6" s="14"/>
      <c r="H6" s="14"/>
      <c r="I6" s="14"/>
      <c r="J6" s="14"/>
      <c r="K6" s="14"/>
      <c r="L6" s="14"/>
      <c r="M6" s="14"/>
      <c r="N6" s="163"/>
      <c r="O6" s="248"/>
      <c r="P6" s="248"/>
      <c r="Q6" s="248"/>
      <c r="R6" s="248"/>
      <c r="S6" s="248"/>
      <c r="T6" s="248"/>
      <c r="U6" s="248"/>
      <c r="V6" s="248"/>
      <c r="W6" s="248"/>
      <c r="X6" s="248"/>
      <c r="Y6" s="248"/>
      <c r="Z6" s="248"/>
      <c r="AA6" s="248"/>
      <c r="AB6" s="248"/>
      <c r="AC6" s="248"/>
      <c r="AD6" s="248"/>
      <c r="AE6" s="248"/>
      <c r="AF6" s="248"/>
      <c r="AG6" s="248"/>
      <c r="AH6" s="163"/>
      <c r="AI6" s="163"/>
      <c r="AJ6" s="163"/>
      <c r="AK6" s="163"/>
      <c r="AL6" s="163"/>
      <c r="AM6" s="163"/>
      <c r="AN6" s="163"/>
      <c r="AO6" s="163"/>
      <c r="AP6" s="173"/>
    </row>
    <row r="7" spans="3:42" ht="14.65" customHeight="1" x14ac:dyDescent="0.35">
      <c r="C7" s="169"/>
      <c r="D7" s="174" t="s">
        <v>511</v>
      </c>
      <c r="E7" s="225"/>
      <c r="F7" s="225"/>
      <c r="G7" s="225"/>
      <c r="H7" s="225"/>
      <c r="I7" s="225"/>
      <c r="J7" s="225"/>
      <c r="K7" s="225"/>
      <c r="L7" s="225"/>
      <c r="M7" s="225"/>
      <c r="N7" s="163"/>
      <c r="O7" s="278"/>
      <c r="P7" s="279" t="s">
        <v>28</v>
      </c>
      <c r="Q7" s="279" t="s">
        <v>656</v>
      </c>
      <c r="R7" s="163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  <c r="AD7" s="278"/>
      <c r="AE7" s="278"/>
      <c r="AF7" s="278"/>
      <c r="AG7" s="278"/>
      <c r="AH7" s="163"/>
      <c r="AI7" s="887" t="s">
        <v>542</v>
      </c>
      <c r="AJ7" s="887"/>
      <c r="AK7" s="887"/>
      <c r="AL7" s="887"/>
      <c r="AM7" s="887"/>
      <c r="AN7" s="887"/>
      <c r="AO7" s="887"/>
      <c r="AP7" s="173"/>
    </row>
    <row r="8" spans="3:42" ht="2.65" customHeight="1" x14ac:dyDescent="0.35">
      <c r="C8" s="169"/>
      <c r="D8" s="2"/>
      <c r="E8" s="225"/>
      <c r="F8" s="225"/>
      <c r="G8" s="225"/>
      <c r="H8" s="225"/>
      <c r="I8" s="225"/>
      <c r="J8" s="225"/>
      <c r="K8" s="225"/>
      <c r="L8" s="225"/>
      <c r="M8" s="225"/>
      <c r="N8" s="163"/>
      <c r="O8" s="278"/>
      <c r="P8" s="279"/>
      <c r="Q8" s="279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  <c r="AC8" s="278"/>
      <c r="AD8" s="278"/>
      <c r="AE8" s="278"/>
      <c r="AF8" s="278"/>
      <c r="AG8" s="278"/>
      <c r="AH8" s="163"/>
      <c r="AI8" s="887"/>
      <c r="AJ8" s="887"/>
      <c r="AK8" s="887"/>
      <c r="AL8" s="887"/>
      <c r="AM8" s="887"/>
      <c r="AN8" s="887"/>
      <c r="AO8" s="887"/>
      <c r="AP8" s="173"/>
    </row>
    <row r="9" spans="3:42" ht="14.65" customHeight="1" x14ac:dyDescent="0.25">
      <c r="C9" s="169"/>
      <c r="D9" s="174" t="s">
        <v>536</v>
      </c>
      <c r="E9" s="227"/>
      <c r="F9" s="227"/>
      <c r="G9" s="227"/>
      <c r="H9" s="227"/>
      <c r="I9" s="227"/>
      <c r="J9" s="227"/>
      <c r="K9" s="227"/>
      <c r="L9" s="227"/>
      <c r="M9" s="227"/>
      <c r="N9" s="163"/>
      <c r="O9" s="278"/>
      <c r="P9" s="279" t="s">
        <v>51</v>
      </c>
      <c r="Q9" s="279" t="s">
        <v>541</v>
      </c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  <c r="AC9" s="278"/>
      <c r="AD9" s="278"/>
      <c r="AE9" s="278"/>
      <c r="AF9" s="278"/>
      <c r="AG9" s="278"/>
      <c r="AH9" s="163"/>
      <c r="AI9" s="887"/>
      <c r="AJ9" s="887"/>
      <c r="AK9" s="887"/>
      <c r="AL9" s="887"/>
      <c r="AM9" s="887"/>
      <c r="AN9" s="887"/>
      <c r="AO9" s="887"/>
      <c r="AP9" s="173"/>
    </row>
    <row r="10" spans="3:42" ht="2.65" customHeight="1" x14ac:dyDescent="0.25">
      <c r="C10" s="169"/>
      <c r="D10" s="2"/>
      <c r="E10" s="227"/>
      <c r="F10" s="227"/>
      <c r="G10" s="227"/>
      <c r="H10" s="227"/>
      <c r="I10" s="227"/>
      <c r="J10" s="227"/>
      <c r="K10" s="227"/>
      <c r="L10" s="227"/>
      <c r="M10" s="227"/>
      <c r="N10" s="163"/>
      <c r="O10" s="278"/>
      <c r="P10" s="278"/>
      <c r="Q10" s="278"/>
      <c r="R10" s="278"/>
      <c r="S10" s="278"/>
      <c r="T10" s="278"/>
      <c r="U10" s="278"/>
      <c r="V10" s="278"/>
      <c r="W10" s="278"/>
      <c r="X10" s="278"/>
      <c r="Y10" s="278"/>
      <c r="Z10" s="278"/>
      <c r="AA10" s="278"/>
      <c r="AB10" s="278"/>
      <c r="AC10" s="278"/>
      <c r="AD10" s="278"/>
      <c r="AE10" s="278"/>
      <c r="AF10" s="278"/>
      <c r="AG10" s="278"/>
      <c r="AH10" s="163"/>
      <c r="AI10" s="887"/>
      <c r="AJ10" s="887"/>
      <c r="AK10" s="887"/>
      <c r="AL10" s="887"/>
      <c r="AM10" s="887"/>
      <c r="AN10" s="887"/>
      <c r="AO10" s="887"/>
      <c r="AP10" s="173"/>
    </row>
    <row r="11" spans="3:42" ht="14.65" customHeight="1" x14ac:dyDescent="0.25">
      <c r="C11" s="169"/>
      <c r="D11" s="174" t="s">
        <v>537</v>
      </c>
      <c r="E11" s="227"/>
      <c r="F11" s="227"/>
      <c r="G11" s="227"/>
      <c r="H11" s="227"/>
      <c r="I11" s="227"/>
      <c r="J11" s="227"/>
      <c r="K11" s="227"/>
      <c r="L11" s="227"/>
      <c r="M11" s="227"/>
      <c r="N11" s="163"/>
      <c r="O11" s="278"/>
      <c r="P11" s="278"/>
      <c r="Q11" s="278"/>
      <c r="R11" s="278"/>
      <c r="S11" s="278"/>
      <c r="T11" s="278"/>
      <c r="U11" s="278"/>
      <c r="V11" s="278"/>
      <c r="W11" s="278"/>
      <c r="X11" s="278"/>
      <c r="Y11" s="278"/>
      <c r="Z11" s="278"/>
      <c r="AA11" s="278"/>
      <c r="AB11" s="278"/>
      <c r="AC11" s="278"/>
      <c r="AD11" s="278"/>
      <c r="AE11" s="278"/>
      <c r="AF11" s="278"/>
      <c r="AG11" s="278"/>
      <c r="AH11" s="163"/>
      <c r="AI11" s="280"/>
      <c r="AJ11" s="280"/>
      <c r="AK11" s="280"/>
      <c r="AL11" s="280"/>
      <c r="AM11" s="280"/>
      <c r="AN11" s="280"/>
      <c r="AO11" s="280"/>
      <c r="AP11" s="173"/>
    </row>
    <row r="12" spans="3:42" ht="2.65" customHeight="1" x14ac:dyDescent="0.25">
      <c r="C12" s="169"/>
      <c r="D12" s="2"/>
      <c r="E12" s="227"/>
      <c r="F12" s="227"/>
      <c r="G12" s="227"/>
      <c r="H12" s="227"/>
      <c r="I12" s="227"/>
      <c r="J12" s="227"/>
      <c r="K12" s="227"/>
      <c r="L12" s="227"/>
      <c r="M12" s="227"/>
      <c r="N12" s="163"/>
      <c r="O12" s="171"/>
      <c r="P12" s="172"/>
      <c r="Q12" s="163"/>
      <c r="R12" s="163"/>
      <c r="S12" s="163"/>
      <c r="T12" s="163"/>
      <c r="U12" s="163"/>
      <c r="V12" s="163"/>
      <c r="W12" s="163"/>
      <c r="X12" s="163"/>
      <c r="Y12" s="163"/>
      <c r="Z12" s="163"/>
      <c r="AA12" s="163"/>
      <c r="AB12" s="163"/>
      <c r="AC12" s="163"/>
      <c r="AD12" s="163"/>
      <c r="AE12" s="163"/>
      <c r="AF12" s="163"/>
      <c r="AG12" s="163"/>
      <c r="AH12" s="163"/>
      <c r="AI12" s="281"/>
      <c r="AJ12" s="281"/>
      <c r="AK12" s="281"/>
      <c r="AL12" s="281"/>
      <c r="AM12" s="281"/>
      <c r="AN12" s="281"/>
      <c r="AO12" s="281"/>
      <c r="AP12" s="173"/>
    </row>
    <row r="13" spans="3:42" ht="16.5" customHeight="1" x14ac:dyDescent="0.25">
      <c r="C13" s="169"/>
      <c r="D13" s="174" t="s">
        <v>538</v>
      </c>
      <c r="E13" s="227"/>
      <c r="F13" s="227"/>
      <c r="G13" s="227"/>
      <c r="H13" s="227"/>
      <c r="I13" s="227"/>
      <c r="J13" s="227"/>
      <c r="K13" s="227"/>
      <c r="L13" s="227"/>
      <c r="M13" s="227"/>
      <c r="N13" s="230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  <c r="AA13" s="163"/>
      <c r="AB13" s="163"/>
      <c r="AC13" s="163"/>
      <c r="AD13" s="163"/>
      <c r="AE13" s="163"/>
      <c r="AF13" s="163"/>
      <c r="AG13" s="163"/>
      <c r="AH13" s="163"/>
      <c r="AI13" s="280"/>
      <c r="AJ13" s="280"/>
      <c r="AK13" s="280"/>
      <c r="AL13" s="280"/>
      <c r="AM13" s="280"/>
      <c r="AN13" s="280"/>
      <c r="AO13" s="280"/>
      <c r="AP13" s="173"/>
    </row>
    <row r="14" spans="3:42" ht="2.65" customHeight="1" x14ac:dyDescent="0.25">
      <c r="C14" s="169"/>
      <c r="D14" s="2"/>
      <c r="E14" s="175"/>
      <c r="F14" s="175"/>
      <c r="G14" s="175"/>
      <c r="H14" s="175"/>
      <c r="I14" s="175"/>
      <c r="J14" s="175"/>
      <c r="K14" s="175"/>
      <c r="L14" s="175"/>
      <c r="M14" s="175"/>
      <c r="N14" s="163"/>
      <c r="O14" s="176"/>
      <c r="P14" s="176"/>
      <c r="Q14" s="163"/>
      <c r="R14" s="163"/>
      <c r="S14" s="163"/>
      <c r="T14" s="163"/>
      <c r="U14" s="163"/>
      <c r="V14" s="163"/>
      <c r="W14" s="163"/>
      <c r="X14" s="163"/>
      <c r="Y14" s="163"/>
      <c r="Z14" s="163"/>
      <c r="AA14" s="163"/>
      <c r="AB14" s="163"/>
      <c r="AC14" s="163"/>
      <c r="AD14" s="163"/>
      <c r="AE14" s="163"/>
      <c r="AF14" s="163"/>
      <c r="AG14" s="163"/>
      <c r="AH14" s="163"/>
      <c r="AI14" s="163"/>
      <c r="AJ14" s="163"/>
      <c r="AK14" s="163"/>
      <c r="AL14" s="163"/>
      <c r="AM14" s="163"/>
      <c r="AN14" s="163"/>
      <c r="AO14" s="163"/>
      <c r="AP14" s="173"/>
    </row>
    <row r="15" spans="3:42" x14ac:dyDescent="0.25">
      <c r="C15" s="169"/>
      <c r="D15" s="2" t="s">
        <v>539</v>
      </c>
      <c r="E15" s="175"/>
      <c r="F15" s="175"/>
      <c r="G15" s="175"/>
      <c r="H15" s="175"/>
      <c r="I15" s="175"/>
      <c r="J15" s="175"/>
      <c r="K15" s="175"/>
      <c r="L15" s="175"/>
      <c r="M15" s="175"/>
      <c r="N15" s="163"/>
      <c r="O15" s="231" t="s">
        <v>36</v>
      </c>
      <c r="P15" s="176"/>
      <c r="Q15" s="45"/>
      <c r="R15" s="1013"/>
      <c r="S15" s="1013"/>
      <c r="T15" s="1013"/>
      <c r="U15" s="1013"/>
      <c r="V15" s="1013"/>
      <c r="W15" s="1013"/>
      <c r="X15" s="1013"/>
      <c r="Y15" s="1013"/>
      <c r="Z15" s="1013"/>
      <c r="AA15" s="1013"/>
      <c r="AB15" s="1013"/>
      <c r="AC15" s="1013"/>
      <c r="AD15" s="1013"/>
      <c r="AE15" s="1013"/>
      <c r="AF15" s="1013"/>
      <c r="AG15" s="1013"/>
      <c r="AH15" s="163"/>
      <c r="AI15" s="214" t="s">
        <v>11</v>
      </c>
      <c r="AJ15" s="163"/>
      <c r="AK15" s="163"/>
      <c r="AL15" s="1012"/>
      <c r="AM15" s="1012"/>
      <c r="AN15" s="1012"/>
      <c r="AO15" s="1012"/>
      <c r="AP15" s="173"/>
    </row>
    <row r="16" spans="3:42" ht="3" customHeight="1" x14ac:dyDescent="0.25">
      <c r="C16" s="169"/>
      <c r="D16" s="2"/>
      <c r="E16" s="175"/>
      <c r="F16" s="175"/>
      <c r="G16" s="175"/>
      <c r="H16" s="175"/>
      <c r="I16" s="175"/>
      <c r="J16" s="175"/>
      <c r="K16" s="175"/>
      <c r="L16" s="175"/>
      <c r="M16" s="175"/>
      <c r="N16" s="163"/>
      <c r="O16" s="176"/>
      <c r="P16" s="176"/>
      <c r="Q16" s="163"/>
      <c r="R16" s="1014"/>
      <c r="S16" s="1014"/>
      <c r="T16" s="1014"/>
      <c r="U16" s="1014"/>
      <c r="V16" s="1014"/>
      <c r="W16" s="1014"/>
      <c r="X16" s="1014"/>
      <c r="Y16" s="1014"/>
      <c r="Z16" s="1014"/>
      <c r="AA16" s="1014"/>
      <c r="AB16" s="1014"/>
      <c r="AC16" s="1014"/>
      <c r="AD16" s="1014"/>
      <c r="AE16" s="1014"/>
      <c r="AF16" s="1014"/>
      <c r="AG16" s="1014"/>
      <c r="AH16" s="163"/>
      <c r="AI16" s="163"/>
      <c r="AJ16" s="163"/>
      <c r="AK16" s="163"/>
      <c r="AL16" s="1012"/>
      <c r="AM16" s="1012"/>
      <c r="AN16" s="1012"/>
      <c r="AO16" s="1012"/>
      <c r="AP16" s="173"/>
    </row>
    <row r="17" spans="3:54" x14ac:dyDescent="0.25">
      <c r="C17" s="169"/>
      <c r="D17" s="2" t="s">
        <v>540</v>
      </c>
      <c r="E17" s="175"/>
      <c r="F17" s="175"/>
      <c r="G17" s="175"/>
      <c r="H17" s="175"/>
      <c r="I17" s="175"/>
      <c r="J17" s="175"/>
      <c r="K17" s="175"/>
      <c r="L17" s="175"/>
      <c r="M17" s="175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  <c r="AA17" s="163"/>
      <c r="AB17" s="163"/>
      <c r="AC17" s="163"/>
      <c r="AD17" s="163"/>
      <c r="AE17" s="163"/>
      <c r="AF17" s="163"/>
      <c r="AG17" s="163"/>
      <c r="AH17" s="163"/>
      <c r="AI17" s="163"/>
      <c r="AJ17" s="163"/>
      <c r="AK17" s="163"/>
      <c r="AL17" s="163"/>
      <c r="AM17" s="163"/>
      <c r="AN17" s="163"/>
      <c r="AO17" s="163"/>
      <c r="AP17" s="173"/>
    </row>
    <row r="18" spans="3:54" ht="2.65" customHeight="1" x14ac:dyDescent="0.25">
      <c r="C18" s="169"/>
      <c r="D18" s="2"/>
      <c r="E18" s="175"/>
      <c r="F18" s="175"/>
      <c r="G18" s="175"/>
      <c r="H18" s="175"/>
      <c r="I18" s="175"/>
      <c r="J18" s="175"/>
      <c r="K18" s="175"/>
      <c r="L18" s="175"/>
      <c r="M18" s="175"/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  <c r="AA18" s="163"/>
      <c r="AB18" s="163"/>
      <c r="AC18" s="163"/>
      <c r="AD18" s="163"/>
      <c r="AE18" s="163"/>
      <c r="AF18" s="163"/>
      <c r="AG18" s="163"/>
      <c r="AH18" s="163"/>
      <c r="AI18" s="163"/>
      <c r="AJ18" s="163"/>
      <c r="AK18" s="163"/>
      <c r="AL18" s="163"/>
      <c r="AM18" s="163"/>
      <c r="AN18" s="163"/>
      <c r="AO18" s="163"/>
      <c r="AP18" s="173"/>
    </row>
    <row r="19" spans="3:54" ht="2.65" customHeight="1" x14ac:dyDescent="0.25">
      <c r="C19" s="39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  <c r="AL19" s="115"/>
      <c r="AM19" s="115"/>
      <c r="AN19" s="115"/>
      <c r="AO19" s="115"/>
      <c r="AP19" s="177"/>
      <c r="AQ19" s="115"/>
      <c r="AR19" s="115"/>
    </row>
    <row r="20" spans="3:54" x14ac:dyDescent="0.25">
      <c r="C20" s="323" t="s">
        <v>28</v>
      </c>
      <c r="D20" s="330" t="s">
        <v>656</v>
      </c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178"/>
    </row>
    <row r="21" spans="3:54" ht="3.6" customHeight="1" x14ac:dyDescent="0.25">
      <c r="C21" s="53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179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6"/>
    </row>
    <row r="22" spans="3:54" ht="2.65" customHeight="1" x14ac:dyDescent="0.25">
      <c r="C22" s="282"/>
      <c r="D22" s="96"/>
      <c r="E22" s="96"/>
      <c r="F22" s="2"/>
      <c r="G22" s="2"/>
      <c r="H22" s="2"/>
      <c r="I22" s="2"/>
      <c r="J22" s="2"/>
      <c r="K22" s="2"/>
      <c r="L22" s="2"/>
      <c r="M22" s="96"/>
      <c r="N22" s="96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43"/>
    </row>
    <row r="23" spans="3:54" x14ac:dyDescent="0.25">
      <c r="C23" s="282"/>
      <c r="D23" s="283">
        <v>1</v>
      </c>
      <c r="E23" s="2"/>
      <c r="F23" s="2" t="s">
        <v>266</v>
      </c>
      <c r="G23" s="2"/>
      <c r="H23" s="2"/>
      <c r="I23" s="2"/>
      <c r="J23" s="2"/>
      <c r="K23" s="2"/>
      <c r="L23" s="96"/>
      <c r="M23" s="96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1019"/>
      <c r="AH23" s="1020"/>
      <c r="AI23" s="1020"/>
      <c r="AJ23" s="1020"/>
      <c r="AK23" s="1020"/>
      <c r="AL23" s="1020"/>
      <c r="AM23" s="1020"/>
      <c r="AN23" s="1020"/>
      <c r="AO23" s="1021"/>
      <c r="AP23" s="243"/>
    </row>
    <row r="24" spans="3:54" ht="3" customHeight="1" x14ac:dyDescent="0.25">
      <c r="C24" s="284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43"/>
    </row>
    <row r="25" spans="3:54" x14ac:dyDescent="0.25">
      <c r="C25" s="284"/>
      <c r="D25" s="283">
        <v>2</v>
      </c>
      <c r="E25" s="2"/>
      <c r="F25" s="2" t="s">
        <v>543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1019"/>
      <c r="AH25" s="1020"/>
      <c r="AI25" s="1020"/>
      <c r="AJ25" s="1020"/>
      <c r="AK25" s="1020"/>
      <c r="AL25" s="1020"/>
      <c r="AM25" s="1020"/>
      <c r="AN25" s="1020"/>
      <c r="AO25" s="1021"/>
      <c r="AP25" s="243"/>
    </row>
    <row r="26" spans="3:54" ht="3" customHeight="1" x14ac:dyDescent="0.25">
      <c r="C26" s="284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43"/>
    </row>
    <row r="27" spans="3:54" x14ac:dyDescent="0.25">
      <c r="C27" s="284"/>
      <c r="D27" s="283">
        <v>3</v>
      </c>
      <c r="E27" s="2"/>
      <c r="F27" s="2" t="s">
        <v>544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1019"/>
      <c r="AH27" s="1020"/>
      <c r="AI27" s="1020"/>
      <c r="AJ27" s="1020"/>
      <c r="AK27" s="1020"/>
      <c r="AL27" s="1020"/>
      <c r="AM27" s="1020"/>
      <c r="AN27" s="1020"/>
      <c r="AO27" s="1021"/>
      <c r="AP27" s="243"/>
    </row>
    <row r="28" spans="3:54" ht="3" customHeight="1" x14ac:dyDescent="0.25">
      <c r="C28" s="284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43"/>
    </row>
    <row r="29" spans="3:54" x14ac:dyDescent="0.25">
      <c r="C29" s="284"/>
      <c r="D29" s="283">
        <v>4</v>
      </c>
      <c r="E29" s="2"/>
      <c r="F29" s="2" t="s">
        <v>545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85" t="s">
        <v>105</v>
      </c>
      <c r="U29" s="286">
        <v>1</v>
      </c>
      <c r="V29" s="287" t="s">
        <v>112</v>
      </c>
      <c r="W29" s="286">
        <v>2</v>
      </c>
      <c r="X29" s="287" t="s">
        <v>112</v>
      </c>
      <c r="Y29" s="286">
        <v>3</v>
      </c>
      <c r="Z29" s="2" t="s">
        <v>111</v>
      </c>
      <c r="AA29" s="2"/>
      <c r="AB29" s="2"/>
      <c r="AC29" s="2"/>
      <c r="AD29" s="2"/>
      <c r="AE29" s="2"/>
      <c r="AF29" s="2"/>
      <c r="AG29" s="1019"/>
      <c r="AH29" s="1020"/>
      <c r="AI29" s="1020"/>
      <c r="AJ29" s="1020"/>
      <c r="AK29" s="1020"/>
      <c r="AL29" s="1020"/>
      <c r="AM29" s="1020"/>
      <c r="AN29" s="1020"/>
      <c r="AO29" s="1021"/>
      <c r="AP29" s="243"/>
    </row>
    <row r="30" spans="3:54" ht="3" customHeight="1" x14ac:dyDescent="0.25">
      <c r="C30" s="284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43"/>
    </row>
    <row r="31" spans="3:54" x14ac:dyDescent="0.25">
      <c r="C31" s="284"/>
      <c r="D31" s="283">
        <v>5</v>
      </c>
      <c r="E31" s="2"/>
      <c r="F31" s="2" t="s">
        <v>89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1018"/>
      <c r="V31" s="1018"/>
      <c r="W31" s="1018"/>
      <c r="X31" s="1018"/>
      <c r="Y31" s="1018"/>
      <c r="Z31" s="2"/>
      <c r="AA31" s="2"/>
      <c r="AB31" s="2"/>
      <c r="AC31" s="2"/>
      <c r="AD31" s="2"/>
      <c r="AE31" s="2"/>
      <c r="AF31" s="2"/>
      <c r="AG31" s="1019"/>
      <c r="AH31" s="1020"/>
      <c r="AI31" s="1020"/>
      <c r="AJ31" s="1020"/>
      <c r="AK31" s="1020"/>
      <c r="AL31" s="1020"/>
      <c r="AM31" s="1020"/>
      <c r="AN31" s="1020"/>
      <c r="AO31" s="1021"/>
      <c r="AP31" s="243"/>
    </row>
    <row r="32" spans="3:54" ht="3" customHeight="1" x14ac:dyDescent="0.25">
      <c r="C32" s="284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43"/>
    </row>
    <row r="33" spans="3:42" x14ac:dyDescent="0.25">
      <c r="C33" s="284"/>
      <c r="D33" s="283">
        <v>6</v>
      </c>
      <c r="E33" s="2"/>
      <c r="F33" s="2" t="s">
        <v>90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85" t="s">
        <v>105</v>
      </c>
      <c r="U33" s="286">
        <v>4</v>
      </c>
      <c r="V33" s="287" t="s">
        <v>112</v>
      </c>
      <c r="W33" s="286">
        <v>5</v>
      </c>
      <c r="X33" s="2" t="s">
        <v>111</v>
      </c>
      <c r="Y33" s="2"/>
      <c r="Z33" s="2"/>
      <c r="AA33" s="2"/>
      <c r="AB33" s="2"/>
      <c r="AC33" s="2"/>
      <c r="AD33" s="2"/>
      <c r="AE33" s="2"/>
      <c r="AF33" s="2"/>
      <c r="AG33" s="1019"/>
      <c r="AH33" s="1020"/>
      <c r="AI33" s="1020"/>
      <c r="AJ33" s="1020"/>
      <c r="AK33" s="1020"/>
      <c r="AL33" s="1020"/>
      <c r="AM33" s="1020"/>
      <c r="AN33" s="1020"/>
      <c r="AO33" s="1021"/>
      <c r="AP33" s="243"/>
    </row>
    <row r="34" spans="3:42" ht="3" customHeight="1" x14ac:dyDescent="0.25">
      <c r="C34" s="284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43"/>
    </row>
    <row r="35" spans="3:42" x14ac:dyDescent="0.25">
      <c r="C35" s="284"/>
      <c r="D35" s="283">
        <v>7</v>
      </c>
      <c r="E35" s="2"/>
      <c r="F35" s="2" t="s">
        <v>91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1019"/>
      <c r="AH35" s="1020"/>
      <c r="AI35" s="1020"/>
      <c r="AJ35" s="1020"/>
      <c r="AK35" s="1020"/>
      <c r="AL35" s="1020"/>
      <c r="AM35" s="1020"/>
      <c r="AN35" s="1020"/>
      <c r="AO35" s="1021"/>
      <c r="AP35" s="243"/>
    </row>
    <row r="36" spans="3:42" ht="3" customHeight="1" x14ac:dyDescent="0.25">
      <c r="C36" s="284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43"/>
    </row>
    <row r="37" spans="3:42" x14ac:dyDescent="0.25">
      <c r="C37" s="284"/>
      <c r="D37" s="283">
        <v>8</v>
      </c>
      <c r="E37" s="2"/>
      <c r="F37" s="2" t="s">
        <v>546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1019"/>
      <c r="AH37" s="1020"/>
      <c r="AI37" s="1020"/>
      <c r="AJ37" s="1020"/>
      <c r="AK37" s="1020"/>
      <c r="AL37" s="1020"/>
      <c r="AM37" s="1020"/>
      <c r="AN37" s="1020"/>
      <c r="AO37" s="1021"/>
      <c r="AP37" s="243"/>
    </row>
    <row r="38" spans="3:42" ht="3" customHeight="1" x14ac:dyDescent="0.25">
      <c r="C38" s="284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43"/>
    </row>
    <row r="39" spans="3:42" x14ac:dyDescent="0.25">
      <c r="C39" s="284"/>
      <c r="D39" s="283">
        <v>9</v>
      </c>
      <c r="E39" s="2"/>
      <c r="F39" s="2" t="s">
        <v>96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1019"/>
      <c r="AH39" s="1020"/>
      <c r="AI39" s="1020"/>
      <c r="AJ39" s="1020"/>
      <c r="AK39" s="1020"/>
      <c r="AL39" s="1020"/>
      <c r="AM39" s="1020"/>
      <c r="AN39" s="1020"/>
      <c r="AO39" s="1021"/>
      <c r="AP39" s="243"/>
    </row>
    <row r="40" spans="3:42" ht="3" customHeight="1" x14ac:dyDescent="0.25">
      <c r="C40" s="284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43"/>
    </row>
    <row r="41" spans="3:42" x14ac:dyDescent="0.25">
      <c r="C41" s="284"/>
      <c r="D41" s="283">
        <v>10</v>
      </c>
      <c r="E41" s="2"/>
      <c r="F41" s="2" t="s">
        <v>547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85" t="s">
        <v>105</v>
      </c>
      <c r="U41" s="286">
        <v>7</v>
      </c>
      <c r="V41" s="287" t="s">
        <v>112</v>
      </c>
      <c r="W41" s="286">
        <v>8</v>
      </c>
      <c r="X41" s="287" t="s">
        <v>112</v>
      </c>
      <c r="Y41" s="286">
        <v>9</v>
      </c>
      <c r="Z41" s="2" t="s">
        <v>111</v>
      </c>
      <c r="AA41" s="2"/>
      <c r="AB41" s="2"/>
      <c r="AC41" s="2"/>
      <c r="AD41" s="2"/>
      <c r="AE41" s="2"/>
      <c r="AF41" s="2"/>
      <c r="AG41" s="1019"/>
      <c r="AH41" s="1020"/>
      <c r="AI41" s="1020"/>
      <c r="AJ41" s="1020"/>
      <c r="AK41" s="1020"/>
      <c r="AL41" s="1020"/>
      <c r="AM41" s="1020"/>
      <c r="AN41" s="1020"/>
      <c r="AO41" s="1021"/>
      <c r="AP41" s="243"/>
    </row>
    <row r="42" spans="3:42" ht="3" customHeight="1" x14ac:dyDescent="0.25">
      <c r="C42" s="284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43"/>
    </row>
    <row r="43" spans="3:42" x14ac:dyDescent="0.25">
      <c r="C43" s="284"/>
      <c r="D43" s="283">
        <v>11</v>
      </c>
      <c r="E43" s="2"/>
      <c r="F43" s="2" t="s">
        <v>130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85" t="s">
        <v>105</v>
      </c>
      <c r="U43" s="285">
        <v>1</v>
      </c>
      <c r="V43" s="288" t="s">
        <v>548</v>
      </c>
      <c r="W43" s="289">
        <v>12</v>
      </c>
      <c r="X43" s="287" t="s">
        <v>112</v>
      </c>
      <c r="Y43" s="286">
        <v>10</v>
      </c>
      <c r="Z43" s="2" t="s">
        <v>111</v>
      </c>
      <c r="AA43" s="2"/>
      <c r="AB43" s="2"/>
      <c r="AC43" s="2"/>
      <c r="AD43" s="2"/>
      <c r="AE43" s="2"/>
      <c r="AF43" s="2"/>
      <c r="AG43" s="1019"/>
      <c r="AH43" s="1020"/>
      <c r="AI43" s="1020"/>
      <c r="AJ43" s="1020"/>
      <c r="AK43" s="1020"/>
      <c r="AL43" s="1020"/>
      <c r="AM43" s="1020"/>
      <c r="AN43" s="1020"/>
      <c r="AO43" s="1021"/>
      <c r="AP43" s="243"/>
    </row>
    <row r="44" spans="3:42" ht="3" customHeight="1" x14ac:dyDescent="0.25">
      <c r="C44" s="284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43"/>
    </row>
    <row r="45" spans="3:42" x14ac:dyDescent="0.25">
      <c r="C45" s="155"/>
      <c r="D45" s="1"/>
      <c r="E45" s="1"/>
      <c r="F45" s="1"/>
      <c r="G45" s="1"/>
      <c r="H45" s="1"/>
      <c r="I45" s="1"/>
      <c r="J45" s="1"/>
      <c r="K45" s="1"/>
      <c r="L45" s="1"/>
      <c r="M45" s="1" t="s">
        <v>657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57"/>
    </row>
    <row r="46" spans="3:42" ht="10.15" customHeight="1" x14ac:dyDescent="0.25">
      <c r="C46" s="155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57"/>
    </row>
    <row r="47" spans="3:42" x14ac:dyDescent="0.25">
      <c r="C47" s="323" t="s">
        <v>51</v>
      </c>
      <c r="D47" s="330" t="s">
        <v>541</v>
      </c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178"/>
    </row>
    <row r="48" spans="3:42" ht="3" customHeight="1" x14ac:dyDescent="0.25">
      <c r="C48" s="53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179"/>
    </row>
    <row r="49" spans="3:42" ht="3" customHeight="1" x14ac:dyDescent="0.25">
      <c r="C49" s="284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43"/>
    </row>
    <row r="50" spans="3:42" x14ac:dyDescent="0.25">
      <c r="C50" s="284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1022" t="s">
        <v>180</v>
      </c>
      <c r="AF50" s="1022"/>
      <c r="AG50" s="1022"/>
      <c r="AH50" s="1022"/>
      <c r="AI50" s="1022"/>
      <c r="AJ50" s="2"/>
      <c r="AK50" s="1022" t="s">
        <v>561</v>
      </c>
      <c r="AL50" s="1022"/>
      <c r="AM50" s="1022"/>
      <c r="AN50" s="1022"/>
      <c r="AO50" s="1022"/>
      <c r="AP50" s="243"/>
    </row>
    <row r="51" spans="3:42" ht="3" customHeight="1" x14ac:dyDescent="0.25">
      <c r="C51" s="284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43"/>
    </row>
    <row r="52" spans="3:42" x14ac:dyDescent="0.25">
      <c r="C52" s="284"/>
      <c r="D52" s="290">
        <v>1</v>
      </c>
      <c r="E52" s="2"/>
      <c r="F52" s="2" t="s">
        <v>264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1023"/>
      <c r="AF52" s="1023"/>
      <c r="AG52" s="1023"/>
      <c r="AH52" s="1023"/>
      <c r="AI52" s="1023"/>
      <c r="AJ52" s="2"/>
      <c r="AK52" s="1023"/>
      <c r="AL52" s="1023"/>
      <c r="AM52" s="1023"/>
      <c r="AN52" s="1023"/>
      <c r="AO52" s="1023"/>
      <c r="AP52" s="243"/>
    </row>
    <row r="53" spans="3:42" ht="3" customHeight="1" x14ac:dyDescent="0.25">
      <c r="C53" s="284"/>
      <c r="D53" s="291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77"/>
      <c r="AF53" s="277"/>
      <c r="AG53" s="277"/>
      <c r="AH53" s="277"/>
      <c r="AI53" s="277"/>
      <c r="AJ53" s="2"/>
      <c r="AK53" s="2"/>
      <c r="AL53" s="2"/>
      <c r="AM53" s="2"/>
      <c r="AN53" s="2"/>
      <c r="AO53" s="2"/>
      <c r="AP53" s="243"/>
    </row>
    <row r="54" spans="3:42" x14ac:dyDescent="0.25">
      <c r="C54" s="284"/>
      <c r="D54" s="290">
        <v>2</v>
      </c>
      <c r="E54" s="2"/>
      <c r="F54" s="2" t="s">
        <v>266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1023"/>
      <c r="AF54" s="1023"/>
      <c r="AG54" s="1023"/>
      <c r="AH54" s="1023"/>
      <c r="AI54" s="1023"/>
      <c r="AJ54" s="2"/>
      <c r="AK54" s="1023"/>
      <c r="AL54" s="1023"/>
      <c r="AM54" s="1023"/>
      <c r="AN54" s="1023"/>
      <c r="AO54" s="1023"/>
      <c r="AP54" s="243"/>
    </row>
    <row r="55" spans="3:42" ht="3" customHeight="1" x14ac:dyDescent="0.25">
      <c r="C55" s="284"/>
      <c r="D55" s="291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43"/>
    </row>
    <row r="56" spans="3:42" x14ac:dyDescent="0.25">
      <c r="C56" s="284"/>
      <c r="D56" s="290">
        <v>3</v>
      </c>
      <c r="E56" s="2"/>
      <c r="F56" s="2" t="s">
        <v>549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92" t="s">
        <v>556</v>
      </c>
      <c r="AE56" s="1023"/>
      <c r="AF56" s="1023"/>
      <c r="AG56" s="1023"/>
      <c r="AH56" s="1023"/>
      <c r="AI56" s="1023"/>
      <c r="AJ56" s="292" t="s">
        <v>560</v>
      </c>
      <c r="AK56" s="1023"/>
      <c r="AL56" s="1023"/>
      <c r="AM56" s="1023"/>
      <c r="AN56" s="1023"/>
      <c r="AO56" s="1023"/>
      <c r="AP56" s="243"/>
    </row>
    <row r="57" spans="3:42" ht="3" customHeight="1" x14ac:dyDescent="0.25">
      <c r="C57" s="284"/>
      <c r="D57" s="291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43"/>
    </row>
    <row r="58" spans="3:42" x14ac:dyDescent="0.25">
      <c r="C58" s="284"/>
      <c r="D58" s="291"/>
      <c r="E58" s="2"/>
      <c r="F58" s="2" t="s">
        <v>550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43"/>
    </row>
    <row r="59" spans="3:42" ht="3" customHeight="1" x14ac:dyDescent="0.25">
      <c r="C59" s="284"/>
      <c r="D59" s="291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43"/>
    </row>
    <row r="60" spans="3:42" x14ac:dyDescent="0.25">
      <c r="C60" s="284"/>
      <c r="D60" s="290">
        <v>4</v>
      </c>
      <c r="E60" s="2"/>
      <c r="F60" s="2" t="s">
        <v>549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1018"/>
      <c r="AE60" s="1018"/>
      <c r="AF60" s="1018"/>
      <c r="AG60" s="1018"/>
      <c r="AH60" s="1018"/>
      <c r="AI60" s="1018"/>
      <c r="AJ60" s="1018"/>
      <c r="AK60" s="1018"/>
      <c r="AL60" s="1018"/>
      <c r="AM60" s="1018"/>
      <c r="AN60" s="1018"/>
      <c r="AO60" s="1018"/>
      <c r="AP60" s="243"/>
    </row>
    <row r="61" spans="3:42" ht="3" customHeight="1" x14ac:dyDescent="0.25">
      <c r="C61" s="284"/>
      <c r="D61" s="291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43"/>
    </row>
    <row r="62" spans="3:42" x14ac:dyDescent="0.25">
      <c r="C62" s="284"/>
      <c r="D62" s="291"/>
      <c r="E62" s="2"/>
      <c r="F62" s="2" t="s">
        <v>551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43"/>
    </row>
    <row r="63" spans="3:42" ht="3" customHeight="1" x14ac:dyDescent="0.25">
      <c r="C63" s="284"/>
      <c r="D63" s="291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43"/>
    </row>
    <row r="64" spans="3:42" x14ac:dyDescent="0.25">
      <c r="C64" s="284"/>
      <c r="D64" s="290">
        <v>5</v>
      </c>
      <c r="E64" s="2"/>
      <c r="F64" s="2" t="s">
        <v>552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1018"/>
      <c r="V64" s="1018"/>
      <c r="W64" s="1018"/>
      <c r="X64" s="1018"/>
      <c r="Y64" s="1018"/>
      <c r="Z64" s="2"/>
      <c r="AA64" s="2"/>
      <c r="AB64" s="2"/>
      <c r="AC64" s="2"/>
      <c r="AD64" s="1018"/>
      <c r="AE64" s="1018"/>
      <c r="AF64" s="1018"/>
      <c r="AG64" s="1018"/>
      <c r="AH64" s="1018"/>
      <c r="AI64" s="1018"/>
      <c r="AJ64" s="1018"/>
      <c r="AK64" s="1018"/>
      <c r="AL64" s="1018"/>
      <c r="AM64" s="1018"/>
      <c r="AN64" s="1018"/>
      <c r="AO64" s="1018"/>
      <c r="AP64" s="243"/>
    </row>
    <row r="65" spans="3:50" ht="3" customHeight="1" x14ac:dyDescent="0.25">
      <c r="C65" s="284"/>
      <c r="D65" s="291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43"/>
    </row>
    <row r="66" spans="3:50" x14ac:dyDescent="0.25">
      <c r="C66" s="284"/>
      <c r="D66" s="290">
        <v>6</v>
      </c>
      <c r="E66" s="2"/>
      <c r="F66" s="2" t="s">
        <v>553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85" t="s">
        <v>105</v>
      </c>
      <c r="U66" s="286">
        <v>4</v>
      </c>
      <c r="V66" s="287" t="s">
        <v>112</v>
      </c>
      <c r="W66" s="286">
        <v>5</v>
      </c>
      <c r="X66" s="2" t="s">
        <v>111</v>
      </c>
      <c r="Y66" s="2"/>
      <c r="Z66" s="2"/>
      <c r="AA66" s="2"/>
      <c r="AB66" s="2"/>
      <c r="AC66" s="2"/>
      <c r="AD66" s="1018"/>
      <c r="AE66" s="1018"/>
      <c r="AF66" s="1018"/>
      <c r="AG66" s="1018"/>
      <c r="AH66" s="1018"/>
      <c r="AI66" s="1018"/>
      <c r="AJ66" s="1018"/>
      <c r="AK66" s="1018"/>
      <c r="AL66" s="1018"/>
      <c r="AM66" s="1018"/>
      <c r="AN66" s="1018"/>
      <c r="AO66" s="1018"/>
      <c r="AP66" s="243"/>
    </row>
    <row r="67" spans="3:50" ht="3" customHeight="1" x14ac:dyDescent="0.25">
      <c r="C67" s="284"/>
      <c r="D67" s="291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43"/>
    </row>
    <row r="68" spans="3:50" x14ac:dyDescent="0.25">
      <c r="C68" s="284"/>
      <c r="D68" s="290">
        <v>7</v>
      </c>
      <c r="E68" s="2"/>
      <c r="F68" s="2" t="s">
        <v>554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1018"/>
      <c r="AE68" s="1018"/>
      <c r="AF68" s="1018"/>
      <c r="AG68" s="1018"/>
      <c r="AH68" s="1018"/>
      <c r="AI68" s="1018"/>
      <c r="AJ68" s="1018"/>
      <c r="AK68" s="1018"/>
      <c r="AL68" s="1018"/>
      <c r="AM68" s="1018"/>
      <c r="AN68" s="1018"/>
      <c r="AO68" s="1018"/>
      <c r="AP68" s="243"/>
    </row>
    <row r="69" spans="3:50" ht="3" customHeight="1" x14ac:dyDescent="0.25">
      <c r="C69" s="284"/>
      <c r="D69" s="291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43"/>
    </row>
    <row r="70" spans="3:50" x14ac:dyDescent="0.25">
      <c r="C70" s="284"/>
      <c r="D70" s="290">
        <v>8</v>
      </c>
      <c r="E70" s="2"/>
      <c r="F70" s="2" t="s">
        <v>658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85" t="s">
        <v>555</v>
      </c>
      <c r="U70" s="286" t="s">
        <v>556</v>
      </c>
      <c r="V70" s="287" t="s">
        <v>557</v>
      </c>
      <c r="W70" s="286">
        <v>4</v>
      </c>
      <c r="X70" s="287" t="s">
        <v>558</v>
      </c>
      <c r="Y70" s="286">
        <v>7</v>
      </c>
      <c r="Z70" s="2" t="s">
        <v>559</v>
      </c>
      <c r="AA70" s="2"/>
      <c r="AB70" s="2"/>
      <c r="AC70" s="2"/>
      <c r="AD70" s="1018"/>
      <c r="AE70" s="1018"/>
      <c r="AF70" s="1018"/>
      <c r="AG70" s="1018"/>
      <c r="AH70" s="1018"/>
      <c r="AI70" s="1018"/>
      <c r="AJ70" s="1018"/>
      <c r="AK70" s="1018"/>
      <c r="AL70" s="1018"/>
      <c r="AM70" s="1018"/>
      <c r="AN70" s="1018"/>
      <c r="AO70" s="1018"/>
      <c r="AP70" s="243"/>
    </row>
    <row r="71" spans="3:50" ht="3" customHeight="1" x14ac:dyDescent="0.25">
      <c r="C71" s="284"/>
      <c r="D71" s="291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43"/>
    </row>
    <row r="72" spans="3:50" x14ac:dyDescent="0.25">
      <c r="C72" s="284"/>
      <c r="D72" s="290">
        <v>9</v>
      </c>
      <c r="E72" s="2"/>
      <c r="F72" s="2" t="s">
        <v>659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85" t="s">
        <v>555</v>
      </c>
      <c r="U72" s="286" t="s">
        <v>560</v>
      </c>
      <c r="V72" s="287" t="s">
        <v>557</v>
      </c>
      <c r="W72" s="286">
        <v>4</v>
      </c>
      <c r="X72" s="287" t="s">
        <v>558</v>
      </c>
      <c r="Y72" s="286">
        <v>7</v>
      </c>
      <c r="Z72" s="2" t="s">
        <v>559</v>
      </c>
      <c r="AA72" s="2"/>
      <c r="AB72" s="2"/>
      <c r="AC72" s="2"/>
      <c r="AD72" s="1018"/>
      <c r="AE72" s="1018"/>
      <c r="AF72" s="1018"/>
      <c r="AG72" s="1018"/>
      <c r="AH72" s="1018"/>
      <c r="AI72" s="1018"/>
      <c r="AJ72" s="1018"/>
      <c r="AK72" s="1018"/>
      <c r="AL72" s="1018"/>
      <c r="AM72" s="1018"/>
      <c r="AN72" s="1018"/>
      <c r="AO72" s="1018"/>
      <c r="AP72" s="243"/>
    </row>
    <row r="73" spans="3:50" ht="3" customHeight="1" x14ac:dyDescent="0.25">
      <c r="C73" s="155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57"/>
    </row>
    <row r="74" spans="3:50" x14ac:dyDescent="0.25">
      <c r="C74" s="155"/>
      <c r="D74" s="1"/>
      <c r="E74" s="1"/>
      <c r="F74" s="1"/>
      <c r="G74" s="1"/>
      <c r="H74" s="1"/>
      <c r="I74" s="1"/>
      <c r="J74" s="1"/>
      <c r="K74" s="1"/>
      <c r="L74" s="1" t="s">
        <v>660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57"/>
    </row>
    <row r="75" spans="3:50" ht="3" customHeight="1" x14ac:dyDescent="0.25">
      <c r="C75" s="155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57"/>
    </row>
    <row r="76" spans="3:50" x14ac:dyDescent="0.25">
      <c r="C76" s="155"/>
      <c r="D76" s="1"/>
      <c r="E76" s="1"/>
      <c r="F76" s="1"/>
      <c r="G76" s="1"/>
      <c r="H76" s="1"/>
      <c r="I76" s="1"/>
      <c r="J76" s="1"/>
      <c r="K76" s="1"/>
      <c r="L76" s="156" t="s">
        <v>562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57"/>
    </row>
    <row r="77" spans="3:50" ht="7.15" customHeight="1" x14ac:dyDescent="0.25">
      <c r="C77" s="155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57"/>
    </row>
    <row r="78" spans="3:50" x14ac:dyDescent="0.25">
      <c r="C78" s="37"/>
      <c r="D78" s="52" t="s">
        <v>180</v>
      </c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178"/>
    </row>
    <row r="79" spans="3:50" ht="3" customHeight="1" x14ac:dyDescent="0.25">
      <c r="C79" s="53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7"/>
      <c r="AN79" s="57"/>
      <c r="AO79" s="57"/>
      <c r="AP79" s="179"/>
      <c r="AQ79" s="115"/>
      <c r="AR79" s="115"/>
      <c r="AS79" s="115"/>
      <c r="AT79" s="115"/>
      <c r="AU79" s="115"/>
      <c r="AV79" s="115"/>
      <c r="AW79" s="115"/>
      <c r="AX79" s="115"/>
    </row>
    <row r="80" spans="3:50" ht="3" customHeight="1" x14ac:dyDescent="0.25">
      <c r="C80" s="37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178"/>
      <c r="AQ80" s="115"/>
      <c r="AR80" s="115"/>
      <c r="AS80" s="115"/>
      <c r="AT80" s="115"/>
      <c r="AU80" s="115"/>
      <c r="AV80" s="115"/>
      <c r="AW80" s="115"/>
      <c r="AX80" s="115"/>
    </row>
    <row r="81" spans="3:42" x14ac:dyDescent="0.25">
      <c r="C81" s="293"/>
      <c r="D81" s="163"/>
      <c r="E81" s="163"/>
      <c r="F81" s="163"/>
      <c r="G81" s="163"/>
      <c r="H81" s="163"/>
      <c r="I81" s="163"/>
      <c r="J81" s="163"/>
      <c r="K81" s="163"/>
      <c r="L81" s="163"/>
      <c r="M81" s="163"/>
      <c r="N81" s="163"/>
      <c r="O81" s="163"/>
      <c r="P81" s="163"/>
      <c r="Q81" s="163"/>
      <c r="R81" s="163"/>
      <c r="S81" s="163"/>
      <c r="T81" s="163"/>
      <c r="U81" s="163"/>
      <c r="V81" s="163"/>
      <c r="W81" s="163"/>
      <c r="X81" s="163"/>
      <c r="Y81" s="163"/>
      <c r="Z81" s="294" t="s">
        <v>564</v>
      </c>
      <c r="AA81" s="163"/>
      <c r="AB81" s="163"/>
      <c r="AC81" s="163"/>
      <c r="AD81" s="163"/>
      <c r="AE81" s="163"/>
      <c r="AF81" s="163"/>
      <c r="AG81" s="163"/>
      <c r="AH81" s="163"/>
      <c r="AI81" s="163"/>
      <c r="AJ81" s="163"/>
      <c r="AK81" s="163"/>
      <c r="AL81" s="163"/>
      <c r="AM81" s="163"/>
      <c r="AN81" s="163"/>
      <c r="AO81" s="163"/>
      <c r="AP81" s="173"/>
    </row>
    <row r="82" spans="3:42" ht="3" customHeight="1" x14ac:dyDescent="0.25">
      <c r="C82" s="293"/>
      <c r="D82" s="163"/>
      <c r="E82" s="163"/>
      <c r="F82" s="163"/>
      <c r="G82" s="163"/>
      <c r="H82" s="163"/>
      <c r="I82" s="163"/>
      <c r="J82" s="163"/>
      <c r="K82" s="163"/>
      <c r="L82" s="163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  <c r="Y82" s="163"/>
      <c r="Z82" s="163"/>
      <c r="AA82" s="163"/>
      <c r="AB82" s="163"/>
      <c r="AC82" s="163"/>
      <c r="AD82" s="163"/>
      <c r="AE82" s="163"/>
      <c r="AF82" s="163"/>
      <c r="AG82" s="163"/>
      <c r="AH82" s="163"/>
      <c r="AI82" s="163"/>
      <c r="AJ82" s="163"/>
      <c r="AK82" s="163"/>
      <c r="AL82" s="163"/>
      <c r="AM82" s="163"/>
      <c r="AN82" s="163"/>
      <c r="AO82" s="163"/>
      <c r="AP82" s="173"/>
    </row>
    <row r="83" spans="3:42" x14ac:dyDescent="0.25">
      <c r="C83" s="293"/>
      <c r="D83" s="176" t="s">
        <v>36</v>
      </c>
      <c r="E83" s="163"/>
      <c r="F83" s="163"/>
      <c r="G83" s="163"/>
      <c r="H83" s="151" t="s">
        <v>563</v>
      </c>
      <c r="I83" s="151"/>
      <c r="J83" s="151"/>
      <c r="K83" s="151"/>
      <c r="L83" s="151"/>
      <c r="M83" s="151"/>
      <c r="N83" s="151"/>
      <c r="O83" s="151"/>
      <c r="P83" s="151"/>
      <c r="Q83" s="151"/>
      <c r="R83" s="151"/>
      <c r="S83" s="151"/>
      <c r="T83" s="151"/>
      <c r="U83" s="151"/>
      <c r="V83" s="151"/>
      <c r="W83" s="151"/>
      <c r="X83" s="163"/>
      <c r="Y83" s="163"/>
      <c r="Z83" s="1018"/>
      <c r="AA83" s="1018"/>
      <c r="AB83" s="1018"/>
      <c r="AC83" s="1018"/>
      <c r="AD83" s="1018"/>
      <c r="AE83" s="1018"/>
      <c r="AF83" s="1018"/>
      <c r="AG83" s="1018"/>
      <c r="AH83" s="1018"/>
      <c r="AI83" s="1018"/>
      <c r="AJ83" s="1018"/>
      <c r="AK83" s="1018"/>
      <c r="AL83" s="1018"/>
      <c r="AM83" s="1018"/>
      <c r="AN83" s="1018"/>
      <c r="AO83" s="1018"/>
      <c r="AP83" s="173"/>
    </row>
    <row r="84" spans="3:42" ht="3" customHeight="1" x14ac:dyDescent="0.25">
      <c r="C84" s="293"/>
      <c r="D84" s="176"/>
      <c r="E84" s="163"/>
      <c r="F84" s="163"/>
      <c r="G84" s="163"/>
      <c r="H84" s="163"/>
      <c r="I84" s="163"/>
      <c r="J84" s="163"/>
      <c r="K84" s="163"/>
      <c r="L84" s="163"/>
      <c r="M84" s="163"/>
      <c r="N84" s="163"/>
      <c r="O84" s="163"/>
      <c r="P84" s="163"/>
      <c r="Q84" s="163"/>
      <c r="R84" s="163"/>
      <c r="S84" s="163"/>
      <c r="T84" s="163"/>
      <c r="U84" s="163"/>
      <c r="V84" s="163"/>
      <c r="W84" s="163"/>
      <c r="X84" s="163"/>
      <c r="Y84" s="163"/>
      <c r="Z84" s="1018"/>
      <c r="AA84" s="1018"/>
      <c r="AB84" s="1018"/>
      <c r="AC84" s="1018"/>
      <c r="AD84" s="1018"/>
      <c r="AE84" s="1018"/>
      <c r="AF84" s="1018"/>
      <c r="AG84" s="1018"/>
      <c r="AH84" s="1018"/>
      <c r="AI84" s="1018"/>
      <c r="AJ84" s="1018"/>
      <c r="AK84" s="1018"/>
      <c r="AL84" s="1018"/>
      <c r="AM84" s="1018"/>
      <c r="AN84" s="1018"/>
      <c r="AO84" s="1018"/>
      <c r="AP84" s="173"/>
    </row>
    <row r="85" spans="3:42" x14ac:dyDescent="0.25">
      <c r="C85" s="293"/>
      <c r="D85" s="176" t="s">
        <v>7</v>
      </c>
      <c r="E85" s="163"/>
      <c r="F85" s="163"/>
      <c r="G85" s="163"/>
      <c r="H85" s="1019"/>
      <c r="I85" s="1020"/>
      <c r="J85" s="1020"/>
      <c r="K85" s="1020"/>
      <c r="L85" s="1020"/>
      <c r="M85" s="1020"/>
      <c r="N85" s="1020"/>
      <c r="O85" s="1020"/>
      <c r="P85" s="1020"/>
      <c r="Q85" s="1020"/>
      <c r="R85" s="1020"/>
      <c r="S85" s="1020"/>
      <c r="T85" s="1020"/>
      <c r="U85" s="1020"/>
      <c r="V85" s="1020"/>
      <c r="W85" s="1021"/>
      <c r="X85" s="163"/>
      <c r="Y85" s="163"/>
      <c r="Z85" s="1018"/>
      <c r="AA85" s="1018"/>
      <c r="AB85" s="1018"/>
      <c r="AC85" s="1018"/>
      <c r="AD85" s="1018"/>
      <c r="AE85" s="1018"/>
      <c r="AF85" s="1018"/>
      <c r="AG85" s="1018"/>
      <c r="AH85" s="1018"/>
      <c r="AI85" s="1018"/>
      <c r="AJ85" s="1018"/>
      <c r="AK85" s="1018"/>
      <c r="AL85" s="1018"/>
      <c r="AM85" s="1018"/>
      <c r="AN85" s="1018"/>
      <c r="AO85" s="1018"/>
      <c r="AP85" s="173"/>
    </row>
    <row r="86" spans="3:42" x14ac:dyDescent="0.25">
      <c r="C86" s="293"/>
      <c r="D86" s="163"/>
      <c r="E86" s="163"/>
      <c r="F86" s="163"/>
      <c r="G86" s="163"/>
      <c r="H86" s="163"/>
      <c r="I86" s="163"/>
      <c r="J86" s="163"/>
      <c r="K86" s="163"/>
      <c r="L86" s="163"/>
      <c r="M86" s="163"/>
      <c r="N86" s="163"/>
      <c r="O86" s="163"/>
      <c r="P86" s="163"/>
      <c r="Q86" s="163"/>
      <c r="R86" s="163"/>
      <c r="S86" s="163"/>
      <c r="T86" s="163"/>
      <c r="U86" s="163"/>
      <c r="V86" s="163"/>
      <c r="W86" s="163"/>
      <c r="X86" s="163"/>
      <c r="Y86" s="163"/>
      <c r="Z86" s="163"/>
      <c r="AA86" s="163"/>
      <c r="AB86" s="163"/>
      <c r="AC86" s="163"/>
      <c r="AD86" s="163"/>
      <c r="AE86" s="163"/>
      <c r="AF86" s="163"/>
      <c r="AG86" s="163"/>
      <c r="AH86" s="163"/>
      <c r="AI86" s="163"/>
      <c r="AJ86" s="163"/>
      <c r="AK86" s="163"/>
      <c r="AL86" s="163"/>
      <c r="AM86" s="163"/>
      <c r="AN86" s="163"/>
      <c r="AO86" s="163"/>
      <c r="AP86" s="173"/>
    </row>
    <row r="87" spans="3:42" ht="3" customHeight="1" x14ac:dyDescent="0.25">
      <c r="C87" s="155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57"/>
    </row>
    <row r="88" spans="3:42" x14ac:dyDescent="0.25">
      <c r="C88" s="37"/>
      <c r="D88" s="52" t="s">
        <v>561</v>
      </c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  <c r="AN88" s="45"/>
      <c r="AO88" s="45"/>
      <c r="AP88" s="178"/>
    </row>
    <row r="89" spans="3:42" ht="3" customHeight="1" x14ac:dyDescent="0.25">
      <c r="C89" s="53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7"/>
      <c r="AN89" s="57"/>
      <c r="AO89" s="57"/>
      <c r="AP89" s="179"/>
    </row>
    <row r="90" spans="3:42" ht="3" customHeight="1" x14ac:dyDescent="0.25">
      <c r="C90" s="37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N90" s="45"/>
      <c r="AO90" s="45"/>
      <c r="AP90" s="178"/>
    </row>
    <row r="91" spans="3:42" x14ac:dyDescent="0.25">
      <c r="C91" s="293"/>
      <c r="D91" s="163"/>
      <c r="E91" s="163"/>
      <c r="F91" s="163"/>
      <c r="G91" s="163"/>
      <c r="H91" s="163"/>
      <c r="I91" s="163"/>
      <c r="J91" s="163"/>
      <c r="K91" s="163"/>
      <c r="L91" s="163"/>
      <c r="M91" s="163"/>
      <c r="N91" s="163"/>
      <c r="O91" s="163"/>
      <c r="P91" s="163"/>
      <c r="Q91" s="163"/>
      <c r="R91" s="163"/>
      <c r="S91" s="163"/>
      <c r="T91" s="163"/>
      <c r="U91" s="163"/>
      <c r="V91" s="163"/>
      <c r="W91" s="163"/>
      <c r="X91" s="163"/>
      <c r="Y91" s="163"/>
      <c r="Z91" s="294" t="s">
        <v>564</v>
      </c>
      <c r="AA91" s="163"/>
      <c r="AB91" s="163"/>
      <c r="AC91" s="163"/>
      <c r="AD91" s="163"/>
      <c r="AE91" s="163"/>
      <c r="AF91" s="163"/>
      <c r="AG91" s="163"/>
      <c r="AH91" s="163"/>
      <c r="AI91" s="163"/>
      <c r="AJ91" s="163"/>
      <c r="AK91" s="163"/>
      <c r="AL91" s="163"/>
      <c r="AM91" s="163"/>
      <c r="AN91" s="163"/>
      <c r="AO91" s="163"/>
      <c r="AP91" s="173"/>
    </row>
    <row r="92" spans="3:42" ht="3" customHeight="1" x14ac:dyDescent="0.25">
      <c r="C92" s="293"/>
      <c r="D92" s="163"/>
      <c r="E92" s="163"/>
      <c r="F92" s="163"/>
      <c r="G92" s="163"/>
      <c r="H92" s="163"/>
      <c r="I92" s="163"/>
      <c r="J92" s="163"/>
      <c r="K92" s="163"/>
      <c r="L92" s="163"/>
      <c r="M92" s="163"/>
      <c r="N92" s="163"/>
      <c r="O92" s="163"/>
      <c r="P92" s="163"/>
      <c r="Q92" s="163"/>
      <c r="R92" s="163"/>
      <c r="S92" s="163"/>
      <c r="T92" s="163"/>
      <c r="U92" s="163"/>
      <c r="V92" s="163"/>
      <c r="W92" s="163"/>
      <c r="X92" s="163"/>
      <c r="Y92" s="163"/>
      <c r="Z92" s="163"/>
      <c r="AA92" s="163"/>
      <c r="AB92" s="163"/>
      <c r="AC92" s="163"/>
      <c r="AD92" s="163"/>
      <c r="AE92" s="163"/>
      <c r="AF92" s="163"/>
      <c r="AG92" s="163"/>
      <c r="AH92" s="163"/>
      <c r="AI92" s="163"/>
      <c r="AJ92" s="163"/>
      <c r="AK92" s="163"/>
      <c r="AL92" s="163"/>
      <c r="AM92" s="163"/>
      <c r="AN92" s="163"/>
      <c r="AO92" s="163"/>
      <c r="AP92" s="173"/>
    </row>
    <row r="93" spans="3:42" x14ac:dyDescent="0.25">
      <c r="C93" s="293"/>
      <c r="D93" s="176" t="s">
        <v>36</v>
      </c>
      <c r="E93" s="163"/>
      <c r="F93" s="163"/>
      <c r="G93" s="163"/>
      <c r="H93" s="151" t="s">
        <v>563</v>
      </c>
      <c r="I93" s="151"/>
      <c r="J93" s="151"/>
      <c r="K93" s="151"/>
      <c r="L93" s="151"/>
      <c r="M93" s="151"/>
      <c r="N93" s="151"/>
      <c r="O93" s="151"/>
      <c r="P93" s="151"/>
      <c r="Q93" s="151"/>
      <c r="R93" s="151"/>
      <c r="S93" s="151"/>
      <c r="T93" s="151"/>
      <c r="U93" s="151"/>
      <c r="V93" s="151"/>
      <c r="W93" s="151"/>
      <c r="X93" s="163"/>
      <c r="Y93" s="163"/>
      <c r="Z93" s="1018"/>
      <c r="AA93" s="1018"/>
      <c r="AB93" s="1018"/>
      <c r="AC93" s="1018"/>
      <c r="AD93" s="1018"/>
      <c r="AE93" s="1018"/>
      <c r="AF93" s="1018"/>
      <c r="AG93" s="1018"/>
      <c r="AH93" s="1018"/>
      <c r="AI93" s="1018"/>
      <c r="AJ93" s="1018"/>
      <c r="AK93" s="1018"/>
      <c r="AL93" s="1018"/>
      <c r="AM93" s="1018"/>
      <c r="AN93" s="1018"/>
      <c r="AO93" s="1018"/>
      <c r="AP93" s="173"/>
    </row>
    <row r="94" spans="3:42" ht="2.1" customHeight="1" x14ac:dyDescent="0.25">
      <c r="C94" s="293"/>
      <c r="D94" s="176"/>
      <c r="E94" s="163"/>
      <c r="F94" s="163"/>
      <c r="G94" s="163"/>
      <c r="H94" s="163"/>
      <c r="I94" s="163"/>
      <c r="J94" s="163"/>
      <c r="K94" s="163"/>
      <c r="L94" s="163"/>
      <c r="M94" s="163"/>
      <c r="N94" s="163"/>
      <c r="O94" s="163"/>
      <c r="P94" s="163"/>
      <c r="Q94" s="163"/>
      <c r="R94" s="163"/>
      <c r="S94" s="163"/>
      <c r="T94" s="163"/>
      <c r="U94" s="163"/>
      <c r="V94" s="163"/>
      <c r="W94" s="163"/>
      <c r="X94" s="163"/>
      <c r="Y94" s="163"/>
      <c r="Z94" s="1018"/>
      <c r="AA94" s="1018"/>
      <c r="AB94" s="1018"/>
      <c r="AC94" s="1018"/>
      <c r="AD94" s="1018"/>
      <c r="AE94" s="1018"/>
      <c r="AF94" s="1018"/>
      <c r="AG94" s="1018"/>
      <c r="AH94" s="1018"/>
      <c r="AI94" s="1018"/>
      <c r="AJ94" s="1018"/>
      <c r="AK94" s="1018"/>
      <c r="AL94" s="1018"/>
      <c r="AM94" s="1018"/>
      <c r="AN94" s="1018"/>
      <c r="AO94" s="1018"/>
      <c r="AP94" s="173"/>
    </row>
    <row r="95" spans="3:42" x14ac:dyDescent="0.25">
      <c r="C95" s="293"/>
      <c r="D95" s="176" t="s">
        <v>7</v>
      </c>
      <c r="E95" s="163"/>
      <c r="F95" s="163"/>
      <c r="G95" s="163"/>
      <c r="H95" s="1019"/>
      <c r="I95" s="1020"/>
      <c r="J95" s="1020"/>
      <c r="K95" s="1020"/>
      <c r="L95" s="1020"/>
      <c r="M95" s="1020"/>
      <c r="N95" s="1020"/>
      <c r="O95" s="1020"/>
      <c r="P95" s="1020"/>
      <c r="Q95" s="1020"/>
      <c r="R95" s="1020"/>
      <c r="S95" s="1020"/>
      <c r="T95" s="1020"/>
      <c r="U95" s="1020"/>
      <c r="V95" s="1020"/>
      <c r="W95" s="1021"/>
      <c r="X95" s="163"/>
      <c r="Y95" s="163"/>
      <c r="Z95" s="1018"/>
      <c r="AA95" s="1018"/>
      <c r="AB95" s="1018"/>
      <c r="AC95" s="1018"/>
      <c r="AD95" s="1018"/>
      <c r="AE95" s="1018"/>
      <c r="AF95" s="1018"/>
      <c r="AG95" s="1018"/>
      <c r="AH95" s="1018"/>
      <c r="AI95" s="1018"/>
      <c r="AJ95" s="1018"/>
      <c r="AK95" s="1018"/>
      <c r="AL95" s="1018"/>
      <c r="AM95" s="1018"/>
      <c r="AN95" s="1018"/>
      <c r="AO95" s="1018"/>
      <c r="AP95" s="173"/>
    </row>
    <row r="96" spans="3:42" x14ac:dyDescent="0.25">
      <c r="C96" s="295"/>
      <c r="D96" s="244"/>
      <c r="E96" s="244"/>
      <c r="F96" s="244"/>
      <c r="G96" s="244"/>
      <c r="H96" s="244"/>
      <c r="I96" s="244"/>
      <c r="J96" s="244"/>
      <c r="K96" s="244"/>
      <c r="L96" s="244"/>
      <c r="M96" s="244"/>
      <c r="N96" s="244"/>
      <c r="O96" s="244"/>
      <c r="P96" s="244"/>
      <c r="Q96" s="244"/>
      <c r="R96" s="244"/>
      <c r="S96" s="244"/>
      <c r="T96" s="244"/>
      <c r="U96" s="244"/>
      <c r="V96" s="244"/>
      <c r="W96" s="244"/>
      <c r="X96" s="244"/>
      <c r="Y96" s="244"/>
      <c r="Z96" s="244"/>
      <c r="AA96" s="244"/>
      <c r="AB96" s="244"/>
      <c r="AC96" s="244"/>
      <c r="AD96" s="244"/>
      <c r="AE96" s="244"/>
      <c r="AF96" s="244"/>
      <c r="AG96" s="244"/>
      <c r="AH96" s="244"/>
      <c r="AI96" s="244"/>
      <c r="AJ96" s="244"/>
      <c r="AK96" s="244"/>
      <c r="AL96" s="244"/>
      <c r="AM96" s="244"/>
      <c r="AN96" s="244"/>
      <c r="AO96" s="244"/>
      <c r="AP96" s="245"/>
    </row>
  </sheetData>
  <mergeCells count="52">
    <mergeCell ref="W15:W16"/>
    <mergeCell ref="X15:X16"/>
    <mergeCell ref="Y15:Y16"/>
    <mergeCell ref="R15:R16"/>
    <mergeCell ref="S15:S16"/>
    <mergeCell ref="T15:T16"/>
    <mergeCell ref="U15:U16"/>
    <mergeCell ref="V15:V16"/>
    <mergeCell ref="AI7:AO10"/>
    <mergeCell ref="U31:Y31"/>
    <mergeCell ref="AG23:AO23"/>
    <mergeCell ref="AG29:AO29"/>
    <mergeCell ref="AF15:AF16"/>
    <mergeCell ref="AG15:AG16"/>
    <mergeCell ref="AL15:AL16"/>
    <mergeCell ref="AM15:AM16"/>
    <mergeCell ref="AN15:AN16"/>
    <mergeCell ref="AO15:AO16"/>
    <mergeCell ref="Z15:Z16"/>
    <mergeCell ref="AA15:AA16"/>
    <mergeCell ref="AB15:AB16"/>
    <mergeCell ref="AC15:AC16"/>
    <mergeCell ref="AD15:AD16"/>
    <mergeCell ref="AE15:AE16"/>
    <mergeCell ref="AG35:AO35"/>
    <mergeCell ref="AG41:AO41"/>
    <mergeCell ref="AG25:AO25"/>
    <mergeCell ref="AG27:AO27"/>
    <mergeCell ref="AG31:AO31"/>
    <mergeCell ref="AG33:AO33"/>
    <mergeCell ref="AG37:AO37"/>
    <mergeCell ref="AG39:AO39"/>
    <mergeCell ref="AG43:AO43"/>
    <mergeCell ref="U64:Y64"/>
    <mergeCell ref="AE50:AI50"/>
    <mergeCell ref="AK50:AO50"/>
    <mergeCell ref="AE52:AI52"/>
    <mergeCell ref="AE54:AI54"/>
    <mergeCell ref="AE56:AI56"/>
    <mergeCell ref="AK52:AO52"/>
    <mergeCell ref="AK54:AO54"/>
    <mergeCell ref="AK56:AO56"/>
    <mergeCell ref="AD60:AO60"/>
    <mergeCell ref="AD64:AO64"/>
    <mergeCell ref="Z93:AO95"/>
    <mergeCell ref="H95:W95"/>
    <mergeCell ref="AD66:AO66"/>
    <mergeCell ref="AD68:AO68"/>
    <mergeCell ref="AD70:AO70"/>
    <mergeCell ref="AD72:AO72"/>
    <mergeCell ref="H85:W85"/>
    <mergeCell ref="Z83:AO85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E763-6181-4792-9FB8-823F65C2282A}">
  <sheetPr>
    <pageSetUpPr fitToPage="1"/>
  </sheetPr>
  <dimension ref="C4:BW70"/>
  <sheetViews>
    <sheetView showGridLines="0" zoomScale="55" zoomScaleNormal="55" workbookViewId="0">
      <selection activeCell="K62" sqref="K62:T63"/>
    </sheetView>
  </sheetViews>
  <sheetFormatPr defaultRowHeight="15" x14ac:dyDescent="0.25"/>
  <cols>
    <col min="2" max="2" width="8.7109375" customWidth="1"/>
    <col min="3" max="3" width="5.28515625" customWidth="1"/>
    <col min="4" max="6" width="5.5703125" customWidth="1"/>
    <col min="7" max="10" width="5.42578125" customWidth="1"/>
    <col min="11" max="11" width="4.5703125" customWidth="1"/>
    <col min="12" max="17" width="4.28515625" customWidth="1"/>
    <col min="18" max="18" width="3.42578125" customWidth="1"/>
    <col min="19" max="23" width="4.28515625" customWidth="1"/>
    <col min="24" max="24" width="4" customWidth="1"/>
    <col min="25" max="40" width="4.28515625" customWidth="1"/>
    <col min="41" max="41" width="5.28515625" customWidth="1"/>
    <col min="42" max="42" width="4.28515625" customWidth="1"/>
    <col min="43" max="43" width="4.7109375" customWidth="1"/>
    <col min="44" max="71" width="4.28515625" customWidth="1"/>
  </cols>
  <sheetData>
    <row r="4" spans="3:65" x14ac:dyDescent="0.25">
      <c r="C4" s="190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257"/>
      <c r="R4" s="257"/>
      <c r="S4" s="257"/>
      <c r="T4" s="257"/>
      <c r="U4" s="257"/>
      <c r="V4" s="257"/>
      <c r="W4" s="257"/>
      <c r="X4" s="257"/>
      <c r="Y4" s="257"/>
      <c r="Z4" s="192"/>
      <c r="AA4" s="192"/>
      <c r="AB4" s="192"/>
      <c r="AC4" s="192"/>
      <c r="AD4" s="192"/>
      <c r="AE4" s="192"/>
      <c r="AF4" s="192"/>
      <c r="AG4" s="192"/>
      <c r="AH4" s="192"/>
      <c r="AI4" s="192"/>
      <c r="AJ4" s="192"/>
      <c r="AK4" s="192"/>
      <c r="AL4" s="192"/>
      <c r="AM4" s="192"/>
      <c r="AN4" s="192"/>
      <c r="AO4" s="192"/>
      <c r="AP4" s="192"/>
      <c r="AQ4" s="192"/>
      <c r="AR4" s="192"/>
      <c r="AS4" s="192"/>
      <c r="AT4" s="192"/>
      <c r="AU4" s="192"/>
      <c r="AV4" s="192"/>
      <c r="AW4" s="192"/>
      <c r="AX4" s="192"/>
      <c r="AY4" s="192"/>
      <c r="AZ4" s="192"/>
      <c r="BA4" s="192"/>
      <c r="BB4" s="192"/>
      <c r="BC4" s="192"/>
      <c r="BD4" s="192"/>
      <c r="BE4" s="192"/>
      <c r="BF4" s="192"/>
      <c r="BG4" s="192"/>
      <c r="BH4" s="192"/>
      <c r="BI4" s="192"/>
      <c r="BJ4" s="192"/>
      <c r="BK4" s="193"/>
    </row>
    <row r="5" spans="3:65" ht="15.6" customHeight="1" x14ac:dyDescent="0.4">
      <c r="C5" s="194"/>
      <c r="D5" s="170" t="s">
        <v>202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258"/>
      <c r="R5" s="258"/>
      <c r="S5" s="258"/>
      <c r="T5" s="258"/>
      <c r="U5" s="258"/>
      <c r="V5" s="276" t="s">
        <v>568</v>
      </c>
      <c r="W5" s="276"/>
      <c r="X5" s="296"/>
      <c r="Y5" s="296"/>
      <c r="Z5" s="296"/>
      <c r="AA5" s="296"/>
      <c r="AB5" s="296"/>
      <c r="AC5" s="296"/>
      <c r="AD5" s="296"/>
      <c r="AE5" s="296"/>
      <c r="AF5" s="296"/>
      <c r="AG5" s="296"/>
      <c r="AH5" s="296"/>
      <c r="AI5" s="296"/>
      <c r="AJ5" s="296"/>
      <c r="AK5" s="296"/>
      <c r="AL5" s="296"/>
      <c r="AM5" s="296"/>
      <c r="AN5" s="296"/>
      <c r="AO5" s="296"/>
      <c r="AP5" s="296"/>
      <c r="AQ5" s="296"/>
      <c r="AR5" s="248"/>
      <c r="AS5" s="248"/>
      <c r="AT5" s="248"/>
      <c r="AU5" s="248"/>
      <c r="AV5" s="248"/>
      <c r="AW5" s="248"/>
      <c r="AX5" s="248"/>
      <c r="AY5" s="248"/>
      <c r="AZ5" s="1042" t="s">
        <v>582</v>
      </c>
      <c r="BA5" s="1042"/>
      <c r="BB5" s="1042"/>
      <c r="BC5" s="1042"/>
      <c r="BD5" s="1042"/>
      <c r="BE5" s="1042"/>
      <c r="BF5" s="1042"/>
      <c r="BG5" s="1042"/>
      <c r="BH5" s="1042"/>
      <c r="BI5" s="1042"/>
      <c r="BJ5" s="1042"/>
      <c r="BK5" s="195"/>
    </row>
    <row r="6" spans="3:65" ht="2.65" customHeight="1" x14ac:dyDescent="0.4">
      <c r="C6" s="19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258"/>
      <c r="R6" s="258"/>
      <c r="S6" s="258"/>
      <c r="T6" s="258"/>
      <c r="U6" s="258"/>
      <c r="V6" s="276"/>
      <c r="W6" s="276"/>
      <c r="X6" s="296"/>
      <c r="Y6" s="296"/>
      <c r="Z6" s="296"/>
      <c r="AA6" s="296"/>
      <c r="AB6" s="296"/>
      <c r="AC6" s="296"/>
      <c r="AD6" s="296"/>
      <c r="AE6" s="296"/>
      <c r="AF6" s="296"/>
      <c r="AG6" s="296"/>
      <c r="AH6" s="296"/>
      <c r="AI6" s="296"/>
      <c r="AJ6" s="296"/>
      <c r="AK6" s="296"/>
      <c r="AL6" s="296"/>
      <c r="AM6" s="296"/>
      <c r="AN6" s="296"/>
      <c r="AO6" s="296"/>
      <c r="AP6" s="296"/>
      <c r="AQ6" s="296"/>
      <c r="AR6" s="248"/>
      <c r="AS6" s="248"/>
      <c r="AT6" s="248"/>
      <c r="AU6" s="248"/>
      <c r="AV6" s="248"/>
      <c r="AW6" s="248"/>
      <c r="AX6" s="248"/>
      <c r="AY6" s="248"/>
      <c r="AZ6" s="1042"/>
      <c r="BA6" s="1042"/>
      <c r="BB6" s="1042"/>
      <c r="BC6" s="1042"/>
      <c r="BD6" s="1042"/>
      <c r="BE6" s="1042"/>
      <c r="BF6" s="1042"/>
      <c r="BG6" s="1042"/>
      <c r="BH6" s="1042"/>
      <c r="BI6" s="1042"/>
      <c r="BJ6" s="1042"/>
      <c r="BK6" s="195"/>
    </row>
    <row r="7" spans="3:65" ht="14.65" customHeight="1" x14ac:dyDescent="0.4">
      <c r="C7" s="194"/>
      <c r="D7" s="224" t="s">
        <v>511</v>
      </c>
      <c r="E7" s="225"/>
      <c r="F7" s="225"/>
      <c r="G7" s="225"/>
      <c r="H7" s="225"/>
      <c r="I7" s="225"/>
      <c r="J7" s="225"/>
      <c r="K7" s="225"/>
      <c r="L7" s="225"/>
      <c r="M7" s="225"/>
      <c r="N7" s="225"/>
      <c r="O7" s="225"/>
      <c r="P7" s="225"/>
      <c r="Q7" s="259"/>
      <c r="R7" s="259"/>
      <c r="S7" s="259"/>
      <c r="T7" s="259"/>
      <c r="U7" s="259"/>
      <c r="V7" s="276" t="s">
        <v>661</v>
      </c>
      <c r="W7" s="276"/>
      <c r="X7" s="296"/>
      <c r="Y7" s="296"/>
      <c r="Z7" s="296"/>
      <c r="AA7" s="296"/>
      <c r="AB7" s="296"/>
      <c r="AC7" s="296"/>
      <c r="AD7" s="296"/>
      <c r="AE7" s="296"/>
      <c r="AF7" s="296"/>
      <c r="AG7" s="296"/>
      <c r="AH7" s="296"/>
      <c r="AI7" s="296"/>
      <c r="AJ7" s="296"/>
      <c r="AK7" s="296"/>
      <c r="AL7" s="296"/>
      <c r="AM7" s="296"/>
      <c r="AN7" s="296"/>
      <c r="AO7" s="296"/>
      <c r="AP7" s="296"/>
      <c r="AQ7" s="296"/>
      <c r="AR7" s="248"/>
      <c r="AS7" s="248"/>
      <c r="AT7" s="248"/>
      <c r="AU7" s="248"/>
      <c r="AV7" s="248"/>
      <c r="AW7" s="248"/>
      <c r="AX7" s="248"/>
      <c r="AY7" s="248"/>
      <c r="AZ7" s="1042"/>
      <c r="BA7" s="1042"/>
      <c r="BB7" s="1042"/>
      <c r="BC7" s="1042"/>
      <c r="BD7" s="1042"/>
      <c r="BE7" s="1042"/>
      <c r="BF7" s="1042"/>
      <c r="BG7" s="1042"/>
      <c r="BH7" s="1042"/>
      <c r="BI7" s="1042"/>
      <c r="BJ7" s="1042"/>
      <c r="BK7" s="195"/>
    </row>
    <row r="8" spans="3:65" ht="2.65" customHeight="1" x14ac:dyDescent="0.35">
      <c r="C8" s="194"/>
      <c r="D8" s="226"/>
      <c r="E8" s="225"/>
      <c r="F8" s="225"/>
      <c r="G8" s="225"/>
      <c r="H8" s="225"/>
      <c r="I8" s="225"/>
      <c r="J8" s="225"/>
      <c r="K8" s="225"/>
      <c r="L8" s="225"/>
      <c r="M8" s="225"/>
      <c r="N8" s="225"/>
      <c r="O8" s="225"/>
      <c r="P8" s="225"/>
      <c r="Q8" s="259"/>
      <c r="R8" s="259"/>
      <c r="S8" s="259"/>
      <c r="T8" s="259"/>
      <c r="U8" s="259"/>
      <c r="V8" s="276"/>
      <c r="W8" s="276"/>
      <c r="X8" s="296"/>
      <c r="Y8" s="296"/>
      <c r="Z8" s="296"/>
      <c r="AA8" s="296"/>
      <c r="AB8" s="296"/>
      <c r="AC8" s="296"/>
      <c r="AD8" s="296"/>
      <c r="AE8" s="296"/>
      <c r="AF8" s="296"/>
      <c r="AG8" s="296"/>
      <c r="AH8" s="296"/>
      <c r="AI8" s="296"/>
      <c r="AJ8" s="296"/>
      <c r="AK8" s="296"/>
      <c r="AL8" s="296"/>
      <c r="AM8" s="296"/>
      <c r="AN8" s="296"/>
      <c r="AO8" s="296"/>
      <c r="AP8" s="296"/>
      <c r="AQ8" s="296"/>
      <c r="AR8" s="163"/>
      <c r="AS8" s="163"/>
      <c r="AT8" s="163"/>
      <c r="AU8" s="163"/>
      <c r="AV8" s="163"/>
      <c r="AW8" s="163"/>
      <c r="AX8" s="163"/>
      <c r="AY8" s="163"/>
      <c r="AZ8" s="1042"/>
      <c r="BA8" s="1042"/>
      <c r="BB8" s="1042"/>
      <c r="BC8" s="1042"/>
      <c r="BD8" s="1042"/>
      <c r="BE8" s="1042"/>
      <c r="BF8" s="1042"/>
      <c r="BG8" s="1042"/>
      <c r="BH8" s="1042"/>
      <c r="BI8" s="1042"/>
      <c r="BJ8" s="1042"/>
      <c r="BK8" s="195"/>
    </row>
    <row r="9" spans="3:65" ht="18.600000000000001" customHeight="1" x14ac:dyDescent="0.25">
      <c r="C9" s="194"/>
      <c r="D9" s="224" t="s">
        <v>565</v>
      </c>
      <c r="E9" s="227"/>
      <c r="F9" s="227"/>
      <c r="G9" s="227"/>
      <c r="H9" s="227"/>
      <c r="I9" s="227"/>
      <c r="J9" s="227"/>
      <c r="K9" s="227"/>
      <c r="L9" s="227"/>
      <c r="M9" s="227"/>
      <c r="N9" s="227"/>
      <c r="O9" s="227"/>
      <c r="P9" s="227"/>
      <c r="Q9" s="260"/>
      <c r="R9" s="260"/>
      <c r="S9" s="260"/>
      <c r="T9" s="260"/>
      <c r="U9" s="260"/>
      <c r="V9" s="276" t="s">
        <v>570</v>
      </c>
      <c r="W9" s="276"/>
      <c r="X9" s="296"/>
      <c r="Y9" s="296"/>
      <c r="Z9" s="296"/>
      <c r="AA9" s="296"/>
      <c r="AB9" s="296"/>
      <c r="AC9" s="296"/>
      <c r="AD9" s="296"/>
      <c r="AE9" s="296"/>
      <c r="AF9" s="296"/>
      <c r="AG9" s="296"/>
      <c r="AH9" s="296"/>
      <c r="AI9" s="296"/>
      <c r="AJ9" s="296"/>
      <c r="AK9" s="296"/>
      <c r="AL9" s="296"/>
      <c r="AM9" s="296"/>
      <c r="AN9" s="296"/>
      <c r="AO9" s="296"/>
      <c r="AP9" s="296"/>
      <c r="AQ9" s="296"/>
      <c r="AR9" s="249"/>
      <c r="AS9" s="249"/>
      <c r="AT9" s="249"/>
      <c r="AU9" s="249"/>
      <c r="AV9" s="249"/>
      <c r="AW9" s="249"/>
      <c r="AX9" s="249"/>
      <c r="AY9" s="249"/>
      <c r="AZ9" s="1042"/>
      <c r="BA9" s="1042"/>
      <c r="BB9" s="1042"/>
      <c r="BC9" s="1042"/>
      <c r="BD9" s="1042"/>
      <c r="BE9" s="1042"/>
      <c r="BF9" s="1042"/>
      <c r="BG9" s="1042"/>
      <c r="BH9" s="1042"/>
      <c r="BI9" s="1042"/>
      <c r="BJ9" s="1042"/>
      <c r="BK9" s="195"/>
    </row>
    <row r="10" spans="3:65" ht="2.65" customHeight="1" x14ac:dyDescent="0.25">
      <c r="C10" s="194"/>
      <c r="D10" s="226"/>
      <c r="E10" s="227"/>
      <c r="F10" s="227"/>
      <c r="G10" s="227"/>
      <c r="H10" s="227"/>
      <c r="I10" s="227"/>
      <c r="J10" s="227"/>
      <c r="K10" s="227"/>
      <c r="L10" s="227"/>
      <c r="M10" s="227"/>
      <c r="N10" s="227"/>
      <c r="O10" s="227"/>
      <c r="P10" s="227"/>
      <c r="Q10" s="260"/>
      <c r="R10" s="260"/>
      <c r="S10" s="260"/>
      <c r="T10" s="260"/>
      <c r="U10" s="260"/>
      <c r="V10" s="260"/>
      <c r="W10" s="260"/>
      <c r="X10" s="260"/>
      <c r="Y10" s="260"/>
      <c r="Z10" s="163"/>
      <c r="AA10" s="250"/>
      <c r="AB10" s="250"/>
      <c r="AC10" s="249"/>
      <c r="AD10" s="249"/>
      <c r="AE10" s="249"/>
      <c r="AF10" s="249"/>
      <c r="AG10" s="249"/>
      <c r="AH10" s="249"/>
      <c r="AI10" s="249"/>
      <c r="AJ10" s="249"/>
      <c r="AK10" s="249"/>
      <c r="AL10" s="249"/>
      <c r="AM10" s="249"/>
      <c r="AN10" s="249"/>
      <c r="AO10" s="249"/>
      <c r="AP10" s="249"/>
      <c r="AQ10" s="249"/>
      <c r="AR10" s="249"/>
      <c r="AS10" s="249"/>
      <c r="AT10" s="249"/>
      <c r="AU10" s="249"/>
      <c r="AV10" s="249"/>
      <c r="AW10" s="249"/>
      <c r="AX10" s="249"/>
      <c r="AY10" s="249"/>
      <c r="AZ10" s="7"/>
      <c r="BA10" s="228"/>
      <c r="BB10" s="228"/>
      <c r="BC10" s="228"/>
      <c r="BD10" s="228"/>
      <c r="BE10" s="228"/>
      <c r="BF10" s="228"/>
      <c r="BG10" s="228"/>
      <c r="BH10" s="228"/>
      <c r="BI10" s="228"/>
      <c r="BJ10" s="228"/>
      <c r="BK10" s="195"/>
    </row>
    <row r="11" spans="3:65" ht="14.65" customHeight="1" x14ac:dyDescent="0.25">
      <c r="C11" s="194"/>
      <c r="D11" s="224" t="s">
        <v>566</v>
      </c>
      <c r="E11" s="227"/>
      <c r="F11" s="227"/>
      <c r="G11" s="227"/>
      <c r="H11" s="227"/>
      <c r="I11" s="227"/>
      <c r="J11" s="227"/>
      <c r="K11" s="227"/>
      <c r="L11" s="227"/>
      <c r="M11" s="227"/>
      <c r="N11" s="227"/>
      <c r="O11" s="227"/>
      <c r="P11" s="227"/>
      <c r="Q11" s="260"/>
      <c r="R11" s="260"/>
      <c r="S11" s="260"/>
      <c r="T11" s="260"/>
      <c r="U11" s="260"/>
      <c r="V11" s="260"/>
      <c r="W11" s="260"/>
      <c r="X11" s="260"/>
      <c r="Y11" s="260"/>
      <c r="Z11" s="163"/>
      <c r="AA11" s="250"/>
      <c r="AB11" s="250"/>
      <c r="AC11" s="249"/>
      <c r="AD11" s="249"/>
      <c r="AE11" s="249"/>
      <c r="AF11" s="249"/>
      <c r="AG11" s="249"/>
      <c r="AH11" s="249"/>
      <c r="AI11" s="249"/>
      <c r="AJ11" s="249"/>
      <c r="AK11" s="249"/>
      <c r="AL11" s="249"/>
      <c r="AM11" s="249"/>
      <c r="AN11" s="249"/>
      <c r="AO11" s="249"/>
      <c r="AP11" s="249"/>
      <c r="AQ11" s="249"/>
      <c r="AR11" s="249"/>
      <c r="AS11" s="249"/>
      <c r="AT11" s="249"/>
      <c r="AU11" s="249"/>
      <c r="AV11" s="249"/>
      <c r="AW11" s="249"/>
      <c r="AX11" s="249"/>
      <c r="AY11" s="249"/>
      <c r="AZ11" s="163"/>
      <c r="BA11" s="229"/>
      <c r="BB11" s="229"/>
      <c r="BC11" s="229"/>
      <c r="BD11" s="229"/>
      <c r="BE11" s="229"/>
      <c r="BF11" s="229"/>
      <c r="BG11" s="229"/>
      <c r="BH11" s="229"/>
      <c r="BI11" s="229"/>
      <c r="BJ11" s="229"/>
      <c r="BK11" s="195"/>
    </row>
    <row r="12" spans="3:65" ht="2.65" customHeight="1" x14ac:dyDescent="0.25">
      <c r="C12" s="194"/>
      <c r="D12" s="226"/>
      <c r="E12" s="227"/>
      <c r="F12" s="227"/>
      <c r="G12" s="227"/>
      <c r="H12" s="227"/>
      <c r="I12" s="227"/>
      <c r="J12" s="227"/>
      <c r="K12" s="227"/>
      <c r="L12" s="227"/>
      <c r="M12" s="227"/>
      <c r="N12" s="227"/>
      <c r="O12" s="227"/>
      <c r="P12" s="227"/>
      <c r="Q12" s="260"/>
      <c r="R12" s="260"/>
      <c r="S12" s="260"/>
      <c r="T12" s="260"/>
      <c r="U12" s="260"/>
      <c r="V12" s="260"/>
      <c r="W12" s="260"/>
      <c r="X12" s="260"/>
      <c r="Y12" s="260"/>
      <c r="Z12" s="163"/>
      <c r="AA12" s="171"/>
      <c r="AB12" s="172"/>
      <c r="AC12" s="163"/>
      <c r="AD12" s="163"/>
      <c r="AE12" s="163"/>
      <c r="AF12" s="163"/>
      <c r="AG12" s="163"/>
      <c r="AH12" s="163"/>
      <c r="AI12" s="163"/>
      <c r="AJ12" s="163"/>
      <c r="AK12" s="163"/>
      <c r="AL12" s="163"/>
      <c r="AM12" s="163"/>
      <c r="AN12" s="163"/>
      <c r="AO12" s="163"/>
      <c r="AP12" s="163"/>
      <c r="AQ12" s="163"/>
      <c r="AR12" s="163"/>
      <c r="AS12" s="163"/>
      <c r="AT12" s="163"/>
      <c r="AU12" s="163"/>
      <c r="AV12" s="163"/>
      <c r="AW12" s="163"/>
      <c r="AX12" s="163"/>
      <c r="AY12" s="163"/>
      <c r="AZ12" s="163"/>
      <c r="BA12" s="196"/>
      <c r="BB12" s="196"/>
      <c r="BC12" s="196"/>
      <c r="BD12" s="196"/>
      <c r="BE12" s="196"/>
      <c r="BF12" s="196"/>
      <c r="BG12" s="196"/>
      <c r="BH12" s="196"/>
      <c r="BI12" s="196"/>
      <c r="BJ12" s="196"/>
      <c r="BK12" s="195"/>
    </row>
    <row r="13" spans="3:65" ht="16.5" customHeight="1" x14ac:dyDescent="0.25">
      <c r="C13" s="194"/>
      <c r="D13" s="224" t="s">
        <v>546</v>
      </c>
      <c r="E13" s="227"/>
      <c r="F13" s="227"/>
      <c r="G13" s="227"/>
      <c r="H13" s="227"/>
      <c r="I13" s="227"/>
      <c r="J13" s="227"/>
      <c r="K13" s="227"/>
      <c r="L13" s="227"/>
      <c r="M13" s="227"/>
      <c r="N13" s="227"/>
      <c r="O13" s="227"/>
      <c r="P13" s="227"/>
      <c r="Q13" s="260"/>
      <c r="R13" s="260"/>
      <c r="S13" s="163"/>
      <c r="T13" s="163"/>
      <c r="U13" s="163"/>
      <c r="V13" s="231" t="s">
        <v>36</v>
      </c>
      <c r="W13" s="176"/>
      <c r="X13" s="45"/>
      <c r="Y13" s="221"/>
      <c r="Z13" s="220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151"/>
      <c r="AL13" s="151"/>
      <c r="AM13" s="151"/>
      <c r="AN13" s="151"/>
      <c r="AO13" s="151"/>
      <c r="AP13" s="151"/>
      <c r="AQ13" s="151"/>
      <c r="AR13" s="163"/>
      <c r="AS13" s="163"/>
      <c r="AT13" s="163"/>
      <c r="AU13" s="163"/>
      <c r="AV13" s="163"/>
      <c r="AW13" s="163"/>
      <c r="AX13" s="163"/>
      <c r="AY13" s="163"/>
      <c r="AZ13" s="317"/>
      <c r="BA13" s="172" t="s">
        <v>11</v>
      </c>
      <c r="BB13" s="163"/>
      <c r="BC13" s="163"/>
      <c r="BD13" s="163"/>
      <c r="BE13" s="163"/>
      <c r="BF13" s="163"/>
      <c r="BG13" s="152"/>
      <c r="BH13" s="152"/>
      <c r="BI13" s="152"/>
      <c r="BJ13" s="152"/>
      <c r="BK13" s="195"/>
    </row>
    <row r="14" spans="3:65" ht="2.65" customHeight="1" x14ac:dyDescent="0.25">
      <c r="C14" s="194"/>
      <c r="D14" s="2"/>
      <c r="E14" s="175"/>
      <c r="F14" s="175"/>
      <c r="G14" s="175"/>
      <c r="H14" s="175"/>
      <c r="I14" s="175"/>
      <c r="J14" s="175"/>
      <c r="K14" s="175"/>
      <c r="L14" s="175"/>
      <c r="M14" s="175"/>
      <c r="N14" s="175"/>
      <c r="O14" s="175"/>
      <c r="P14" s="175"/>
      <c r="Q14" s="261"/>
      <c r="R14" s="261"/>
      <c r="S14" s="261"/>
      <c r="T14" s="261"/>
      <c r="U14" s="261"/>
      <c r="V14" s="261"/>
      <c r="W14" s="261"/>
      <c r="X14" s="261"/>
      <c r="Y14" s="261"/>
      <c r="Z14" s="163"/>
      <c r="AA14" s="176"/>
      <c r="AB14" s="176"/>
      <c r="AC14" s="163"/>
      <c r="AD14" s="163"/>
      <c r="AE14" s="163"/>
      <c r="AF14" s="163"/>
      <c r="AG14" s="163"/>
      <c r="AH14" s="163"/>
      <c r="AI14" s="163"/>
      <c r="AJ14" s="163"/>
      <c r="AK14" s="163"/>
      <c r="AL14" s="163"/>
      <c r="AM14" s="163"/>
      <c r="AN14" s="163"/>
      <c r="AO14" s="163"/>
      <c r="AP14" s="163"/>
      <c r="AQ14" s="163"/>
      <c r="AR14" s="163"/>
      <c r="AS14" s="163"/>
      <c r="AT14" s="163"/>
      <c r="AU14" s="163"/>
      <c r="AV14" s="163"/>
      <c r="AW14" s="163"/>
      <c r="AX14" s="163"/>
      <c r="AY14" s="163"/>
      <c r="AZ14" s="163"/>
      <c r="BA14" s="163"/>
      <c r="BB14" s="163"/>
      <c r="BC14" s="163"/>
      <c r="BD14" s="163"/>
      <c r="BE14" s="163"/>
      <c r="BF14" s="163"/>
      <c r="BG14" s="163"/>
      <c r="BH14" s="163"/>
      <c r="BI14" s="163"/>
      <c r="BJ14" s="163"/>
      <c r="BK14" s="195"/>
    </row>
    <row r="15" spans="3:65" ht="11.65" customHeight="1" x14ac:dyDescent="0.25">
      <c r="C15" s="194"/>
      <c r="D15" s="17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258"/>
      <c r="R15" s="258"/>
      <c r="S15" s="258"/>
      <c r="T15" s="258"/>
      <c r="U15" s="258"/>
      <c r="V15" s="258"/>
      <c r="W15" s="258"/>
      <c r="X15" s="258"/>
      <c r="Y15" s="258"/>
      <c r="Z15" s="163"/>
      <c r="AA15" s="163"/>
      <c r="AB15" s="163"/>
      <c r="AC15" s="163"/>
      <c r="AD15" s="163"/>
      <c r="AE15" s="163"/>
      <c r="AF15" s="163"/>
      <c r="AG15" s="163"/>
      <c r="AH15" s="163"/>
      <c r="AI15" s="163"/>
      <c r="AJ15" s="163"/>
      <c r="AK15" s="163"/>
      <c r="AL15" s="163"/>
      <c r="AM15" s="163"/>
      <c r="AN15" s="163"/>
      <c r="AO15" s="163"/>
      <c r="AP15" s="163"/>
      <c r="AQ15" s="163"/>
      <c r="AR15" s="163"/>
      <c r="AS15" s="163"/>
      <c r="AT15" s="163"/>
      <c r="AU15" s="163"/>
      <c r="AV15" s="163"/>
      <c r="AW15" s="163"/>
      <c r="AX15" s="163"/>
      <c r="AY15" s="163"/>
      <c r="AZ15" s="163"/>
      <c r="BA15" s="163"/>
      <c r="BB15" s="163"/>
      <c r="BC15" s="163"/>
      <c r="BD15" s="163"/>
      <c r="BE15" s="163"/>
      <c r="BF15" s="163"/>
      <c r="BG15" s="163"/>
      <c r="BH15" s="163"/>
      <c r="BI15" s="163"/>
      <c r="BJ15" s="163"/>
      <c r="BK15" s="195"/>
    </row>
    <row r="16" spans="3:65" ht="2.65" customHeight="1" x14ac:dyDescent="0.25">
      <c r="C16" s="197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5"/>
      <c r="BF16" s="115"/>
      <c r="BG16" s="115"/>
      <c r="BH16" s="115"/>
      <c r="BI16" s="115"/>
      <c r="BJ16" s="115"/>
      <c r="BK16" s="115"/>
      <c r="BL16" s="115"/>
      <c r="BM16" s="115"/>
    </row>
    <row r="17" spans="3:72" ht="15.75" x14ac:dyDescent="0.25">
      <c r="C17" s="331" t="s">
        <v>28</v>
      </c>
      <c r="D17" s="247" t="s">
        <v>567</v>
      </c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115"/>
      <c r="BM17" s="115"/>
    </row>
    <row r="18" spans="3:72" ht="2.65" customHeight="1" x14ac:dyDescent="0.25">
      <c r="C18" s="201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57"/>
      <c r="BI18" s="57"/>
      <c r="BJ18" s="57"/>
      <c r="BK18" s="57"/>
      <c r="BL18" s="115"/>
      <c r="BM18" s="115"/>
    </row>
    <row r="19" spans="3:72" ht="15.75" x14ac:dyDescent="0.25">
      <c r="C19" s="1053" t="s">
        <v>263</v>
      </c>
      <c r="D19" s="298"/>
      <c r="E19" s="299"/>
      <c r="F19" s="299"/>
      <c r="G19" s="299"/>
      <c r="H19" s="299"/>
      <c r="I19" s="300"/>
      <c r="J19" s="1043" t="s">
        <v>576</v>
      </c>
      <c r="K19" s="1044"/>
      <c r="L19" s="1044"/>
      <c r="M19" s="1044"/>
      <c r="N19" s="1044"/>
      <c r="O19" s="1044"/>
      <c r="P19" s="1044"/>
      <c r="Q19" s="1044"/>
      <c r="R19" s="1044"/>
      <c r="S19" s="1044"/>
      <c r="T19" s="1044"/>
      <c r="U19" s="1044"/>
      <c r="V19" s="1044"/>
      <c r="W19" s="1044"/>
      <c r="X19" s="1044"/>
      <c r="Y19" s="1044"/>
      <c r="Z19" s="1044"/>
      <c r="AA19" s="1044"/>
      <c r="AB19" s="1044"/>
      <c r="AC19" s="1044"/>
      <c r="AD19" s="1044"/>
      <c r="AE19" s="1044"/>
      <c r="AF19" s="1044"/>
      <c r="AG19" s="1044"/>
      <c r="AH19" s="1044"/>
      <c r="AI19" s="1044"/>
      <c r="AJ19" s="1044"/>
      <c r="AK19" s="1044"/>
      <c r="AL19" s="1044"/>
      <c r="AM19" s="1044"/>
      <c r="AN19" s="1044"/>
      <c r="AO19" s="1044"/>
      <c r="AP19" s="1044"/>
      <c r="AQ19" s="1044"/>
      <c r="AR19" s="1044"/>
      <c r="AS19" s="1044"/>
      <c r="AT19" s="1044"/>
      <c r="AU19" s="1044"/>
      <c r="AV19" s="1044"/>
      <c r="AW19" s="1044"/>
      <c r="AX19" s="1044"/>
      <c r="AY19" s="1044"/>
      <c r="AZ19" s="1044"/>
      <c r="BA19" s="1044"/>
      <c r="BB19" s="1044"/>
      <c r="BC19" s="1044"/>
      <c r="BD19" s="1044"/>
      <c r="BE19" s="1044"/>
      <c r="BF19" s="1044"/>
      <c r="BG19" s="1044"/>
      <c r="BH19" s="1044"/>
      <c r="BI19" s="1044"/>
      <c r="BJ19" s="1044"/>
      <c r="BK19" s="1044"/>
      <c r="BL19" s="297"/>
      <c r="BM19" s="297"/>
      <c r="BN19" s="297"/>
      <c r="BO19" s="297"/>
      <c r="BP19" s="297"/>
      <c r="BQ19" s="297"/>
      <c r="BR19" s="297"/>
      <c r="BS19" s="297"/>
      <c r="BT19" s="297"/>
    </row>
    <row r="20" spans="3:72" x14ac:dyDescent="0.25">
      <c r="C20" s="1053"/>
      <c r="D20" s="1038" t="s">
        <v>577</v>
      </c>
      <c r="E20" s="1039"/>
      <c r="F20" s="1039"/>
      <c r="G20" s="1039"/>
      <c r="H20" s="1039"/>
      <c r="I20" s="1040"/>
      <c r="J20" s="299"/>
      <c r="K20" s="299"/>
      <c r="L20" s="299"/>
      <c r="M20" s="299"/>
      <c r="N20" s="299"/>
      <c r="O20" s="299"/>
      <c r="P20" s="299"/>
      <c r="Q20" s="301"/>
      <c r="R20" s="302"/>
      <c r="S20" s="303"/>
      <c r="T20" s="299"/>
      <c r="U20" s="299"/>
      <c r="V20" s="299"/>
      <c r="W20" s="299"/>
      <c r="X20" s="299"/>
      <c r="Y20" s="299"/>
      <c r="Z20" s="301"/>
      <c r="AA20" s="302"/>
      <c r="AB20" s="303"/>
      <c r="AC20" s="299"/>
      <c r="AD20" s="299"/>
      <c r="AE20" s="299"/>
      <c r="AF20" s="299"/>
      <c r="AG20" s="299"/>
      <c r="AH20" s="299"/>
      <c r="AI20" s="301"/>
      <c r="AJ20" s="302"/>
      <c r="AK20" s="303"/>
      <c r="AL20" s="299"/>
      <c r="AM20" s="299"/>
      <c r="AN20" s="299"/>
      <c r="AO20" s="299"/>
      <c r="AP20" s="299"/>
      <c r="AQ20" s="299"/>
      <c r="AR20" s="301"/>
      <c r="AS20" s="302"/>
      <c r="AT20" s="303"/>
      <c r="AU20" s="299"/>
      <c r="AV20" s="299"/>
      <c r="AW20" s="299"/>
      <c r="AX20" s="299"/>
      <c r="AY20" s="299"/>
      <c r="AZ20" s="299"/>
      <c r="BA20" s="301"/>
      <c r="BB20" s="302"/>
      <c r="BC20" s="303"/>
      <c r="BD20" s="299"/>
      <c r="BE20" s="299"/>
      <c r="BF20" s="299"/>
      <c r="BG20" s="299"/>
      <c r="BH20" s="299"/>
      <c r="BI20" s="299"/>
      <c r="BJ20" s="301"/>
      <c r="BK20" s="302"/>
    </row>
    <row r="21" spans="3:72" x14ac:dyDescent="0.25">
      <c r="C21" s="1053"/>
      <c r="D21" s="1038" t="s">
        <v>578</v>
      </c>
      <c r="E21" s="1039"/>
      <c r="F21" s="1039"/>
      <c r="G21" s="1039"/>
      <c r="H21" s="1039"/>
      <c r="I21" s="1040"/>
      <c r="J21" s="304"/>
      <c r="K21" s="304" t="s">
        <v>177</v>
      </c>
      <c r="L21" s="304"/>
      <c r="M21" s="304"/>
      <c r="N21" s="305"/>
      <c r="O21" s="305"/>
      <c r="P21" s="305"/>
      <c r="Q21" s="306"/>
      <c r="R21" s="307"/>
      <c r="S21" s="308"/>
      <c r="T21" s="304" t="s">
        <v>177</v>
      </c>
      <c r="U21" s="304"/>
      <c r="V21" s="304"/>
      <c r="W21" s="305"/>
      <c r="X21" s="305"/>
      <c r="Y21" s="305"/>
      <c r="Z21" s="306"/>
      <c r="AA21" s="307"/>
      <c r="AB21" s="308"/>
      <c r="AC21" s="304" t="s">
        <v>177</v>
      </c>
      <c r="AD21" s="304"/>
      <c r="AE21" s="304"/>
      <c r="AF21" s="305"/>
      <c r="AG21" s="305"/>
      <c r="AH21" s="305"/>
      <c r="AI21" s="306"/>
      <c r="AJ21" s="307"/>
      <c r="AK21" s="308"/>
      <c r="AL21" s="304" t="s">
        <v>177</v>
      </c>
      <c r="AM21" s="304"/>
      <c r="AN21" s="304"/>
      <c r="AO21" s="305"/>
      <c r="AP21" s="305"/>
      <c r="AQ21" s="305"/>
      <c r="AR21" s="306"/>
      <c r="AS21" s="307"/>
      <c r="AT21" s="308"/>
      <c r="AU21" s="304" t="s">
        <v>177</v>
      </c>
      <c r="AV21" s="304"/>
      <c r="AW21" s="304"/>
      <c r="AX21" s="305"/>
      <c r="AY21" s="305"/>
      <c r="AZ21" s="305"/>
      <c r="BA21" s="306"/>
      <c r="BB21" s="307"/>
      <c r="BC21" s="308"/>
      <c r="BD21" s="304" t="s">
        <v>177</v>
      </c>
      <c r="BE21" s="304"/>
      <c r="BF21" s="304"/>
      <c r="BG21" s="305"/>
      <c r="BH21" s="305"/>
      <c r="BI21" s="305"/>
      <c r="BJ21" s="306"/>
      <c r="BK21" s="307"/>
    </row>
    <row r="22" spans="3:72" x14ac:dyDescent="0.25">
      <c r="C22" s="1053"/>
      <c r="D22" s="309"/>
      <c r="E22" s="310"/>
      <c r="F22" s="310"/>
      <c r="G22" s="310"/>
      <c r="H22" s="310"/>
      <c r="I22" s="311"/>
      <c r="J22" s="310"/>
      <c r="K22" s="310"/>
      <c r="L22" s="310"/>
      <c r="M22" s="310"/>
      <c r="N22" s="310"/>
      <c r="O22" s="310"/>
      <c r="P22" s="310"/>
      <c r="Q22" s="312"/>
      <c r="R22" s="313"/>
      <c r="S22" s="309"/>
      <c r="T22" s="310"/>
      <c r="U22" s="310"/>
      <c r="V22" s="310"/>
      <c r="W22" s="310"/>
      <c r="X22" s="310"/>
      <c r="Y22" s="310"/>
      <c r="Z22" s="312"/>
      <c r="AA22" s="313"/>
      <c r="AB22" s="309"/>
      <c r="AC22" s="310"/>
      <c r="AD22" s="310"/>
      <c r="AE22" s="310"/>
      <c r="AF22" s="310"/>
      <c r="AG22" s="310"/>
      <c r="AH22" s="310"/>
      <c r="AI22" s="312"/>
      <c r="AJ22" s="313"/>
      <c r="AK22" s="309"/>
      <c r="AL22" s="310"/>
      <c r="AM22" s="310"/>
      <c r="AN22" s="310"/>
      <c r="AO22" s="310"/>
      <c r="AP22" s="310"/>
      <c r="AQ22" s="310"/>
      <c r="AR22" s="312"/>
      <c r="AS22" s="313"/>
      <c r="AT22" s="309"/>
      <c r="AU22" s="310"/>
      <c r="AV22" s="310"/>
      <c r="AW22" s="310"/>
      <c r="AX22" s="310"/>
      <c r="AY22" s="310"/>
      <c r="AZ22" s="310"/>
      <c r="BA22" s="312"/>
      <c r="BB22" s="313"/>
      <c r="BC22" s="309"/>
      <c r="BD22" s="310"/>
      <c r="BE22" s="310"/>
      <c r="BF22" s="310"/>
      <c r="BG22" s="310"/>
      <c r="BH22" s="310"/>
      <c r="BI22" s="310"/>
      <c r="BJ22" s="312"/>
      <c r="BK22" s="313"/>
    </row>
    <row r="23" spans="3:72" x14ac:dyDescent="0.25">
      <c r="C23" s="1046"/>
      <c r="D23" s="1045" t="s">
        <v>11</v>
      </c>
      <c r="E23" s="1045"/>
      <c r="F23" s="1045"/>
      <c r="G23" s="1045" t="s">
        <v>579</v>
      </c>
      <c r="H23" s="1045"/>
      <c r="I23" s="1045"/>
      <c r="J23" s="1045" t="s">
        <v>579</v>
      </c>
      <c r="K23" s="1045"/>
      <c r="L23" s="1045"/>
      <c r="M23" s="1045"/>
      <c r="N23" s="1045"/>
      <c r="O23" s="1045"/>
      <c r="P23" s="1045"/>
      <c r="Q23" s="1045"/>
      <c r="R23" s="1045"/>
      <c r="S23" s="1045" t="s">
        <v>579</v>
      </c>
      <c r="T23" s="1045"/>
      <c r="U23" s="1045"/>
      <c r="V23" s="1045"/>
      <c r="W23" s="1045"/>
      <c r="X23" s="1045"/>
      <c r="Y23" s="1045"/>
      <c r="Z23" s="1045"/>
      <c r="AA23" s="1045"/>
      <c r="AB23" s="1045" t="s">
        <v>579</v>
      </c>
      <c r="AC23" s="1045"/>
      <c r="AD23" s="1045"/>
      <c r="AE23" s="1045"/>
      <c r="AF23" s="1045"/>
      <c r="AG23" s="1045"/>
      <c r="AH23" s="1045"/>
      <c r="AI23" s="1045"/>
      <c r="AJ23" s="1045"/>
      <c r="AK23" s="1045" t="s">
        <v>579</v>
      </c>
      <c r="AL23" s="1045"/>
      <c r="AM23" s="1045"/>
      <c r="AN23" s="1045"/>
      <c r="AO23" s="1045"/>
      <c r="AP23" s="1045"/>
      <c r="AQ23" s="1045"/>
      <c r="AR23" s="1045"/>
      <c r="AS23" s="1045"/>
      <c r="AT23" s="1047" t="s">
        <v>580</v>
      </c>
      <c r="AU23" s="1048"/>
      <c r="AV23" s="1048"/>
      <c r="AW23" s="1048"/>
      <c r="AX23" s="1048"/>
      <c r="AY23" s="1048"/>
      <c r="AZ23" s="1048"/>
      <c r="BA23" s="1048"/>
      <c r="BB23" s="1049"/>
      <c r="BC23" s="1047" t="s">
        <v>662</v>
      </c>
      <c r="BD23" s="1048"/>
      <c r="BE23" s="1048"/>
      <c r="BF23" s="1048"/>
      <c r="BG23" s="1048"/>
      <c r="BH23" s="1048"/>
      <c r="BI23" s="1048"/>
      <c r="BJ23" s="1048"/>
      <c r="BK23" s="1049"/>
      <c r="BL23" s="115"/>
      <c r="BM23" s="115"/>
    </row>
    <row r="24" spans="3:72" x14ac:dyDescent="0.25">
      <c r="C24" s="1046"/>
      <c r="D24" s="1046"/>
      <c r="E24" s="1046"/>
      <c r="F24" s="1046"/>
      <c r="G24" s="1046"/>
      <c r="H24" s="1046"/>
      <c r="I24" s="1046"/>
      <c r="J24" s="1046"/>
      <c r="K24" s="1046"/>
      <c r="L24" s="1046"/>
      <c r="M24" s="1046"/>
      <c r="N24" s="1046"/>
      <c r="O24" s="1046"/>
      <c r="P24" s="1046"/>
      <c r="Q24" s="1046"/>
      <c r="R24" s="1046"/>
      <c r="S24" s="1046"/>
      <c r="T24" s="1046"/>
      <c r="U24" s="1046"/>
      <c r="V24" s="1046"/>
      <c r="W24" s="1046"/>
      <c r="X24" s="1046"/>
      <c r="Y24" s="1046"/>
      <c r="Z24" s="1046"/>
      <c r="AA24" s="1046"/>
      <c r="AB24" s="1046"/>
      <c r="AC24" s="1046"/>
      <c r="AD24" s="1046"/>
      <c r="AE24" s="1046"/>
      <c r="AF24" s="1046"/>
      <c r="AG24" s="1046"/>
      <c r="AH24" s="1046"/>
      <c r="AI24" s="1046"/>
      <c r="AJ24" s="1046"/>
      <c r="AK24" s="1046"/>
      <c r="AL24" s="1046"/>
      <c r="AM24" s="1046"/>
      <c r="AN24" s="1046"/>
      <c r="AO24" s="1046"/>
      <c r="AP24" s="1046"/>
      <c r="AQ24" s="1046"/>
      <c r="AR24" s="1046"/>
      <c r="AS24" s="1046"/>
      <c r="AT24" s="1038"/>
      <c r="AU24" s="1039"/>
      <c r="AV24" s="1039"/>
      <c r="AW24" s="1039"/>
      <c r="AX24" s="1039"/>
      <c r="AY24" s="1039"/>
      <c r="AZ24" s="1039"/>
      <c r="BA24" s="1039"/>
      <c r="BB24" s="1040"/>
      <c r="BC24" s="1038"/>
      <c r="BD24" s="1039"/>
      <c r="BE24" s="1039"/>
      <c r="BF24" s="1039"/>
      <c r="BG24" s="1039"/>
      <c r="BH24" s="1039"/>
      <c r="BI24" s="1039"/>
      <c r="BJ24" s="1039"/>
      <c r="BK24" s="1040"/>
      <c r="BL24" s="115"/>
      <c r="BM24" s="115"/>
    </row>
    <row r="25" spans="3:72" x14ac:dyDescent="0.25">
      <c r="C25" s="1046"/>
      <c r="D25" s="1046"/>
      <c r="E25" s="1046"/>
      <c r="F25" s="1046"/>
      <c r="G25" s="1046"/>
      <c r="H25" s="1046"/>
      <c r="I25" s="1046"/>
      <c r="J25" s="1046"/>
      <c r="K25" s="1046"/>
      <c r="L25" s="1046"/>
      <c r="M25" s="1046"/>
      <c r="N25" s="1046"/>
      <c r="O25" s="1046"/>
      <c r="P25" s="1046"/>
      <c r="Q25" s="1046"/>
      <c r="R25" s="1046"/>
      <c r="S25" s="1046"/>
      <c r="T25" s="1046"/>
      <c r="U25" s="1046"/>
      <c r="V25" s="1046"/>
      <c r="W25" s="1046"/>
      <c r="X25" s="1046"/>
      <c r="Y25" s="1046"/>
      <c r="Z25" s="1046"/>
      <c r="AA25" s="1046"/>
      <c r="AB25" s="1046"/>
      <c r="AC25" s="1046"/>
      <c r="AD25" s="1046"/>
      <c r="AE25" s="1046"/>
      <c r="AF25" s="1046"/>
      <c r="AG25" s="1046"/>
      <c r="AH25" s="1046"/>
      <c r="AI25" s="1046"/>
      <c r="AJ25" s="1046"/>
      <c r="AK25" s="1046"/>
      <c r="AL25" s="1046"/>
      <c r="AM25" s="1046"/>
      <c r="AN25" s="1046"/>
      <c r="AO25" s="1046"/>
      <c r="AP25" s="1046"/>
      <c r="AQ25" s="1046"/>
      <c r="AR25" s="1046"/>
      <c r="AS25" s="1046"/>
      <c r="AT25" s="1050"/>
      <c r="AU25" s="1051"/>
      <c r="AV25" s="1051"/>
      <c r="AW25" s="1051"/>
      <c r="AX25" s="1051"/>
      <c r="AY25" s="1051"/>
      <c r="AZ25" s="1051"/>
      <c r="BA25" s="1051"/>
      <c r="BB25" s="1052"/>
      <c r="BC25" s="1050"/>
      <c r="BD25" s="1051"/>
      <c r="BE25" s="1051"/>
      <c r="BF25" s="1051"/>
      <c r="BG25" s="1051"/>
      <c r="BH25" s="1051"/>
      <c r="BI25" s="1051"/>
      <c r="BJ25" s="1051"/>
      <c r="BK25" s="1052"/>
      <c r="BL25" s="115"/>
      <c r="BM25" s="115"/>
    </row>
    <row r="26" spans="3:72" x14ac:dyDescent="0.25">
      <c r="C26" s="314" t="s">
        <v>213</v>
      </c>
      <c r="D26" s="1036" t="s">
        <v>214</v>
      </c>
      <c r="E26" s="1037"/>
      <c r="F26" s="1037"/>
      <c r="G26" s="1036" t="s">
        <v>215</v>
      </c>
      <c r="H26" s="1037"/>
      <c r="I26" s="1037"/>
      <c r="J26" s="1036" t="s">
        <v>216</v>
      </c>
      <c r="K26" s="1037"/>
      <c r="L26" s="1037"/>
      <c r="M26" s="1037"/>
      <c r="N26" s="1037"/>
      <c r="O26" s="1037"/>
      <c r="P26" s="1037"/>
      <c r="Q26" s="1037"/>
      <c r="R26" s="1037"/>
      <c r="S26" s="1036" t="s">
        <v>217</v>
      </c>
      <c r="T26" s="1037"/>
      <c r="U26" s="1037"/>
      <c r="V26" s="1037"/>
      <c r="W26" s="1037"/>
      <c r="X26" s="1037"/>
      <c r="Y26" s="1037"/>
      <c r="Z26" s="1037"/>
      <c r="AA26" s="1037"/>
      <c r="AB26" s="1036" t="s">
        <v>218</v>
      </c>
      <c r="AC26" s="1037"/>
      <c r="AD26" s="1037"/>
      <c r="AE26" s="1037"/>
      <c r="AF26" s="1037"/>
      <c r="AG26" s="1037"/>
      <c r="AH26" s="1037"/>
      <c r="AI26" s="1037"/>
      <c r="AJ26" s="1037"/>
      <c r="AK26" s="1036" t="s">
        <v>219</v>
      </c>
      <c r="AL26" s="1037"/>
      <c r="AM26" s="1037"/>
      <c r="AN26" s="1037"/>
      <c r="AO26" s="1037"/>
      <c r="AP26" s="1037"/>
      <c r="AQ26" s="1037"/>
      <c r="AR26" s="1037"/>
      <c r="AS26" s="1037"/>
      <c r="AT26" s="1036" t="s">
        <v>220</v>
      </c>
      <c r="AU26" s="1037"/>
      <c r="AV26" s="1037"/>
      <c r="AW26" s="1037"/>
      <c r="AX26" s="1037"/>
      <c r="AY26" s="1037"/>
      <c r="AZ26" s="1037"/>
      <c r="BA26" s="1037"/>
      <c r="BB26" s="1037"/>
      <c r="BC26" s="1036" t="s">
        <v>223</v>
      </c>
      <c r="BD26" s="1037"/>
      <c r="BE26" s="1037"/>
      <c r="BF26" s="1037"/>
      <c r="BG26" s="1037"/>
      <c r="BH26" s="1037"/>
      <c r="BI26" s="1037"/>
      <c r="BJ26" s="1037"/>
      <c r="BK26" s="1037"/>
      <c r="BL26" s="115"/>
      <c r="BM26" s="115"/>
    </row>
    <row r="27" spans="3:72" x14ac:dyDescent="0.25">
      <c r="C27" s="1035">
        <v>1</v>
      </c>
      <c r="D27" s="1033"/>
      <c r="E27" s="1033"/>
      <c r="F27" s="1033"/>
      <c r="G27" s="1033"/>
      <c r="H27" s="1033"/>
      <c r="I27" s="1033"/>
      <c r="J27" s="1033"/>
      <c r="K27" s="1033"/>
      <c r="L27" s="1033"/>
      <c r="M27" s="1033"/>
      <c r="N27" s="1033"/>
      <c r="O27" s="1033"/>
      <c r="P27" s="1033"/>
      <c r="Q27" s="1033"/>
      <c r="R27" s="1033"/>
      <c r="S27" s="1033"/>
      <c r="T27" s="1033"/>
      <c r="U27" s="1033"/>
      <c r="V27" s="1033"/>
      <c r="W27" s="1033"/>
      <c r="X27" s="1033"/>
      <c r="Y27" s="1033"/>
      <c r="Z27" s="1033"/>
      <c r="AA27" s="1033"/>
      <c r="AB27" s="1033"/>
      <c r="AC27" s="1033"/>
      <c r="AD27" s="1033"/>
      <c r="AE27" s="1033"/>
      <c r="AF27" s="1033"/>
      <c r="AG27" s="1033"/>
      <c r="AH27" s="1033"/>
      <c r="AI27" s="1033"/>
      <c r="AJ27" s="1033"/>
      <c r="AK27" s="1033"/>
      <c r="AL27" s="1033"/>
      <c r="AM27" s="1033"/>
      <c r="AN27" s="1033"/>
      <c r="AO27" s="1033"/>
      <c r="AP27" s="1033"/>
      <c r="AQ27" s="1033"/>
      <c r="AR27" s="1033"/>
      <c r="AS27" s="1033"/>
      <c r="AT27" s="1033"/>
      <c r="AU27" s="1033"/>
      <c r="AV27" s="1033"/>
      <c r="AW27" s="1033"/>
      <c r="AX27" s="1033"/>
      <c r="AY27" s="1033"/>
      <c r="AZ27" s="1033"/>
      <c r="BA27" s="1033"/>
      <c r="BB27" s="1033"/>
      <c r="BC27" s="1033"/>
      <c r="BD27" s="1033"/>
      <c r="BE27" s="1033"/>
      <c r="BF27" s="1033"/>
      <c r="BG27" s="1033"/>
      <c r="BH27" s="1033"/>
      <c r="BI27" s="1033"/>
      <c r="BJ27" s="1033"/>
      <c r="BK27" s="1033"/>
      <c r="BL27" s="115"/>
      <c r="BM27" s="115"/>
    </row>
    <row r="28" spans="3:72" x14ac:dyDescent="0.25">
      <c r="C28" s="1035"/>
      <c r="D28" s="1033"/>
      <c r="E28" s="1033"/>
      <c r="F28" s="1033"/>
      <c r="G28" s="1033"/>
      <c r="H28" s="1033"/>
      <c r="I28" s="1033"/>
      <c r="J28" s="1033"/>
      <c r="K28" s="1033"/>
      <c r="L28" s="1033"/>
      <c r="M28" s="1033"/>
      <c r="N28" s="1033"/>
      <c r="O28" s="1033"/>
      <c r="P28" s="1033"/>
      <c r="Q28" s="1033"/>
      <c r="R28" s="1033"/>
      <c r="S28" s="1033"/>
      <c r="T28" s="1033"/>
      <c r="U28" s="1033"/>
      <c r="V28" s="1033"/>
      <c r="W28" s="1033"/>
      <c r="X28" s="1033"/>
      <c r="Y28" s="1033"/>
      <c r="Z28" s="1033"/>
      <c r="AA28" s="1033"/>
      <c r="AB28" s="1033"/>
      <c r="AC28" s="1033"/>
      <c r="AD28" s="1033"/>
      <c r="AE28" s="1033"/>
      <c r="AF28" s="1033"/>
      <c r="AG28" s="1033"/>
      <c r="AH28" s="1033"/>
      <c r="AI28" s="1033"/>
      <c r="AJ28" s="1033"/>
      <c r="AK28" s="1033"/>
      <c r="AL28" s="1033"/>
      <c r="AM28" s="1033"/>
      <c r="AN28" s="1033"/>
      <c r="AO28" s="1033"/>
      <c r="AP28" s="1033"/>
      <c r="AQ28" s="1033"/>
      <c r="AR28" s="1033"/>
      <c r="AS28" s="1033"/>
      <c r="AT28" s="1033"/>
      <c r="AU28" s="1033"/>
      <c r="AV28" s="1033"/>
      <c r="AW28" s="1033"/>
      <c r="AX28" s="1033"/>
      <c r="AY28" s="1033"/>
      <c r="AZ28" s="1033"/>
      <c r="BA28" s="1033"/>
      <c r="BB28" s="1033"/>
      <c r="BC28" s="1033"/>
      <c r="BD28" s="1033"/>
      <c r="BE28" s="1033"/>
      <c r="BF28" s="1033"/>
      <c r="BG28" s="1033"/>
      <c r="BH28" s="1033"/>
      <c r="BI28" s="1033"/>
      <c r="BJ28" s="1033"/>
      <c r="BK28" s="1033"/>
      <c r="BL28" s="115"/>
      <c r="BM28" s="115"/>
    </row>
    <row r="29" spans="3:72" x14ac:dyDescent="0.25">
      <c r="C29" s="1035">
        <v>2</v>
      </c>
      <c r="D29" s="1033"/>
      <c r="E29" s="1033"/>
      <c r="F29" s="1033"/>
      <c r="G29" s="1033"/>
      <c r="H29" s="1033"/>
      <c r="I29" s="1033"/>
      <c r="J29" s="1033"/>
      <c r="K29" s="1033"/>
      <c r="L29" s="1033"/>
      <c r="M29" s="1033"/>
      <c r="N29" s="1033"/>
      <c r="O29" s="1033"/>
      <c r="P29" s="1033"/>
      <c r="Q29" s="1033"/>
      <c r="R29" s="1033"/>
      <c r="S29" s="1033"/>
      <c r="T29" s="1033"/>
      <c r="U29" s="1033"/>
      <c r="V29" s="1033"/>
      <c r="W29" s="1033"/>
      <c r="X29" s="1033"/>
      <c r="Y29" s="1033"/>
      <c r="Z29" s="1033"/>
      <c r="AA29" s="1033"/>
      <c r="AB29" s="1033"/>
      <c r="AC29" s="1033"/>
      <c r="AD29" s="1033"/>
      <c r="AE29" s="1033"/>
      <c r="AF29" s="1033"/>
      <c r="AG29" s="1033"/>
      <c r="AH29" s="1033"/>
      <c r="AI29" s="1033"/>
      <c r="AJ29" s="1033"/>
      <c r="AK29" s="1033"/>
      <c r="AL29" s="1033"/>
      <c r="AM29" s="1033"/>
      <c r="AN29" s="1033"/>
      <c r="AO29" s="1033"/>
      <c r="AP29" s="1033"/>
      <c r="AQ29" s="1033"/>
      <c r="AR29" s="1033"/>
      <c r="AS29" s="1033"/>
      <c r="AT29" s="1033"/>
      <c r="AU29" s="1033"/>
      <c r="AV29" s="1033"/>
      <c r="AW29" s="1033"/>
      <c r="AX29" s="1033"/>
      <c r="AY29" s="1033"/>
      <c r="AZ29" s="1033"/>
      <c r="BA29" s="1033"/>
      <c r="BB29" s="1033"/>
      <c r="BC29" s="1033"/>
      <c r="BD29" s="1033"/>
      <c r="BE29" s="1033"/>
      <c r="BF29" s="1033"/>
      <c r="BG29" s="1033"/>
      <c r="BH29" s="1033"/>
      <c r="BI29" s="1033"/>
      <c r="BJ29" s="1033"/>
      <c r="BK29" s="1033"/>
      <c r="BL29" s="115"/>
      <c r="BM29" s="115"/>
    </row>
    <row r="30" spans="3:72" x14ac:dyDescent="0.25">
      <c r="C30" s="1035"/>
      <c r="D30" s="1033"/>
      <c r="E30" s="1033"/>
      <c r="F30" s="1033"/>
      <c r="G30" s="1033"/>
      <c r="H30" s="1033"/>
      <c r="I30" s="1033"/>
      <c r="J30" s="1033"/>
      <c r="K30" s="1033"/>
      <c r="L30" s="1033"/>
      <c r="M30" s="1033"/>
      <c r="N30" s="1033"/>
      <c r="O30" s="1033"/>
      <c r="P30" s="1033"/>
      <c r="Q30" s="1033"/>
      <c r="R30" s="1033"/>
      <c r="S30" s="1033"/>
      <c r="T30" s="1033"/>
      <c r="U30" s="1033"/>
      <c r="V30" s="1033"/>
      <c r="W30" s="1033"/>
      <c r="X30" s="1033"/>
      <c r="Y30" s="1033"/>
      <c r="Z30" s="1033"/>
      <c r="AA30" s="1033"/>
      <c r="AB30" s="1033"/>
      <c r="AC30" s="1033"/>
      <c r="AD30" s="1033"/>
      <c r="AE30" s="1033"/>
      <c r="AF30" s="1033"/>
      <c r="AG30" s="1033"/>
      <c r="AH30" s="1033"/>
      <c r="AI30" s="1033"/>
      <c r="AJ30" s="1033"/>
      <c r="AK30" s="1033"/>
      <c r="AL30" s="1033"/>
      <c r="AM30" s="1033"/>
      <c r="AN30" s="1033"/>
      <c r="AO30" s="1033"/>
      <c r="AP30" s="1033"/>
      <c r="AQ30" s="1033"/>
      <c r="AR30" s="1033"/>
      <c r="AS30" s="1033"/>
      <c r="AT30" s="1033"/>
      <c r="AU30" s="1033"/>
      <c r="AV30" s="1033"/>
      <c r="AW30" s="1033"/>
      <c r="AX30" s="1033"/>
      <c r="AY30" s="1033"/>
      <c r="AZ30" s="1033"/>
      <c r="BA30" s="1033"/>
      <c r="BB30" s="1033"/>
      <c r="BC30" s="1033"/>
      <c r="BD30" s="1033"/>
      <c r="BE30" s="1033"/>
      <c r="BF30" s="1033"/>
      <c r="BG30" s="1033"/>
      <c r="BH30" s="1033"/>
      <c r="BI30" s="1033"/>
      <c r="BJ30" s="1033"/>
      <c r="BK30" s="1033"/>
      <c r="BL30" s="115"/>
      <c r="BM30" s="115"/>
    </row>
    <row r="31" spans="3:72" x14ac:dyDescent="0.25">
      <c r="C31" s="1035">
        <v>3</v>
      </c>
      <c r="D31" s="1033"/>
      <c r="E31" s="1033"/>
      <c r="F31" s="1033"/>
      <c r="G31" s="1033"/>
      <c r="H31" s="1033"/>
      <c r="I31" s="1033"/>
      <c r="J31" s="1033"/>
      <c r="K31" s="1033"/>
      <c r="L31" s="1033"/>
      <c r="M31" s="1033"/>
      <c r="N31" s="1033"/>
      <c r="O31" s="1033"/>
      <c r="P31" s="1033"/>
      <c r="Q31" s="1033"/>
      <c r="R31" s="1033"/>
      <c r="S31" s="1033"/>
      <c r="T31" s="1033"/>
      <c r="U31" s="1033"/>
      <c r="V31" s="1033"/>
      <c r="W31" s="1033"/>
      <c r="X31" s="1033"/>
      <c r="Y31" s="1033"/>
      <c r="Z31" s="1033"/>
      <c r="AA31" s="1033"/>
      <c r="AB31" s="1033"/>
      <c r="AC31" s="1033"/>
      <c r="AD31" s="1033"/>
      <c r="AE31" s="1033"/>
      <c r="AF31" s="1033"/>
      <c r="AG31" s="1033"/>
      <c r="AH31" s="1033"/>
      <c r="AI31" s="1033"/>
      <c r="AJ31" s="1033"/>
      <c r="AK31" s="1033"/>
      <c r="AL31" s="1033"/>
      <c r="AM31" s="1033"/>
      <c r="AN31" s="1033"/>
      <c r="AO31" s="1033"/>
      <c r="AP31" s="1033"/>
      <c r="AQ31" s="1033"/>
      <c r="AR31" s="1033"/>
      <c r="AS31" s="1033"/>
      <c r="AT31" s="1033"/>
      <c r="AU31" s="1033"/>
      <c r="AV31" s="1033"/>
      <c r="AW31" s="1033"/>
      <c r="AX31" s="1033"/>
      <c r="AY31" s="1033"/>
      <c r="AZ31" s="1033"/>
      <c r="BA31" s="1033"/>
      <c r="BB31" s="1033"/>
      <c r="BC31" s="1033"/>
      <c r="BD31" s="1033"/>
      <c r="BE31" s="1033"/>
      <c r="BF31" s="1033"/>
      <c r="BG31" s="1033"/>
      <c r="BH31" s="1033"/>
      <c r="BI31" s="1033"/>
      <c r="BJ31" s="1033"/>
      <c r="BK31" s="1033"/>
      <c r="BL31" s="115"/>
      <c r="BM31" s="115"/>
    </row>
    <row r="32" spans="3:72" x14ac:dyDescent="0.25">
      <c r="C32" s="1035"/>
      <c r="D32" s="1033"/>
      <c r="E32" s="1033"/>
      <c r="F32" s="1033"/>
      <c r="G32" s="1033"/>
      <c r="H32" s="1033"/>
      <c r="I32" s="1033"/>
      <c r="J32" s="1033"/>
      <c r="K32" s="1033"/>
      <c r="L32" s="1033"/>
      <c r="M32" s="1033"/>
      <c r="N32" s="1033"/>
      <c r="O32" s="1033"/>
      <c r="P32" s="1033"/>
      <c r="Q32" s="1033"/>
      <c r="R32" s="1033"/>
      <c r="S32" s="1033"/>
      <c r="T32" s="1033"/>
      <c r="U32" s="1033"/>
      <c r="V32" s="1033"/>
      <c r="W32" s="1033"/>
      <c r="X32" s="1033"/>
      <c r="Y32" s="1033"/>
      <c r="Z32" s="1033"/>
      <c r="AA32" s="1033"/>
      <c r="AB32" s="1033"/>
      <c r="AC32" s="1033"/>
      <c r="AD32" s="1033"/>
      <c r="AE32" s="1033"/>
      <c r="AF32" s="1033"/>
      <c r="AG32" s="1033"/>
      <c r="AH32" s="1033"/>
      <c r="AI32" s="1033"/>
      <c r="AJ32" s="1033"/>
      <c r="AK32" s="1033"/>
      <c r="AL32" s="1033"/>
      <c r="AM32" s="1033"/>
      <c r="AN32" s="1033"/>
      <c r="AO32" s="1033"/>
      <c r="AP32" s="1033"/>
      <c r="AQ32" s="1033"/>
      <c r="AR32" s="1033"/>
      <c r="AS32" s="1033"/>
      <c r="AT32" s="1033"/>
      <c r="AU32" s="1033"/>
      <c r="AV32" s="1033"/>
      <c r="AW32" s="1033"/>
      <c r="AX32" s="1033"/>
      <c r="AY32" s="1033"/>
      <c r="AZ32" s="1033"/>
      <c r="BA32" s="1033"/>
      <c r="BB32" s="1033"/>
      <c r="BC32" s="1033"/>
      <c r="BD32" s="1033"/>
      <c r="BE32" s="1033"/>
      <c r="BF32" s="1033"/>
      <c r="BG32" s="1033"/>
      <c r="BH32" s="1033"/>
      <c r="BI32" s="1033"/>
      <c r="BJ32" s="1033"/>
      <c r="BK32" s="1033"/>
      <c r="BL32" s="115"/>
      <c r="BM32" s="115"/>
    </row>
    <row r="33" spans="3:65" x14ac:dyDescent="0.25">
      <c r="C33" s="1035">
        <v>4</v>
      </c>
      <c r="D33" s="1033"/>
      <c r="E33" s="1033"/>
      <c r="F33" s="1033"/>
      <c r="G33" s="1033"/>
      <c r="H33" s="1033"/>
      <c r="I33" s="1033"/>
      <c r="J33" s="1033"/>
      <c r="K33" s="1033"/>
      <c r="L33" s="1033"/>
      <c r="M33" s="1033"/>
      <c r="N33" s="1033"/>
      <c r="O33" s="1033"/>
      <c r="P33" s="1033"/>
      <c r="Q33" s="1033"/>
      <c r="R33" s="1033"/>
      <c r="S33" s="1033"/>
      <c r="T33" s="1033"/>
      <c r="U33" s="1033"/>
      <c r="V33" s="1033"/>
      <c r="W33" s="1033"/>
      <c r="X33" s="1033"/>
      <c r="Y33" s="1033"/>
      <c r="Z33" s="1033"/>
      <c r="AA33" s="1033"/>
      <c r="AB33" s="1033"/>
      <c r="AC33" s="1033"/>
      <c r="AD33" s="1033"/>
      <c r="AE33" s="1033"/>
      <c r="AF33" s="1033"/>
      <c r="AG33" s="1033"/>
      <c r="AH33" s="1033"/>
      <c r="AI33" s="1033"/>
      <c r="AJ33" s="1033"/>
      <c r="AK33" s="1033"/>
      <c r="AL33" s="1033"/>
      <c r="AM33" s="1033"/>
      <c r="AN33" s="1033"/>
      <c r="AO33" s="1033"/>
      <c r="AP33" s="1033"/>
      <c r="AQ33" s="1033"/>
      <c r="AR33" s="1033"/>
      <c r="AS33" s="1033"/>
      <c r="AT33" s="1033"/>
      <c r="AU33" s="1033"/>
      <c r="AV33" s="1033"/>
      <c r="AW33" s="1033"/>
      <c r="AX33" s="1033"/>
      <c r="AY33" s="1033"/>
      <c r="AZ33" s="1033"/>
      <c r="BA33" s="1033"/>
      <c r="BB33" s="1033"/>
      <c r="BC33" s="1033"/>
      <c r="BD33" s="1033"/>
      <c r="BE33" s="1033"/>
      <c r="BF33" s="1033"/>
      <c r="BG33" s="1033"/>
      <c r="BH33" s="1033"/>
      <c r="BI33" s="1033"/>
      <c r="BJ33" s="1033"/>
      <c r="BK33" s="1033"/>
      <c r="BL33" s="115"/>
      <c r="BM33" s="115"/>
    </row>
    <row r="34" spans="3:65" x14ac:dyDescent="0.25">
      <c r="C34" s="1035"/>
      <c r="D34" s="1033"/>
      <c r="E34" s="1033"/>
      <c r="F34" s="1033"/>
      <c r="G34" s="1033"/>
      <c r="H34" s="1033"/>
      <c r="I34" s="1033"/>
      <c r="J34" s="1033"/>
      <c r="K34" s="1033"/>
      <c r="L34" s="1033"/>
      <c r="M34" s="1033"/>
      <c r="N34" s="1033"/>
      <c r="O34" s="1033"/>
      <c r="P34" s="1033"/>
      <c r="Q34" s="1033"/>
      <c r="R34" s="1033"/>
      <c r="S34" s="1033"/>
      <c r="T34" s="1033"/>
      <c r="U34" s="1033"/>
      <c r="V34" s="1033"/>
      <c r="W34" s="1033"/>
      <c r="X34" s="1033"/>
      <c r="Y34" s="1033"/>
      <c r="Z34" s="1033"/>
      <c r="AA34" s="1033"/>
      <c r="AB34" s="1033"/>
      <c r="AC34" s="1033"/>
      <c r="AD34" s="1033"/>
      <c r="AE34" s="1033"/>
      <c r="AF34" s="1033"/>
      <c r="AG34" s="1033"/>
      <c r="AH34" s="1033"/>
      <c r="AI34" s="1033"/>
      <c r="AJ34" s="1033"/>
      <c r="AK34" s="1033"/>
      <c r="AL34" s="1033"/>
      <c r="AM34" s="1033"/>
      <c r="AN34" s="1033"/>
      <c r="AO34" s="1033"/>
      <c r="AP34" s="1033"/>
      <c r="AQ34" s="1033"/>
      <c r="AR34" s="1033"/>
      <c r="AS34" s="1033"/>
      <c r="AT34" s="1033"/>
      <c r="AU34" s="1033"/>
      <c r="AV34" s="1033"/>
      <c r="AW34" s="1033"/>
      <c r="AX34" s="1033"/>
      <c r="AY34" s="1033"/>
      <c r="AZ34" s="1033"/>
      <c r="BA34" s="1033"/>
      <c r="BB34" s="1033"/>
      <c r="BC34" s="1033"/>
      <c r="BD34" s="1033"/>
      <c r="BE34" s="1033"/>
      <c r="BF34" s="1033"/>
      <c r="BG34" s="1033"/>
      <c r="BH34" s="1033"/>
      <c r="BI34" s="1033"/>
      <c r="BJ34" s="1033"/>
      <c r="BK34" s="1033"/>
      <c r="BL34" s="115"/>
      <c r="BM34" s="115"/>
    </row>
    <row r="35" spans="3:65" x14ac:dyDescent="0.25">
      <c r="C35" s="1035">
        <v>5</v>
      </c>
      <c r="D35" s="1033"/>
      <c r="E35" s="1033"/>
      <c r="F35" s="1033"/>
      <c r="G35" s="1033"/>
      <c r="H35" s="1033"/>
      <c r="I35" s="1033"/>
      <c r="J35" s="1033"/>
      <c r="K35" s="1033"/>
      <c r="L35" s="1033"/>
      <c r="M35" s="1033"/>
      <c r="N35" s="1033"/>
      <c r="O35" s="1033"/>
      <c r="P35" s="1033"/>
      <c r="Q35" s="1033"/>
      <c r="R35" s="1033"/>
      <c r="S35" s="1033"/>
      <c r="T35" s="1033"/>
      <c r="U35" s="1033"/>
      <c r="V35" s="1033"/>
      <c r="W35" s="1033"/>
      <c r="X35" s="1033"/>
      <c r="Y35" s="1033"/>
      <c r="Z35" s="1033"/>
      <c r="AA35" s="1033"/>
      <c r="AB35" s="1033"/>
      <c r="AC35" s="1033"/>
      <c r="AD35" s="1033"/>
      <c r="AE35" s="1033"/>
      <c r="AF35" s="1033"/>
      <c r="AG35" s="1033"/>
      <c r="AH35" s="1033"/>
      <c r="AI35" s="1033"/>
      <c r="AJ35" s="1033"/>
      <c r="AK35" s="1033"/>
      <c r="AL35" s="1033"/>
      <c r="AM35" s="1033"/>
      <c r="AN35" s="1033"/>
      <c r="AO35" s="1033"/>
      <c r="AP35" s="1033"/>
      <c r="AQ35" s="1033"/>
      <c r="AR35" s="1033"/>
      <c r="AS35" s="1033"/>
      <c r="AT35" s="1033"/>
      <c r="AU35" s="1033"/>
      <c r="AV35" s="1033"/>
      <c r="AW35" s="1033"/>
      <c r="AX35" s="1033"/>
      <c r="AY35" s="1033"/>
      <c r="AZ35" s="1033"/>
      <c r="BA35" s="1033"/>
      <c r="BB35" s="1033"/>
      <c r="BC35" s="1033"/>
      <c r="BD35" s="1033"/>
      <c r="BE35" s="1033"/>
      <c r="BF35" s="1033"/>
      <c r="BG35" s="1033"/>
      <c r="BH35" s="1033"/>
      <c r="BI35" s="1033"/>
      <c r="BJ35" s="1033"/>
      <c r="BK35" s="1033"/>
      <c r="BL35" s="115"/>
      <c r="BM35" s="115"/>
    </row>
    <row r="36" spans="3:65" x14ac:dyDescent="0.25">
      <c r="C36" s="1035"/>
      <c r="D36" s="1033"/>
      <c r="E36" s="1033"/>
      <c r="F36" s="1033"/>
      <c r="G36" s="1033"/>
      <c r="H36" s="1033"/>
      <c r="I36" s="1033"/>
      <c r="J36" s="1033"/>
      <c r="K36" s="1033"/>
      <c r="L36" s="1033"/>
      <c r="M36" s="1033"/>
      <c r="N36" s="1033"/>
      <c r="O36" s="1033"/>
      <c r="P36" s="1033"/>
      <c r="Q36" s="1033"/>
      <c r="R36" s="1033"/>
      <c r="S36" s="1033"/>
      <c r="T36" s="1033"/>
      <c r="U36" s="1033"/>
      <c r="V36" s="1033"/>
      <c r="W36" s="1033"/>
      <c r="X36" s="1033"/>
      <c r="Y36" s="1033"/>
      <c r="Z36" s="1033"/>
      <c r="AA36" s="1033"/>
      <c r="AB36" s="1033"/>
      <c r="AC36" s="1033"/>
      <c r="AD36" s="1033"/>
      <c r="AE36" s="1033"/>
      <c r="AF36" s="1033"/>
      <c r="AG36" s="1033"/>
      <c r="AH36" s="1033"/>
      <c r="AI36" s="1033"/>
      <c r="AJ36" s="1033"/>
      <c r="AK36" s="1033"/>
      <c r="AL36" s="1033"/>
      <c r="AM36" s="1033"/>
      <c r="AN36" s="1033"/>
      <c r="AO36" s="1033"/>
      <c r="AP36" s="1033"/>
      <c r="AQ36" s="1033"/>
      <c r="AR36" s="1033"/>
      <c r="AS36" s="1033"/>
      <c r="AT36" s="1033"/>
      <c r="AU36" s="1033"/>
      <c r="AV36" s="1033"/>
      <c r="AW36" s="1033"/>
      <c r="AX36" s="1033"/>
      <c r="AY36" s="1033"/>
      <c r="AZ36" s="1033"/>
      <c r="BA36" s="1033"/>
      <c r="BB36" s="1033"/>
      <c r="BC36" s="1033"/>
      <c r="BD36" s="1033"/>
      <c r="BE36" s="1033"/>
      <c r="BF36" s="1033"/>
      <c r="BG36" s="1033"/>
      <c r="BH36" s="1033"/>
      <c r="BI36" s="1033"/>
      <c r="BJ36" s="1033"/>
      <c r="BK36" s="1033"/>
      <c r="BL36" s="115"/>
      <c r="BM36" s="115"/>
    </row>
    <row r="37" spans="3:65" x14ac:dyDescent="0.25">
      <c r="C37" s="1035">
        <v>6</v>
      </c>
      <c r="D37" s="1033"/>
      <c r="E37" s="1033"/>
      <c r="F37" s="1033"/>
      <c r="G37" s="1033"/>
      <c r="H37" s="1033"/>
      <c r="I37" s="1033"/>
      <c r="J37" s="1033"/>
      <c r="K37" s="1033"/>
      <c r="L37" s="1033"/>
      <c r="M37" s="1033"/>
      <c r="N37" s="1033"/>
      <c r="O37" s="1033"/>
      <c r="P37" s="1033"/>
      <c r="Q37" s="1033"/>
      <c r="R37" s="1033"/>
      <c r="S37" s="1033"/>
      <c r="T37" s="1033"/>
      <c r="U37" s="1033"/>
      <c r="V37" s="1033"/>
      <c r="W37" s="1033"/>
      <c r="X37" s="1033"/>
      <c r="Y37" s="1033"/>
      <c r="Z37" s="1033"/>
      <c r="AA37" s="1033"/>
      <c r="AB37" s="1033"/>
      <c r="AC37" s="1033"/>
      <c r="AD37" s="1033"/>
      <c r="AE37" s="1033"/>
      <c r="AF37" s="1033"/>
      <c r="AG37" s="1033"/>
      <c r="AH37" s="1033"/>
      <c r="AI37" s="1033"/>
      <c r="AJ37" s="1033"/>
      <c r="AK37" s="1033"/>
      <c r="AL37" s="1033"/>
      <c r="AM37" s="1033"/>
      <c r="AN37" s="1033"/>
      <c r="AO37" s="1033"/>
      <c r="AP37" s="1033"/>
      <c r="AQ37" s="1033"/>
      <c r="AR37" s="1033"/>
      <c r="AS37" s="1033"/>
      <c r="AT37" s="1033"/>
      <c r="AU37" s="1033"/>
      <c r="AV37" s="1033"/>
      <c r="AW37" s="1033"/>
      <c r="AX37" s="1033"/>
      <c r="AY37" s="1033"/>
      <c r="AZ37" s="1033"/>
      <c r="BA37" s="1033"/>
      <c r="BB37" s="1033"/>
      <c r="BC37" s="1033"/>
      <c r="BD37" s="1033"/>
      <c r="BE37" s="1033"/>
      <c r="BF37" s="1033"/>
      <c r="BG37" s="1033"/>
      <c r="BH37" s="1033"/>
      <c r="BI37" s="1033"/>
      <c r="BJ37" s="1033"/>
      <c r="BK37" s="1033"/>
      <c r="BL37" s="115"/>
      <c r="BM37" s="115"/>
    </row>
    <row r="38" spans="3:65" x14ac:dyDescent="0.25">
      <c r="C38" s="1035"/>
      <c r="D38" s="1033"/>
      <c r="E38" s="1033"/>
      <c r="F38" s="1033"/>
      <c r="G38" s="1033"/>
      <c r="H38" s="1033"/>
      <c r="I38" s="1033"/>
      <c r="J38" s="1033"/>
      <c r="K38" s="1033"/>
      <c r="L38" s="1033"/>
      <c r="M38" s="1033"/>
      <c r="N38" s="1033"/>
      <c r="O38" s="1033"/>
      <c r="P38" s="1033"/>
      <c r="Q38" s="1033"/>
      <c r="R38" s="1033"/>
      <c r="S38" s="1033"/>
      <c r="T38" s="1033"/>
      <c r="U38" s="1033"/>
      <c r="V38" s="1033"/>
      <c r="W38" s="1033"/>
      <c r="X38" s="1033"/>
      <c r="Y38" s="1033"/>
      <c r="Z38" s="1033"/>
      <c r="AA38" s="1033"/>
      <c r="AB38" s="1033"/>
      <c r="AC38" s="1033"/>
      <c r="AD38" s="1033"/>
      <c r="AE38" s="1033"/>
      <c r="AF38" s="1033"/>
      <c r="AG38" s="1033"/>
      <c r="AH38" s="1033"/>
      <c r="AI38" s="1033"/>
      <c r="AJ38" s="1033"/>
      <c r="AK38" s="1033"/>
      <c r="AL38" s="1033"/>
      <c r="AM38" s="1033"/>
      <c r="AN38" s="1033"/>
      <c r="AO38" s="1033"/>
      <c r="AP38" s="1033"/>
      <c r="AQ38" s="1033"/>
      <c r="AR38" s="1033"/>
      <c r="AS38" s="1033"/>
      <c r="AT38" s="1033"/>
      <c r="AU38" s="1033"/>
      <c r="AV38" s="1033"/>
      <c r="AW38" s="1033"/>
      <c r="AX38" s="1033"/>
      <c r="AY38" s="1033"/>
      <c r="AZ38" s="1033"/>
      <c r="BA38" s="1033"/>
      <c r="BB38" s="1033"/>
      <c r="BC38" s="1033"/>
      <c r="BD38" s="1033"/>
      <c r="BE38" s="1033"/>
      <c r="BF38" s="1033"/>
      <c r="BG38" s="1033"/>
      <c r="BH38" s="1033"/>
      <c r="BI38" s="1033"/>
      <c r="BJ38" s="1033"/>
      <c r="BK38" s="1033"/>
      <c r="BL38" s="115"/>
      <c r="BM38" s="115"/>
    </row>
    <row r="39" spans="3:65" x14ac:dyDescent="0.25">
      <c r="C39" s="1035">
        <v>7</v>
      </c>
      <c r="D39" s="1033"/>
      <c r="E39" s="1033"/>
      <c r="F39" s="1033"/>
      <c r="G39" s="1033"/>
      <c r="H39" s="1033"/>
      <c r="I39" s="1033"/>
      <c r="J39" s="1033"/>
      <c r="K39" s="1033"/>
      <c r="L39" s="1033"/>
      <c r="M39" s="1033"/>
      <c r="N39" s="1033"/>
      <c r="O39" s="1033"/>
      <c r="P39" s="1033"/>
      <c r="Q39" s="1033"/>
      <c r="R39" s="1033"/>
      <c r="S39" s="1033"/>
      <c r="T39" s="1033"/>
      <c r="U39" s="1033"/>
      <c r="V39" s="1033"/>
      <c r="W39" s="1033"/>
      <c r="X39" s="1033"/>
      <c r="Y39" s="1033"/>
      <c r="Z39" s="1033"/>
      <c r="AA39" s="1033"/>
      <c r="AB39" s="1033"/>
      <c r="AC39" s="1033"/>
      <c r="AD39" s="1033"/>
      <c r="AE39" s="1033"/>
      <c r="AF39" s="1033"/>
      <c r="AG39" s="1033"/>
      <c r="AH39" s="1033"/>
      <c r="AI39" s="1033"/>
      <c r="AJ39" s="1033"/>
      <c r="AK39" s="1033"/>
      <c r="AL39" s="1033"/>
      <c r="AM39" s="1033"/>
      <c r="AN39" s="1033"/>
      <c r="AO39" s="1033"/>
      <c r="AP39" s="1033"/>
      <c r="AQ39" s="1033"/>
      <c r="AR39" s="1033"/>
      <c r="AS39" s="1033"/>
      <c r="AT39" s="1033"/>
      <c r="AU39" s="1033"/>
      <c r="AV39" s="1033"/>
      <c r="AW39" s="1033"/>
      <c r="AX39" s="1033"/>
      <c r="AY39" s="1033"/>
      <c r="AZ39" s="1033"/>
      <c r="BA39" s="1033"/>
      <c r="BB39" s="1033"/>
      <c r="BC39" s="1033"/>
      <c r="BD39" s="1033"/>
      <c r="BE39" s="1033"/>
      <c r="BF39" s="1033"/>
      <c r="BG39" s="1033"/>
      <c r="BH39" s="1033"/>
      <c r="BI39" s="1033"/>
      <c r="BJ39" s="1033"/>
      <c r="BK39" s="1033"/>
      <c r="BL39" s="115"/>
      <c r="BM39" s="115"/>
    </row>
    <row r="40" spans="3:65" x14ac:dyDescent="0.25">
      <c r="C40" s="1035"/>
      <c r="D40" s="1033"/>
      <c r="E40" s="1033"/>
      <c r="F40" s="1033"/>
      <c r="G40" s="1033"/>
      <c r="H40" s="1033"/>
      <c r="I40" s="1033"/>
      <c r="J40" s="1033"/>
      <c r="K40" s="1033"/>
      <c r="L40" s="1033"/>
      <c r="M40" s="1033"/>
      <c r="N40" s="1033"/>
      <c r="O40" s="1033"/>
      <c r="P40" s="1033"/>
      <c r="Q40" s="1033"/>
      <c r="R40" s="1033"/>
      <c r="S40" s="1033"/>
      <c r="T40" s="1033"/>
      <c r="U40" s="1033"/>
      <c r="V40" s="1033"/>
      <c r="W40" s="1033"/>
      <c r="X40" s="1033"/>
      <c r="Y40" s="1033"/>
      <c r="Z40" s="1033"/>
      <c r="AA40" s="1033"/>
      <c r="AB40" s="1033"/>
      <c r="AC40" s="1033"/>
      <c r="AD40" s="1033"/>
      <c r="AE40" s="1033"/>
      <c r="AF40" s="1033"/>
      <c r="AG40" s="1033"/>
      <c r="AH40" s="1033"/>
      <c r="AI40" s="1033"/>
      <c r="AJ40" s="1033"/>
      <c r="AK40" s="1033"/>
      <c r="AL40" s="1033"/>
      <c r="AM40" s="1033"/>
      <c r="AN40" s="1033"/>
      <c r="AO40" s="1033"/>
      <c r="AP40" s="1033"/>
      <c r="AQ40" s="1033"/>
      <c r="AR40" s="1033"/>
      <c r="AS40" s="1033"/>
      <c r="AT40" s="1033"/>
      <c r="AU40" s="1033"/>
      <c r="AV40" s="1033"/>
      <c r="AW40" s="1033"/>
      <c r="AX40" s="1033"/>
      <c r="AY40" s="1033"/>
      <c r="AZ40" s="1033"/>
      <c r="BA40" s="1033"/>
      <c r="BB40" s="1033"/>
      <c r="BC40" s="1033"/>
      <c r="BD40" s="1033"/>
      <c r="BE40" s="1033"/>
      <c r="BF40" s="1033"/>
      <c r="BG40" s="1033"/>
      <c r="BH40" s="1033"/>
      <c r="BI40" s="1033"/>
      <c r="BJ40" s="1033"/>
      <c r="BK40" s="1033"/>
      <c r="BL40" s="115"/>
      <c r="BM40" s="115"/>
    </row>
    <row r="41" spans="3:65" x14ac:dyDescent="0.25">
      <c r="C41" s="1035">
        <v>8</v>
      </c>
      <c r="D41" s="1033"/>
      <c r="E41" s="1033"/>
      <c r="F41" s="1033"/>
      <c r="G41" s="1033"/>
      <c r="H41" s="1033"/>
      <c r="I41" s="1033"/>
      <c r="J41" s="1033"/>
      <c r="K41" s="1033"/>
      <c r="L41" s="1033"/>
      <c r="M41" s="1033"/>
      <c r="N41" s="1033"/>
      <c r="O41" s="1033"/>
      <c r="P41" s="1033"/>
      <c r="Q41" s="1033"/>
      <c r="R41" s="1033"/>
      <c r="S41" s="1033"/>
      <c r="T41" s="1033"/>
      <c r="U41" s="1033"/>
      <c r="V41" s="1033"/>
      <c r="W41" s="1033"/>
      <c r="X41" s="1033"/>
      <c r="Y41" s="1033"/>
      <c r="Z41" s="1033"/>
      <c r="AA41" s="1033"/>
      <c r="AB41" s="1033"/>
      <c r="AC41" s="1033"/>
      <c r="AD41" s="1033"/>
      <c r="AE41" s="1033"/>
      <c r="AF41" s="1033"/>
      <c r="AG41" s="1033"/>
      <c r="AH41" s="1033"/>
      <c r="AI41" s="1033"/>
      <c r="AJ41" s="1033"/>
      <c r="AK41" s="1033"/>
      <c r="AL41" s="1033"/>
      <c r="AM41" s="1033"/>
      <c r="AN41" s="1033"/>
      <c r="AO41" s="1033"/>
      <c r="AP41" s="1033"/>
      <c r="AQ41" s="1033"/>
      <c r="AR41" s="1033"/>
      <c r="AS41" s="1033"/>
      <c r="AT41" s="1033"/>
      <c r="AU41" s="1033"/>
      <c r="AV41" s="1033"/>
      <c r="AW41" s="1033"/>
      <c r="AX41" s="1033"/>
      <c r="AY41" s="1033"/>
      <c r="AZ41" s="1033"/>
      <c r="BA41" s="1033"/>
      <c r="BB41" s="1033"/>
      <c r="BC41" s="1033"/>
      <c r="BD41" s="1033"/>
      <c r="BE41" s="1033"/>
      <c r="BF41" s="1033"/>
      <c r="BG41" s="1033"/>
      <c r="BH41" s="1033"/>
      <c r="BI41" s="1033"/>
      <c r="BJ41" s="1033"/>
      <c r="BK41" s="1033"/>
      <c r="BL41" s="115"/>
      <c r="BM41" s="115"/>
    </row>
    <row r="42" spans="3:65" x14ac:dyDescent="0.25">
      <c r="C42" s="1035"/>
      <c r="D42" s="1033"/>
      <c r="E42" s="1033"/>
      <c r="F42" s="1033"/>
      <c r="G42" s="1033"/>
      <c r="H42" s="1033"/>
      <c r="I42" s="1033"/>
      <c r="J42" s="1033"/>
      <c r="K42" s="1033"/>
      <c r="L42" s="1033"/>
      <c r="M42" s="1033"/>
      <c r="N42" s="1033"/>
      <c r="O42" s="1033"/>
      <c r="P42" s="1033"/>
      <c r="Q42" s="1033"/>
      <c r="R42" s="1033"/>
      <c r="S42" s="1033"/>
      <c r="T42" s="1033"/>
      <c r="U42" s="1033"/>
      <c r="V42" s="1033"/>
      <c r="W42" s="1033"/>
      <c r="X42" s="1033"/>
      <c r="Y42" s="1033"/>
      <c r="Z42" s="1033"/>
      <c r="AA42" s="1033"/>
      <c r="AB42" s="1033"/>
      <c r="AC42" s="1033"/>
      <c r="AD42" s="1033"/>
      <c r="AE42" s="1033"/>
      <c r="AF42" s="1033"/>
      <c r="AG42" s="1033"/>
      <c r="AH42" s="1033"/>
      <c r="AI42" s="1033"/>
      <c r="AJ42" s="1033"/>
      <c r="AK42" s="1033"/>
      <c r="AL42" s="1033"/>
      <c r="AM42" s="1033"/>
      <c r="AN42" s="1033"/>
      <c r="AO42" s="1033"/>
      <c r="AP42" s="1033"/>
      <c r="AQ42" s="1033"/>
      <c r="AR42" s="1033"/>
      <c r="AS42" s="1033"/>
      <c r="AT42" s="1033"/>
      <c r="AU42" s="1033"/>
      <c r="AV42" s="1033"/>
      <c r="AW42" s="1033"/>
      <c r="AX42" s="1033"/>
      <c r="AY42" s="1033"/>
      <c r="AZ42" s="1033"/>
      <c r="BA42" s="1033"/>
      <c r="BB42" s="1033"/>
      <c r="BC42" s="1033"/>
      <c r="BD42" s="1033"/>
      <c r="BE42" s="1033"/>
      <c r="BF42" s="1033"/>
      <c r="BG42" s="1033"/>
      <c r="BH42" s="1033"/>
      <c r="BI42" s="1033"/>
      <c r="BJ42" s="1033"/>
      <c r="BK42" s="1033"/>
      <c r="BL42" s="115"/>
      <c r="BM42" s="115"/>
    </row>
    <row r="43" spans="3:65" x14ac:dyDescent="0.25">
      <c r="C43" s="1035">
        <v>9</v>
      </c>
      <c r="D43" s="1033"/>
      <c r="E43" s="1033"/>
      <c r="F43" s="1033"/>
      <c r="G43" s="1033"/>
      <c r="H43" s="1033"/>
      <c r="I43" s="1033"/>
      <c r="J43" s="1033"/>
      <c r="K43" s="1033"/>
      <c r="L43" s="1033"/>
      <c r="M43" s="1033"/>
      <c r="N43" s="1033"/>
      <c r="O43" s="1033"/>
      <c r="P43" s="1033"/>
      <c r="Q43" s="1033"/>
      <c r="R43" s="1033"/>
      <c r="S43" s="1033"/>
      <c r="T43" s="1033"/>
      <c r="U43" s="1033"/>
      <c r="V43" s="1033"/>
      <c r="W43" s="1033"/>
      <c r="X43" s="1033"/>
      <c r="Y43" s="1033"/>
      <c r="Z43" s="1033"/>
      <c r="AA43" s="1033"/>
      <c r="AB43" s="1033"/>
      <c r="AC43" s="1033"/>
      <c r="AD43" s="1033"/>
      <c r="AE43" s="1033"/>
      <c r="AF43" s="1033"/>
      <c r="AG43" s="1033"/>
      <c r="AH43" s="1033"/>
      <c r="AI43" s="1033"/>
      <c r="AJ43" s="1033"/>
      <c r="AK43" s="1033"/>
      <c r="AL43" s="1033"/>
      <c r="AM43" s="1033"/>
      <c r="AN43" s="1033"/>
      <c r="AO43" s="1033"/>
      <c r="AP43" s="1033"/>
      <c r="AQ43" s="1033"/>
      <c r="AR43" s="1033"/>
      <c r="AS43" s="1033"/>
      <c r="AT43" s="1033"/>
      <c r="AU43" s="1033"/>
      <c r="AV43" s="1033"/>
      <c r="AW43" s="1033"/>
      <c r="AX43" s="1033"/>
      <c r="AY43" s="1033"/>
      <c r="AZ43" s="1033"/>
      <c r="BA43" s="1033"/>
      <c r="BB43" s="1033"/>
      <c r="BC43" s="1033"/>
      <c r="BD43" s="1033"/>
      <c r="BE43" s="1033"/>
      <c r="BF43" s="1033"/>
      <c r="BG43" s="1033"/>
      <c r="BH43" s="1033"/>
      <c r="BI43" s="1033"/>
      <c r="BJ43" s="1033"/>
      <c r="BK43" s="1033"/>
      <c r="BL43" s="115"/>
      <c r="BM43" s="115"/>
    </row>
    <row r="44" spans="3:65" x14ac:dyDescent="0.25">
      <c r="C44" s="1035"/>
      <c r="D44" s="1033"/>
      <c r="E44" s="1033"/>
      <c r="F44" s="1033"/>
      <c r="G44" s="1033"/>
      <c r="H44" s="1033"/>
      <c r="I44" s="1033"/>
      <c r="J44" s="1033"/>
      <c r="K44" s="1033"/>
      <c r="L44" s="1033"/>
      <c r="M44" s="1033"/>
      <c r="N44" s="1033"/>
      <c r="O44" s="1033"/>
      <c r="P44" s="1033"/>
      <c r="Q44" s="1033"/>
      <c r="R44" s="1033"/>
      <c r="S44" s="1033"/>
      <c r="T44" s="1033"/>
      <c r="U44" s="1033"/>
      <c r="V44" s="1033"/>
      <c r="W44" s="1033"/>
      <c r="X44" s="1033"/>
      <c r="Y44" s="1033"/>
      <c r="Z44" s="1033"/>
      <c r="AA44" s="1033"/>
      <c r="AB44" s="1033"/>
      <c r="AC44" s="1033"/>
      <c r="AD44" s="1033"/>
      <c r="AE44" s="1033"/>
      <c r="AF44" s="1033"/>
      <c r="AG44" s="1033"/>
      <c r="AH44" s="1033"/>
      <c r="AI44" s="1033"/>
      <c r="AJ44" s="1033"/>
      <c r="AK44" s="1033"/>
      <c r="AL44" s="1033"/>
      <c r="AM44" s="1033"/>
      <c r="AN44" s="1033"/>
      <c r="AO44" s="1033"/>
      <c r="AP44" s="1033"/>
      <c r="AQ44" s="1033"/>
      <c r="AR44" s="1033"/>
      <c r="AS44" s="1033"/>
      <c r="AT44" s="1033"/>
      <c r="AU44" s="1033"/>
      <c r="AV44" s="1033"/>
      <c r="AW44" s="1033"/>
      <c r="AX44" s="1033"/>
      <c r="AY44" s="1033"/>
      <c r="AZ44" s="1033"/>
      <c r="BA44" s="1033"/>
      <c r="BB44" s="1033"/>
      <c r="BC44" s="1033"/>
      <c r="BD44" s="1033"/>
      <c r="BE44" s="1033"/>
      <c r="BF44" s="1033"/>
      <c r="BG44" s="1033"/>
      <c r="BH44" s="1033"/>
      <c r="BI44" s="1033"/>
      <c r="BJ44" s="1033"/>
      <c r="BK44" s="1033"/>
      <c r="BL44" s="115"/>
      <c r="BM44" s="115"/>
    </row>
    <row r="45" spans="3:65" x14ac:dyDescent="0.25">
      <c r="C45" s="1035">
        <v>10</v>
      </c>
      <c r="D45" s="1033"/>
      <c r="E45" s="1033"/>
      <c r="F45" s="1033"/>
      <c r="G45" s="1033"/>
      <c r="H45" s="1033"/>
      <c r="I45" s="1033"/>
      <c r="J45" s="1033"/>
      <c r="K45" s="1033"/>
      <c r="L45" s="1033"/>
      <c r="M45" s="1033"/>
      <c r="N45" s="1033"/>
      <c r="O45" s="1033"/>
      <c r="P45" s="1033"/>
      <c r="Q45" s="1033"/>
      <c r="R45" s="1033"/>
      <c r="S45" s="1033"/>
      <c r="T45" s="1033"/>
      <c r="U45" s="1033"/>
      <c r="V45" s="1033"/>
      <c r="W45" s="1033"/>
      <c r="X45" s="1033"/>
      <c r="Y45" s="1033"/>
      <c r="Z45" s="1033"/>
      <c r="AA45" s="1033"/>
      <c r="AB45" s="1033"/>
      <c r="AC45" s="1033"/>
      <c r="AD45" s="1033"/>
      <c r="AE45" s="1033"/>
      <c r="AF45" s="1033"/>
      <c r="AG45" s="1033"/>
      <c r="AH45" s="1033"/>
      <c r="AI45" s="1033"/>
      <c r="AJ45" s="1033"/>
      <c r="AK45" s="1033"/>
      <c r="AL45" s="1033"/>
      <c r="AM45" s="1033"/>
      <c r="AN45" s="1033"/>
      <c r="AO45" s="1033"/>
      <c r="AP45" s="1033"/>
      <c r="AQ45" s="1033"/>
      <c r="AR45" s="1033"/>
      <c r="AS45" s="1033"/>
      <c r="AT45" s="1033"/>
      <c r="AU45" s="1033"/>
      <c r="AV45" s="1033"/>
      <c r="AW45" s="1033"/>
      <c r="AX45" s="1033"/>
      <c r="AY45" s="1033"/>
      <c r="AZ45" s="1033"/>
      <c r="BA45" s="1033"/>
      <c r="BB45" s="1033"/>
      <c r="BC45" s="1033"/>
      <c r="BD45" s="1033"/>
      <c r="BE45" s="1033"/>
      <c r="BF45" s="1033"/>
      <c r="BG45" s="1033"/>
      <c r="BH45" s="1033"/>
      <c r="BI45" s="1033"/>
      <c r="BJ45" s="1033"/>
      <c r="BK45" s="1033"/>
      <c r="BL45" s="115"/>
      <c r="BM45" s="115"/>
    </row>
    <row r="46" spans="3:65" x14ac:dyDescent="0.25">
      <c r="C46" s="1035"/>
      <c r="D46" s="1033"/>
      <c r="E46" s="1033"/>
      <c r="F46" s="1033"/>
      <c r="G46" s="1033"/>
      <c r="H46" s="1033"/>
      <c r="I46" s="1033"/>
      <c r="J46" s="1033"/>
      <c r="K46" s="1033"/>
      <c r="L46" s="1033"/>
      <c r="M46" s="1033"/>
      <c r="N46" s="1033"/>
      <c r="O46" s="1033"/>
      <c r="P46" s="1033"/>
      <c r="Q46" s="1033"/>
      <c r="R46" s="1033"/>
      <c r="S46" s="1033"/>
      <c r="T46" s="1033"/>
      <c r="U46" s="1033"/>
      <c r="V46" s="1033"/>
      <c r="W46" s="1033"/>
      <c r="X46" s="1033"/>
      <c r="Y46" s="1033"/>
      <c r="Z46" s="1033"/>
      <c r="AA46" s="1033"/>
      <c r="AB46" s="1033"/>
      <c r="AC46" s="1033"/>
      <c r="AD46" s="1033"/>
      <c r="AE46" s="1033"/>
      <c r="AF46" s="1033"/>
      <c r="AG46" s="1033"/>
      <c r="AH46" s="1033"/>
      <c r="AI46" s="1033"/>
      <c r="AJ46" s="1033"/>
      <c r="AK46" s="1033"/>
      <c r="AL46" s="1033"/>
      <c r="AM46" s="1033"/>
      <c r="AN46" s="1033"/>
      <c r="AO46" s="1033"/>
      <c r="AP46" s="1033"/>
      <c r="AQ46" s="1033"/>
      <c r="AR46" s="1033"/>
      <c r="AS46" s="1033"/>
      <c r="AT46" s="1033"/>
      <c r="AU46" s="1033"/>
      <c r="AV46" s="1033"/>
      <c r="AW46" s="1033"/>
      <c r="AX46" s="1033"/>
      <c r="AY46" s="1033"/>
      <c r="AZ46" s="1033"/>
      <c r="BA46" s="1033"/>
      <c r="BB46" s="1033"/>
      <c r="BC46" s="1033"/>
      <c r="BD46" s="1033"/>
      <c r="BE46" s="1033"/>
      <c r="BF46" s="1033"/>
      <c r="BG46" s="1033"/>
      <c r="BH46" s="1033"/>
      <c r="BI46" s="1033"/>
      <c r="BJ46" s="1033"/>
      <c r="BK46" s="1033"/>
      <c r="BL46" s="115"/>
      <c r="BM46" s="115"/>
    </row>
    <row r="47" spans="3:65" x14ac:dyDescent="0.25">
      <c r="C47" s="1034" t="s">
        <v>290</v>
      </c>
      <c r="D47" s="1034"/>
      <c r="E47" s="1034"/>
      <c r="F47" s="1034"/>
      <c r="G47" s="1034"/>
      <c r="H47" s="1034"/>
      <c r="I47" s="1034"/>
      <c r="J47" s="1033"/>
      <c r="K47" s="1033"/>
      <c r="L47" s="1033"/>
      <c r="M47" s="1033"/>
      <c r="N47" s="1033"/>
      <c r="O47" s="1033"/>
      <c r="P47" s="1033"/>
      <c r="Q47" s="1033"/>
      <c r="R47" s="1033"/>
      <c r="S47" s="1033"/>
      <c r="T47" s="1033"/>
      <c r="U47" s="1033"/>
      <c r="V47" s="1033"/>
      <c r="W47" s="1033"/>
      <c r="X47" s="1033"/>
      <c r="Y47" s="1033"/>
      <c r="Z47" s="1033"/>
      <c r="AA47" s="1033"/>
      <c r="AB47" s="1033"/>
      <c r="AC47" s="1033"/>
      <c r="AD47" s="1033"/>
      <c r="AE47" s="1033"/>
      <c r="AF47" s="1033"/>
      <c r="AG47" s="1033"/>
      <c r="AH47" s="1033"/>
      <c r="AI47" s="1033"/>
      <c r="AJ47" s="1033"/>
      <c r="AK47" s="1033"/>
      <c r="AL47" s="1033"/>
      <c r="AM47" s="1033"/>
      <c r="AN47" s="1033"/>
      <c r="AO47" s="1033"/>
      <c r="AP47" s="1033"/>
      <c r="AQ47" s="1033"/>
      <c r="AR47" s="1033"/>
      <c r="AS47" s="1033"/>
      <c r="AT47" s="1033"/>
      <c r="AU47" s="1033"/>
      <c r="AV47" s="1033"/>
      <c r="AW47" s="1033"/>
      <c r="AX47" s="1033"/>
      <c r="AY47" s="1033"/>
      <c r="AZ47" s="1033"/>
      <c r="BA47" s="1033"/>
      <c r="BB47" s="1033"/>
      <c r="BC47" s="1033"/>
      <c r="BD47" s="1033"/>
      <c r="BE47" s="1033"/>
      <c r="BF47" s="1033"/>
      <c r="BG47" s="1033"/>
      <c r="BH47" s="1033"/>
      <c r="BI47" s="1033"/>
      <c r="BJ47" s="1033"/>
      <c r="BK47" s="1033"/>
      <c r="BL47" s="115"/>
      <c r="BM47" s="115"/>
    </row>
    <row r="48" spans="3:65" x14ac:dyDescent="0.25">
      <c r="C48" s="316"/>
      <c r="D48" s="315"/>
      <c r="E48" s="315"/>
      <c r="F48" s="315"/>
      <c r="G48" s="315"/>
      <c r="H48" s="315"/>
      <c r="I48" s="315"/>
      <c r="J48" s="315"/>
      <c r="K48" s="315"/>
      <c r="L48" s="315"/>
      <c r="M48" s="315"/>
      <c r="N48" s="315"/>
      <c r="O48" s="315"/>
      <c r="P48" s="315"/>
      <c r="Q48" s="315"/>
      <c r="R48" s="315"/>
      <c r="S48" s="315"/>
      <c r="T48" s="315"/>
      <c r="U48" s="315"/>
      <c r="V48" s="315"/>
      <c r="W48" s="315"/>
      <c r="X48" s="315"/>
      <c r="Y48" s="315"/>
      <c r="Z48" s="315"/>
      <c r="AA48" s="315"/>
      <c r="AB48" s="315"/>
      <c r="AC48" s="315"/>
      <c r="AD48" s="315"/>
      <c r="AE48" s="315"/>
      <c r="AF48" s="315"/>
      <c r="AG48" s="315"/>
      <c r="AH48" s="315"/>
      <c r="AI48" s="346" t="s">
        <v>581</v>
      </c>
      <c r="AJ48" s="315"/>
      <c r="AK48" s="315"/>
      <c r="AL48" s="315"/>
      <c r="AM48" s="315"/>
      <c r="AN48" s="315"/>
      <c r="AO48" s="315"/>
      <c r="AP48" s="315"/>
      <c r="AQ48" s="315"/>
      <c r="AR48" s="316"/>
      <c r="AS48" s="316"/>
      <c r="AT48" s="316"/>
      <c r="AU48" s="316"/>
      <c r="AV48" s="316"/>
      <c r="AW48" s="316"/>
      <c r="AX48" s="316"/>
      <c r="AY48" s="316"/>
      <c r="AZ48" s="316"/>
      <c r="BA48" s="316"/>
      <c r="BB48" s="316"/>
      <c r="BC48" s="316"/>
      <c r="BD48" s="316"/>
      <c r="BE48" s="316"/>
      <c r="BF48" s="316"/>
      <c r="BG48" s="316"/>
      <c r="BH48" s="316"/>
      <c r="BI48" s="316"/>
      <c r="BJ48" s="316"/>
      <c r="BK48" s="316"/>
      <c r="BL48" s="115"/>
      <c r="BM48" s="115"/>
    </row>
    <row r="49" spans="3:75" x14ac:dyDescent="0.25">
      <c r="C49" s="57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  <c r="AF49" s="111"/>
      <c r="AG49" s="111"/>
      <c r="AH49" s="111"/>
      <c r="AI49" s="111"/>
      <c r="AJ49" s="111"/>
      <c r="AK49" s="111"/>
      <c r="AL49" s="111"/>
      <c r="AM49" s="111"/>
      <c r="AN49" s="111"/>
      <c r="AO49" s="111"/>
      <c r="AP49" s="111"/>
      <c r="AQ49" s="111"/>
      <c r="AR49" s="117"/>
      <c r="AS49" s="117"/>
      <c r="AT49" s="117"/>
      <c r="AU49" s="117"/>
      <c r="AV49" s="117"/>
      <c r="AW49" s="117"/>
      <c r="AX49" s="117"/>
      <c r="AY49" s="117"/>
      <c r="AZ49" s="117"/>
      <c r="BA49" s="117"/>
      <c r="BB49" s="117"/>
      <c r="BC49" s="117"/>
      <c r="BD49" s="117"/>
      <c r="BE49" s="117"/>
      <c r="BF49" s="117"/>
      <c r="BG49" s="117"/>
      <c r="BH49" s="117"/>
      <c r="BI49" s="117"/>
      <c r="BJ49" s="117"/>
      <c r="BK49" s="117"/>
      <c r="BL49" s="115"/>
      <c r="BM49" s="115"/>
    </row>
    <row r="50" spans="3:75" ht="15.75" x14ac:dyDescent="0.25">
      <c r="C50" s="247" t="s">
        <v>51</v>
      </c>
      <c r="D50" s="247" t="s">
        <v>569</v>
      </c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342"/>
      <c r="AE50" s="342"/>
      <c r="AF50" s="247" t="s">
        <v>81</v>
      </c>
      <c r="AG50" s="247" t="s">
        <v>546</v>
      </c>
      <c r="AH50" s="110"/>
      <c r="AI50" s="110"/>
      <c r="AJ50" s="110"/>
      <c r="AK50" s="110"/>
      <c r="AL50" s="110"/>
      <c r="AM50" s="110"/>
      <c r="AN50" s="110"/>
      <c r="AO50" s="110"/>
      <c r="AP50" s="110"/>
      <c r="AQ50" s="110"/>
      <c r="AR50" s="110"/>
      <c r="AS50" s="45"/>
      <c r="AT50" s="45"/>
      <c r="AU50" s="45"/>
      <c r="AV50" s="45"/>
      <c r="AW50" s="45"/>
      <c r="AX50" s="45"/>
      <c r="AY50" s="45"/>
      <c r="AZ50" s="45"/>
      <c r="BA50" s="45"/>
      <c r="BB50" s="45"/>
      <c r="BC50" s="45"/>
      <c r="BD50" s="45"/>
      <c r="BE50" s="45"/>
      <c r="BF50" s="45"/>
      <c r="BG50" s="45"/>
      <c r="BH50" s="45"/>
      <c r="BI50" s="45"/>
      <c r="BJ50" s="45"/>
      <c r="BK50" s="45"/>
      <c r="BL50" s="115"/>
      <c r="BM50" s="115"/>
    </row>
    <row r="51" spans="3:75" x14ac:dyDescent="0.25">
      <c r="C51" s="348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7"/>
      <c r="AT51" s="57"/>
      <c r="AU51" s="57"/>
      <c r="AV51" s="57"/>
      <c r="AW51" s="57"/>
      <c r="AX51" s="57"/>
      <c r="AY51" s="57"/>
      <c r="AZ51" s="57"/>
      <c r="BA51" s="57"/>
      <c r="BB51" s="57"/>
      <c r="BC51" s="57"/>
      <c r="BD51" s="57"/>
      <c r="BE51" s="57"/>
      <c r="BF51" s="57"/>
      <c r="BG51" s="57"/>
      <c r="BH51" s="57"/>
      <c r="BI51" s="57"/>
      <c r="BJ51" s="57"/>
      <c r="BK51" s="57"/>
    </row>
    <row r="52" spans="3:75" x14ac:dyDescent="0.25">
      <c r="C52" s="789" t="s">
        <v>263</v>
      </c>
      <c r="D52" s="571"/>
      <c r="E52" s="571" t="s">
        <v>193</v>
      </c>
      <c r="F52" s="571"/>
      <c r="G52" s="571"/>
      <c r="H52" s="571"/>
      <c r="I52" s="571"/>
      <c r="J52" s="571"/>
      <c r="K52" s="557" t="s">
        <v>573</v>
      </c>
      <c r="L52" s="557"/>
      <c r="M52" s="557"/>
      <c r="N52" s="557"/>
      <c r="O52" s="557"/>
      <c r="P52" s="557"/>
      <c r="Q52" s="557"/>
      <c r="R52" s="557"/>
      <c r="S52" s="557"/>
      <c r="T52" s="557"/>
      <c r="U52" s="557" t="s">
        <v>663</v>
      </c>
      <c r="V52" s="557"/>
      <c r="W52" s="557"/>
      <c r="X52" s="557"/>
      <c r="Y52" s="557"/>
      <c r="Z52" s="557"/>
      <c r="AA52" s="557"/>
      <c r="AB52" s="557"/>
      <c r="AC52" s="557"/>
      <c r="AF52" s="571" t="s">
        <v>263</v>
      </c>
      <c r="AG52" s="571"/>
      <c r="AH52" s="574" t="s">
        <v>193</v>
      </c>
      <c r="AI52" s="575"/>
      <c r="AJ52" s="575"/>
      <c r="AK52" s="575"/>
      <c r="AL52" s="575"/>
      <c r="AM52" s="575"/>
      <c r="AN52" s="575"/>
      <c r="AO52" s="575"/>
      <c r="AP52" s="575"/>
      <c r="AQ52" s="576"/>
      <c r="AR52" s="583" t="s">
        <v>575</v>
      </c>
      <c r="AS52" s="621"/>
      <c r="AT52" s="621"/>
      <c r="AU52" s="621"/>
      <c r="AV52" s="621"/>
      <c r="AW52" s="621"/>
      <c r="AX52" s="621"/>
      <c r="AY52" s="621"/>
      <c r="AZ52" s="621"/>
      <c r="BA52" s="621"/>
      <c r="BB52" s="584"/>
      <c r="BC52" s="583" t="s">
        <v>574</v>
      </c>
      <c r="BD52" s="621"/>
      <c r="BE52" s="621"/>
      <c r="BF52" s="621"/>
      <c r="BG52" s="621"/>
      <c r="BH52" s="621"/>
      <c r="BI52" s="621"/>
      <c r="BJ52" s="621"/>
      <c r="BK52" s="584"/>
      <c r="BL52" s="115"/>
      <c r="BM52" s="115"/>
      <c r="BN52" s="115"/>
      <c r="BO52" s="115"/>
      <c r="BP52" s="115"/>
      <c r="BQ52" s="115"/>
      <c r="BR52" s="115"/>
      <c r="BS52" s="115"/>
      <c r="BT52" s="115"/>
      <c r="BU52" s="115"/>
    </row>
    <row r="53" spans="3:75" x14ac:dyDescent="0.25">
      <c r="C53" s="571"/>
      <c r="D53" s="571"/>
      <c r="E53" s="571"/>
      <c r="F53" s="571"/>
      <c r="G53" s="571"/>
      <c r="H53" s="571"/>
      <c r="I53" s="571"/>
      <c r="J53" s="571"/>
      <c r="K53" s="557"/>
      <c r="L53" s="557"/>
      <c r="M53" s="557"/>
      <c r="N53" s="557"/>
      <c r="O53" s="557"/>
      <c r="P53" s="557"/>
      <c r="Q53" s="557"/>
      <c r="R53" s="557"/>
      <c r="S53" s="557"/>
      <c r="T53" s="557"/>
      <c r="U53" s="557"/>
      <c r="V53" s="557"/>
      <c r="W53" s="557"/>
      <c r="X53" s="557"/>
      <c r="Y53" s="557"/>
      <c r="Z53" s="557"/>
      <c r="AA53" s="557"/>
      <c r="AB53" s="557"/>
      <c r="AC53" s="557"/>
      <c r="AF53" s="571"/>
      <c r="AG53" s="571"/>
      <c r="AH53" s="577"/>
      <c r="AI53" s="578"/>
      <c r="AJ53" s="578"/>
      <c r="AK53" s="578"/>
      <c r="AL53" s="578"/>
      <c r="AM53" s="578"/>
      <c r="AN53" s="578"/>
      <c r="AO53" s="578"/>
      <c r="AP53" s="578"/>
      <c r="AQ53" s="579"/>
      <c r="AR53" s="560"/>
      <c r="AS53" s="561"/>
      <c r="AT53" s="561"/>
      <c r="AU53" s="561"/>
      <c r="AV53" s="561"/>
      <c r="AW53" s="561"/>
      <c r="AX53" s="561"/>
      <c r="AY53" s="561"/>
      <c r="AZ53" s="561"/>
      <c r="BA53" s="561"/>
      <c r="BB53" s="562"/>
      <c r="BC53" s="560"/>
      <c r="BD53" s="561"/>
      <c r="BE53" s="561"/>
      <c r="BF53" s="561"/>
      <c r="BG53" s="561"/>
      <c r="BH53" s="561"/>
      <c r="BI53" s="561"/>
      <c r="BJ53" s="561"/>
      <c r="BK53" s="562"/>
    </row>
    <row r="54" spans="3:75" x14ac:dyDescent="0.25">
      <c r="C54" s="571"/>
      <c r="D54" s="571"/>
      <c r="E54" s="571"/>
      <c r="F54" s="571"/>
      <c r="G54" s="571"/>
      <c r="H54" s="571"/>
      <c r="I54" s="571"/>
      <c r="J54" s="571"/>
      <c r="K54" s="557"/>
      <c r="L54" s="557"/>
      <c r="M54" s="557"/>
      <c r="N54" s="557"/>
      <c r="O54" s="557"/>
      <c r="P54" s="557"/>
      <c r="Q54" s="557"/>
      <c r="R54" s="557"/>
      <c r="S54" s="557"/>
      <c r="T54" s="557"/>
      <c r="U54" s="557"/>
      <c r="V54" s="557"/>
      <c r="W54" s="557"/>
      <c r="X54" s="557"/>
      <c r="Y54" s="557"/>
      <c r="Z54" s="557"/>
      <c r="AA54" s="557"/>
      <c r="AB54" s="557"/>
      <c r="AC54" s="557"/>
      <c r="AF54" s="571"/>
      <c r="AG54" s="571"/>
      <c r="AH54" s="580"/>
      <c r="AI54" s="581"/>
      <c r="AJ54" s="581"/>
      <c r="AK54" s="581"/>
      <c r="AL54" s="581"/>
      <c r="AM54" s="581"/>
      <c r="AN54" s="581"/>
      <c r="AO54" s="581"/>
      <c r="AP54" s="581"/>
      <c r="AQ54" s="582"/>
      <c r="AR54" s="563"/>
      <c r="AS54" s="564"/>
      <c r="AT54" s="564"/>
      <c r="AU54" s="564"/>
      <c r="AV54" s="564"/>
      <c r="AW54" s="564"/>
      <c r="AX54" s="564"/>
      <c r="AY54" s="564"/>
      <c r="AZ54" s="564"/>
      <c r="BA54" s="564"/>
      <c r="BB54" s="565"/>
      <c r="BC54" s="563"/>
      <c r="BD54" s="564"/>
      <c r="BE54" s="564"/>
      <c r="BF54" s="564"/>
      <c r="BG54" s="564"/>
      <c r="BH54" s="564"/>
      <c r="BI54" s="564"/>
      <c r="BJ54" s="564"/>
      <c r="BK54" s="565"/>
    </row>
    <row r="55" spans="3:75" x14ac:dyDescent="0.25">
      <c r="C55" s="606" t="s">
        <v>213</v>
      </c>
      <c r="D55" s="592"/>
      <c r="E55" s="606" t="s">
        <v>214</v>
      </c>
      <c r="F55" s="592"/>
      <c r="G55" s="592"/>
      <c r="H55" s="592"/>
      <c r="I55" s="592"/>
      <c r="J55" s="592"/>
      <c r="K55" s="606" t="s">
        <v>215</v>
      </c>
      <c r="L55" s="592"/>
      <c r="M55" s="592"/>
      <c r="N55" s="592"/>
      <c r="O55" s="592"/>
      <c r="P55" s="592"/>
      <c r="Q55" s="592"/>
      <c r="R55" s="592"/>
      <c r="S55" s="592"/>
      <c r="T55" s="592"/>
      <c r="U55" s="606" t="s">
        <v>216</v>
      </c>
      <c r="V55" s="592"/>
      <c r="W55" s="592"/>
      <c r="X55" s="592"/>
      <c r="Y55" s="592"/>
      <c r="Z55" s="592"/>
      <c r="AA55" s="592"/>
      <c r="AB55" s="592"/>
      <c r="AC55" s="592"/>
      <c r="AF55" s="606" t="s">
        <v>213</v>
      </c>
      <c r="AG55" s="592"/>
      <c r="AH55" s="716" t="s">
        <v>214</v>
      </c>
      <c r="AI55" s="1030"/>
      <c r="AJ55" s="1030"/>
      <c r="AK55" s="1030"/>
      <c r="AL55" s="1030"/>
      <c r="AM55" s="1030"/>
      <c r="AN55" s="1030"/>
      <c r="AO55" s="1030"/>
      <c r="AP55" s="1030"/>
      <c r="AQ55" s="1031"/>
      <c r="AR55" s="716" t="s">
        <v>215</v>
      </c>
      <c r="AS55" s="1030"/>
      <c r="AT55" s="1030"/>
      <c r="AU55" s="1030"/>
      <c r="AV55" s="1030"/>
      <c r="AW55" s="1030"/>
      <c r="AX55" s="1030"/>
      <c r="AY55" s="1030"/>
      <c r="AZ55" s="1030"/>
      <c r="BA55" s="1030"/>
      <c r="BB55" s="1031"/>
      <c r="BC55" s="716" t="s">
        <v>216</v>
      </c>
      <c r="BD55" s="1030"/>
      <c r="BE55" s="1030"/>
      <c r="BF55" s="1030"/>
      <c r="BG55" s="1030"/>
      <c r="BH55" s="1030"/>
      <c r="BI55" s="1030"/>
      <c r="BJ55" s="1030"/>
      <c r="BK55" s="1031"/>
    </row>
    <row r="56" spans="3:75" x14ac:dyDescent="0.25">
      <c r="C56" s="1032">
        <v>1</v>
      </c>
      <c r="D56" s="1032"/>
      <c r="E56" s="592"/>
      <c r="F56" s="592"/>
      <c r="G56" s="592"/>
      <c r="H56" s="592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Y56" s="592"/>
      <c r="Z56" s="592"/>
      <c r="AA56" s="592"/>
      <c r="AB56" s="592"/>
      <c r="AC56" s="592"/>
      <c r="AF56" s="1032">
        <v>1</v>
      </c>
      <c r="AG56" s="1032"/>
      <c r="AH56" s="593"/>
      <c r="AI56" s="594"/>
      <c r="AJ56" s="594"/>
      <c r="AK56" s="594"/>
      <c r="AL56" s="594"/>
      <c r="AM56" s="594"/>
      <c r="AN56" s="594"/>
      <c r="AO56" s="594"/>
      <c r="AP56" s="594"/>
      <c r="AQ56" s="595"/>
      <c r="AR56" s="593"/>
      <c r="AS56" s="594"/>
      <c r="AT56" s="594"/>
      <c r="AU56" s="594"/>
      <c r="AV56" s="594"/>
      <c r="AW56" s="594"/>
      <c r="AX56" s="594"/>
      <c r="AY56" s="594"/>
      <c r="AZ56" s="594"/>
      <c r="BA56" s="594"/>
      <c r="BB56" s="595"/>
      <c r="BC56" s="593"/>
      <c r="BD56" s="594"/>
      <c r="BE56" s="594"/>
      <c r="BF56" s="594"/>
      <c r="BG56" s="594"/>
      <c r="BH56" s="594"/>
      <c r="BI56" s="594"/>
      <c r="BJ56" s="594"/>
      <c r="BK56" s="595"/>
    </row>
    <row r="57" spans="3:75" ht="3.6" customHeight="1" x14ac:dyDescent="0.25">
      <c r="C57" s="1032"/>
      <c r="D57" s="1032"/>
      <c r="E57" s="592"/>
      <c r="F57" s="592"/>
      <c r="G57" s="592"/>
      <c r="H57" s="592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Y57" s="592"/>
      <c r="Z57" s="592"/>
      <c r="AA57" s="592"/>
      <c r="AB57" s="592"/>
      <c r="AC57" s="592"/>
      <c r="AF57" s="1032"/>
      <c r="AG57" s="1032"/>
      <c r="AH57" s="596"/>
      <c r="AI57" s="597"/>
      <c r="AJ57" s="597"/>
      <c r="AK57" s="597"/>
      <c r="AL57" s="597"/>
      <c r="AM57" s="597"/>
      <c r="AN57" s="597"/>
      <c r="AO57" s="597"/>
      <c r="AP57" s="597"/>
      <c r="AQ57" s="598"/>
      <c r="AR57" s="596"/>
      <c r="AS57" s="597"/>
      <c r="AT57" s="597"/>
      <c r="AU57" s="597"/>
      <c r="AV57" s="597"/>
      <c r="AW57" s="597"/>
      <c r="AX57" s="597"/>
      <c r="AY57" s="597"/>
      <c r="AZ57" s="597"/>
      <c r="BA57" s="597"/>
      <c r="BB57" s="598"/>
      <c r="BC57" s="596"/>
      <c r="BD57" s="597"/>
      <c r="BE57" s="597"/>
      <c r="BF57" s="597"/>
      <c r="BG57" s="597"/>
      <c r="BH57" s="597"/>
      <c r="BI57" s="597"/>
      <c r="BJ57" s="597"/>
      <c r="BK57" s="598"/>
      <c r="BV57" s="115"/>
      <c r="BW57" s="116"/>
    </row>
    <row r="58" spans="3:75" x14ac:dyDescent="0.25">
      <c r="C58" s="1032">
        <v>2</v>
      </c>
      <c r="D58" s="1032"/>
      <c r="E58" s="592"/>
      <c r="F58" s="592"/>
      <c r="G58" s="592"/>
      <c r="H58" s="592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Y58" s="592"/>
      <c r="Z58" s="592"/>
      <c r="AA58" s="592"/>
      <c r="AB58" s="592"/>
      <c r="AC58" s="592"/>
      <c r="AF58" s="1032">
        <v>2</v>
      </c>
      <c r="AG58" s="1032"/>
      <c r="AH58" s="593"/>
      <c r="AI58" s="594"/>
      <c r="AJ58" s="594"/>
      <c r="AK58" s="594"/>
      <c r="AL58" s="594"/>
      <c r="AM58" s="594"/>
      <c r="AN58" s="594"/>
      <c r="AO58" s="594"/>
      <c r="AP58" s="594"/>
      <c r="AQ58" s="595"/>
      <c r="AR58" s="593"/>
      <c r="AS58" s="594"/>
      <c r="AT58" s="594"/>
      <c r="AU58" s="594"/>
      <c r="AV58" s="594"/>
      <c r="AW58" s="594"/>
      <c r="AX58" s="594"/>
      <c r="AY58" s="594"/>
      <c r="AZ58" s="594"/>
      <c r="BA58" s="594"/>
      <c r="BB58" s="595"/>
      <c r="BC58" s="593"/>
      <c r="BD58" s="594"/>
      <c r="BE58" s="594"/>
      <c r="BF58" s="594"/>
      <c r="BG58" s="594"/>
      <c r="BH58" s="594"/>
      <c r="BI58" s="594"/>
      <c r="BJ58" s="594"/>
      <c r="BK58" s="595"/>
    </row>
    <row r="59" spans="3:75" x14ac:dyDescent="0.25">
      <c r="C59" s="1032"/>
      <c r="D59" s="1032"/>
      <c r="E59" s="592"/>
      <c r="F59" s="592"/>
      <c r="G59" s="592"/>
      <c r="H59" s="59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Y59" s="592"/>
      <c r="Z59" s="592"/>
      <c r="AA59" s="592"/>
      <c r="AB59" s="592"/>
      <c r="AC59" s="592"/>
      <c r="AF59" s="1032"/>
      <c r="AG59" s="1032"/>
      <c r="AH59" s="596"/>
      <c r="AI59" s="597"/>
      <c r="AJ59" s="597"/>
      <c r="AK59" s="597"/>
      <c r="AL59" s="597"/>
      <c r="AM59" s="597"/>
      <c r="AN59" s="597"/>
      <c r="AO59" s="597"/>
      <c r="AP59" s="597"/>
      <c r="AQ59" s="598"/>
      <c r="AR59" s="596"/>
      <c r="AS59" s="597"/>
      <c r="AT59" s="597"/>
      <c r="AU59" s="597"/>
      <c r="AV59" s="597"/>
      <c r="AW59" s="597"/>
      <c r="AX59" s="597"/>
      <c r="AY59" s="597"/>
      <c r="AZ59" s="597"/>
      <c r="BA59" s="597"/>
      <c r="BB59" s="598"/>
      <c r="BC59" s="596"/>
      <c r="BD59" s="597"/>
      <c r="BE59" s="597"/>
      <c r="BF59" s="597"/>
      <c r="BG59" s="597"/>
      <c r="BH59" s="597"/>
      <c r="BI59" s="597"/>
      <c r="BJ59" s="597"/>
      <c r="BK59" s="598"/>
    </row>
    <row r="60" spans="3:75" x14ac:dyDescent="0.25">
      <c r="C60" s="1032">
        <v>3</v>
      </c>
      <c r="D60" s="1032"/>
      <c r="E60" s="592"/>
      <c r="F60" s="592"/>
      <c r="G60" s="592"/>
      <c r="H60" s="592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Y60" s="592"/>
      <c r="Z60" s="592"/>
      <c r="AA60" s="592"/>
      <c r="AB60" s="592"/>
      <c r="AC60" s="592"/>
      <c r="AF60" s="1032">
        <v>3</v>
      </c>
      <c r="AG60" s="1032"/>
      <c r="AH60" s="593"/>
      <c r="AI60" s="594"/>
      <c r="AJ60" s="594"/>
      <c r="AK60" s="594"/>
      <c r="AL60" s="594"/>
      <c r="AM60" s="594"/>
      <c r="AN60" s="594"/>
      <c r="AO60" s="594"/>
      <c r="AP60" s="594"/>
      <c r="AQ60" s="595"/>
      <c r="AR60" s="593"/>
      <c r="AS60" s="594"/>
      <c r="AT60" s="594"/>
      <c r="AU60" s="594"/>
      <c r="AV60" s="594"/>
      <c r="AW60" s="594"/>
      <c r="AX60" s="594"/>
      <c r="AY60" s="594"/>
      <c r="AZ60" s="594"/>
      <c r="BA60" s="594"/>
      <c r="BB60" s="595"/>
      <c r="BC60" s="593"/>
      <c r="BD60" s="594"/>
      <c r="BE60" s="594"/>
      <c r="BF60" s="594"/>
      <c r="BG60" s="594"/>
      <c r="BH60" s="594"/>
      <c r="BI60" s="594"/>
      <c r="BJ60" s="594"/>
      <c r="BK60" s="595"/>
    </row>
    <row r="61" spans="3:75" x14ac:dyDescent="0.25">
      <c r="C61" s="1032"/>
      <c r="D61" s="1032"/>
      <c r="E61" s="592"/>
      <c r="F61" s="592"/>
      <c r="G61" s="592"/>
      <c r="H61" s="59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Y61" s="592"/>
      <c r="Z61" s="592"/>
      <c r="AA61" s="592"/>
      <c r="AB61" s="592"/>
      <c r="AC61" s="592"/>
      <c r="AF61" s="1032"/>
      <c r="AG61" s="1032"/>
      <c r="AH61" s="596"/>
      <c r="AI61" s="597"/>
      <c r="AJ61" s="597"/>
      <c r="AK61" s="597"/>
      <c r="AL61" s="597"/>
      <c r="AM61" s="597"/>
      <c r="AN61" s="597"/>
      <c r="AO61" s="597"/>
      <c r="AP61" s="597"/>
      <c r="AQ61" s="598"/>
      <c r="AR61" s="596"/>
      <c r="AS61" s="597"/>
      <c r="AT61" s="597"/>
      <c r="AU61" s="597"/>
      <c r="AV61" s="597"/>
      <c r="AW61" s="597"/>
      <c r="AX61" s="597"/>
      <c r="AY61" s="597"/>
      <c r="AZ61" s="597"/>
      <c r="BA61" s="597"/>
      <c r="BB61" s="598"/>
      <c r="BC61" s="596"/>
      <c r="BD61" s="597"/>
      <c r="BE61" s="597"/>
      <c r="BF61" s="597"/>
      <c r="BG61" s="597"/>
      <c r="BH61" s="597"/>
      <c r="BI61" s="597"/>
      <c r="BJ61" s="597"/>
      <c r="BK61" s="598"/>
    </row>
    <row r="62" spans="3:75" x14ac:dyDescent="0.25">
      <c r="C62" s="1032">
        <v>4</v>
      </c>
      <c r="D62" s="1032"/>
      <c r="E62" s="592"/>
      <c r="F62" s="592"/>
      <c r="G62" s="592"/>
      <c r="H62" s="592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Y62" s="592"/>
      <c r="Z62" s="592"/>
      <c r="AA62" s="592"/>
      <c r="AB62" s="592"/>
      <c r="AC62" s="592"/>
      <c r="AF62" s="1032">
        <v>4</v>
      </c>
      <c r="AG62" s="1032"/>
      <c r="AH62" s="593"/>
      <c r="AI62" s="594"/>
      <c r="AJ62" s="594"/>
      <c r="AK62" s="594"/>
      <c r="AL62" s="594"/>
      <c r="AM62" s="594"/>
      <c r="AN62" s="594"/>
      <c r="AO62" s="594"/>
      <c r="AP62" s="594"/>
      <c r="AQ62" s="595"/>
      <c r="AR62" s="593"/>
      <c r="AS62" s="594"/>
      <c r="AT62" s="594"/>
      <c r="AU62" s="594"/>
      <c r="AV62" s="594"/>
      <c r="AW62" s="594"/>
      <c r="AX62" s="594"/>
      <c r="AY62" s="594"/>
      <c r="AZ62" s="594"/>
      <c r="BA62" s="594"/>
      <c r="BB62" s="595"/>
      <c r="BC62" s="593"/>
      <c r="BD62" s="594"/>
      <c r="BE62" s="594"/>
      <c r="BF62" s="594"/>
      <c r="BG62" s="594"/>
      <c r="BH62" s="594"/>
      <c r="BI62" s="594"/>
      <c r="BJ62" s="594"/>
      <c r="BK62" s="595"/>
    </row>
    <row r="63" spans="3:75" x14ac:dyDescent="0.25">
      <c r="C63" s="1032"/>
      <c r="D63" s="1032"/>
      <c r="E63" s="592"/>
      <c r="F63" s="592"/>
      <c r="G63" s="592"/>
      <c r="H63" s="59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Y63" s="592"/>
      <c r="Z63" s="592"/>
      <c r="AA63" s="592"/>
      <c r="AB63" s="592"/>
      <c r="AC63" s="592"/>
      <c r="AF63" s="1032"/>
      <c r="AG63" s="1032"/>
      <c r="AH63" s="596"/>
      <c r="AI63" s="597"/>
      <c r="AJ63" s="597"/>
      <c r="AK63" s="597"/>
      <c r="AL63" s="597"/>
      <c r="AM63" s="597"/>
      <c r="AN63" s="597"/>
      <c r="AO63" s="597"/>
      <c r="AP63" s="597"/>
      <c r="AQ63" s="598"/>
      <c r="AR63" s="596"/>
      <c r="AS63" s="597"/>
      <c r="AT63" s="597"/>
      <c r="AU63" s="597"/>
      <c r="AV63" s="597"/>
      <c r="AW63" s="597"/>
      <c r="AX63" s="597"/>
      <c r="AY63" s="597"/>
      <c r="AZ63" s="597"/>
      <c r="BA63" s="597"/>
      <c r="BB63" s="598"/>
      <c r="BC63" s="596"/>
      <c r="BD63" s="597"/>
      <c r="BE63" s="597"/>
      <c r="BF63" s="597"/>
      <c r="BG63" s="597"/>
      <c r="BH63" s="597"/>
      <c r="BI63" s="597"/>
      <c r="BJ63" s="597"/>
      <c r="BK63" s="598"/>
    </row>
    <row r="64" spans="3:75" x14ac:dyDescent="0.25">
      <c r="C64" s="1032">
        <v>5</v>
      </c>
      <c r="D64" s="1032"/>
      <c r="E64" s="1041" t="s">
        <v>260</v>
      </c>
      <c r="F64" s="1041"/>
      <c r="G64" s="1041"/>
      <c r="H64" s="1041"/>
      <c r="I64" s="1041"/>
      <c r="J64" s="1041"/>
      <c r="K64" s="1041"/>
      <c r="L64" s="1041"/>
      <c r="M64" s="1041"/>
      <c r="N64" s="1041"/>
      <c r="O64" s="1041"/>
      <c r="P64" s="1041"/>
      <c r="Q64" s="1041"/>
      <c r="R64" s="1041"/>
      <c r="S64" s="1041"/>
      <c r="T64" s="1041"/>
      <c r="U64" s="592"/>
      <c r="V64" s="592"/>
      <c r="W64" s="592"/>
      <c r="X64" s="592"/>
      <c r="Y64" s="592"/>
      <c r="Z64" s="592"/>
      <c r="AA64" s="592"/>
      <c r="AB64" s="592"/>
      <c r="AC64" s="592"/>
      <c r="AF64" s="1032">
        <v>5</v>
      </c>
      <c r="AG64" s="1032"/>
      <c r="AH64" s="593"/>
      <c r="AI64" s="594"/>
      <c r="AJ64" s="594"/>
      <c r="AK64" s="594"/>
      <c r="AL64" s="594"/>
      <c r="AM64" s="594"/>
      <c r="AN64" s="594"/>
      <c r="AO64" s="594"/>
      <c r="AP64" s="594"/>
      <c r="AQ64" s="595"/>
      <c r="AR64" s="593"/>
      <c r="AS64" s="594"/>
      <c r="AT64" s="594"/>
      <c r="AU64" s="594"/>
      <c r="AV64" s="594"/>
      <c r="AW64" s="594"/>
      <c r="AX64" s="594"/>
      <c r="AY64" s="594"/>
      <c r="AZ64" s="594"/>
      <c r="BA64" s="594"/>
      <c r="BB64" s="595"/>
      <c r="BC64" s="593"/>
      <c r="BD64" s="594"/>
      <c r="BE64" s="594"/>
      <c r="BF64" s="594"/>
      <c r="BG64" s="594"/>
      <c r="BH64" s="594"/>
      <c r="BI64" s="594"/>
      <c r="BJ64" s="594"/>
      <c r="BK64" s="595"/>
    </row>
    <row r="65" spans="3:63" x14ac:dyDescent="0.25">
      <c r="C65" s="1032"/>
      <c r="D65" s="1032"/>
      <c r="E65" s="1041"/>
      <c r="F65" s="1041"/>
      <c r="G65" s="1041"/>
      <c r="H65" s="1041"/>
      <c r="I65" s="1041"/>
      <c r="J65" s="1041"/>
      <c r="K65" s="1041"/>
      <c r="L65" s="1041"/>
      <c r="M65" s="1041"/>
      <c r="N65" s="1041"/>
      <c r="O65" s="1041"/>
      <c r="P65" s="1041"/>
      <c r="Q65" s="1041"/>
      <c r="R65" s="1041"/>
      <c r="S65" s="1041"/>
      <c r="T65" s="1041"/>
      <c r="U65" s="592"/>
      <c r="V65" s="592"/>
      <c r="W65" s="592"/>
      <c r="X65" s="592"/>
      <c r="Y65" s="592"/>
      <c r="Z65" s="592"/>
      <c r="AA65" s="592"/>
      <c r="AB65" s="592"/>
      <c r="AC65" s="592"/>
      <c r="AF65" s="1032"/>
      <c r="AG65" s="1032"/>
      <c r="AH65" s="596"/>
      <c r="AI65" s="597"/>
      <c r="AJ65" s="597"/>
      <c r="AK65" s="597"/>
      <c r="AL65" s="597"/>
      <c r="AM65" s="597"/>
      <c r="AN65" s="597"/>
      <c r="AO65" s="597"/>
      <c r="AP65" s="597"/>
      <c r="AQ65" s="598"/>
      <c r="AR65" s="596"/>
      <c r="AS65" s="597"/>
      <c r="AT65" s="597"/>
      <c r="AU65" s="597"/>
      <c r="AV65" s="597"/>
      <c r="AW65" s="597"/>
      <c r="AX65" s="597"/>
      <c r="AY65" s="597"/>
      <c r="AZ65" s="597"/>
      <c r="BA65" s="597"/>
      <c r="BB65" s="598"/>
      <c r="BC65" s="596"/>
      <c r="BD65" s="597"/>
      <c r="BE65" s="597"/>
      <c r="BF65" s="597"/>
      <c r="BG65" s="597"/>
      <c r="BH65" s="597"/>
      <c r="BI65" s="597"/>
      <c r="BJ65" s="597"/>
      <c r="BK65" s="598"/>
    </row>
    <row r="66" spans="3:63" x14ac:dyDescent="0.25">
      <c r="C66" s="1032">
        <v>6</v>
      </c>
      <c r="D66" s="1032"/>
      <c r="E66" s="1041" t="s">
        <v>571</v>
      </c>
      <c r="F66" s="1041"/>
      <c r="G66" s="1041"/>
      <c r="H66" s="1041"/>
      <c r="I66" s="1041"/>
      <c r="J66" s="1041"/>
      <c r="K66" s="1041"/>
      <c r="L66" s="1041"/>
      <c r="M66" s="1041"/>
      <c r="N66" s="1041"/>
      <c r="O66" s="1041"/>
      <c r="P66" s="1041"/>
      <c r="Q66" s="1041"/>
      <c r="R66" s="1041"/>
      <c r="S66" s="1041"/>
      <c r="T66" s="1041"/>
      <c r="U66" s="592"/>
      <c r="V66" s="592"/>
      <c r="W66" s="592"/>
      <c r="X66" s="592"/>
      <c r="Y66" s="592"/>
      <c r="Z66" s="592"/>
      <c r="AA66" s="592"/>
      <c r="AB66" s="592"/>
      <c r="AC66" s="592"/>
      <c r="AF66" s="1032">
        <v>6</v>
      </c>
      <c r="AG66" s="1032"/>
      <c r="AH66" s="593"/>
      <c r="AI66" s="594"/>
      <c r="AJ66" s="594"/>
      <c r="AK66" s="594"/>
      <c r="AL66" s="594"/>
      <c r="AM66" s="594"/>
      <c r="AN66" s="594"/>
      <c r="AO66" s="594"/>
      <c r="AP66" s="594"/>
      <c r="AQ66" s="595"/>
      <c r="AR66" s="593"/>
      <c r="AS66" s="594"/>
      <c r="AT66" s="594"/>
      <c r="AU66" s="594"/>
      <c r="AV66" s="594"/>
      <c r="AW66" s="594"/>
      <c r="AX66" s="594"/>
      <c r="AY66" s="594"/>
      <c r="AZ66" s="594"/>
      <c r="BA66" s="594"/>
      <c r="BB66" s="595"/>
      <c r="BC66" s="593"/>
      <c r="BD66" s="594"/>
      <c r="BE66" s="594"/>
      <c r="BF66" s="594"/>
      <c r="BG66" s="594"/>
      <c r="BH66" s="594"/>
      <c r="BI66" s="594"/>
      <c r="BJ66" s="594"/>
      <c r="BK66" s="595"/>
    </row>
    <row r="67" spans="3:63" x14ac:dyDescent="0.25">
      <c r="C67" s="1032"/>
      <c r="D67" s="1032"/>
      <c r="E67" s="1041"/>
      <c r="F67" s="1041"/>
      <c r="G67" s="1041"/>
      <c r="H67" s="1041"/>
      <c r="I67" s="1041"/>
      <c r="J67" s="1041"/>
      <c r="K67" s="1041"/>
      <c r="L67" s="1041"/>
      <c r="M67" s="1041"/>
      <c r="N67" s="1041"/>
      <c r="O67" s="1041"/>
      <c r="P67" s="1041"/>
      <c r="Q67" s="1041"/>
      <c r="R67" s="1041"/>
      <c r="S67" s="1041"/>
      <c r="T67" s="1041"/>
      <c r="U67" s="592"/>
      <c r="V67" s="592"/>
      <c r="W67" s="592"/>
      <c r="X67" s="592"/>
      <c r="Y67" s="592"/>
      <c r="Z67" s="592"/>
      <c r="AA67" s="592"/>
      <c r="AB67" s="592"/>
      <c r="AC67" s="592"/>
      <c r="AF67" s="1032"/>
      <c r="AG67" s="1032"/>
      <c r="AH67" s="596"/>
      <c r="AI67" s="597"/>
      <c r="AJ67" s="597"/>
      <c r="AK67" s="597"/>
      <c r="AL67" s="597"/>
      <c r="AM67" s="597"/>
      <c r="AN67" s="597"/>
      <c r="AO67" s="597"/>
      <c r="AP67" s="597"/>
      <c r="AQ67" s="598"/>
      <c r="AR67" s="596"/>
      <c r="AS67" s="597"/>
      <c r="AT67" s="597"/>
      <c r="AU67" s="597"/>
      <c r="AV67" s="597"/>
      <c r="AW67" s="597"/>
      <c r="AX67" s="597"/>
      <c r="AY67" s="597"/>
      <c r="AZ67" s="597"/>
      <c r="BA67" s="597"/>
      <c r="BB67" s="598"/>
      <c r="BC67" s="596"/>
      <c r="BD67" s="597"/>
      <c r="BE67" s="597"/>
      <c r="BF67" s="597"/>
      <c r="BG67" s="597"/>
      <c r="BH67" s="597"/>
      <c r="BI67" s="597"/>
      <c r="BJ67" s="597"/>
      <c r="BK67" s="598"/>
    </row>
    <row r="68" spans="3:63" x14ac:dyDescent="0.25">
      <c r="C68" s="1032">
        <v>7</v>
      </c>
      <c r="D68" s="1032"/>
      <c r="E68" s="1041" t="s">
        <v>572</v>
      </c>
      <c r="F68" s="1041"/>
      <c r="G68" s="1041"/>
      <c r="H68" s="1041"/>
      <c r="I68" s="1041"/>
      <c r="J68" s="1041"/>
      <c r="K68" s="1041"/>
      <c r="L68" s="1041"/>
      <c r="M68" s="1041"/>
      <c r="N68" s="1041"/>
      <c r="O68" s="1041"/>
      <c r="P68" s="1041"/>
      <c r="Q68" s="1041"/>
      <c r="R68" s="1041"/>
      <c r="S68" s="1041"/>
      <c r="T68" s="1041"/>
      <c r="U68" s="592"/>
      <c r="V68" s="592"/>
      <c r="W68" s="592"/>
      <c r="X68" s="592"/>
      <c r="Y68" s="592"/>
      <c r="Z68" s="592"/>
      <c r="AA68" s="592"/>
      <c r="AB68" s="592"/>
      <c r="AC68" s="592"/>
      <c r="AF68" s="574" t="s">
        <v>300</v>
      </c>
      <c r="AG68" s="575"/>
      <c r="AH68" s="575"/>
      <c r="AI68" s="575"/>
      <c r="AJ68" s="575"/>
      <c r="AK68" s="575"/>
      <c r="AL68" s="575"/>
      <c r="AM68" s="575"/>
      <c r="AN68" s="575"/>
      <c r="AO68" s="575"/>
      <c r="AP68" s="575"/>
      <c r="AQ68" s="575"/>
      <c r="AR68" s="575"/>
      <c r="AS68" s="575"/>
      <c r="AT68" s="575"/>
      <c r="AU68" s="575"/>
      <c r="AV68" s="575"/>
      <c r="AW68" s="575"/>
      <c r="AX68" s="575"/>
      <c r="AY68" s="575"/>
      <c r="AZ68" s="575"/>
      <c r="BA68" s="575"/>
      <c r="BB68" s="576"/>
      <c r="BC68" s="1024"/>
      <c r="BD68" s="1025"/>
      <c r="BE68" s="1025"/>
      <c r="BF68" s="1025"/>
      <c r="BG68" s="1025"/>
      <c r="BH68" s="1025"/>
      <c r="BI68" s="1025"/>
      <c r="BJ68" s="1025"/>
      <c r="BK68" s="1026"/>
    </row>
    <row r="69" spans="3:63" x14ac:dyDescent="0.25">
      <c r="C69" s="1032"/>
      <c r="D69" s="1032"/>
      <c r="E69" s="1041"/>
      <c r="F69" s="1041"/>
      <c r="G69" s="1041"/>
      <c r="H69" s="1041"/>
      <c r="I69" s="1041"/>
      <c r="J69" s="1041"/>
      <c r="K69" s="1041"/>
      <c r="L69" s="1041"/>
      <c r="M69" s="1041"/>
      <c r="N69" s="1041"/>
      <c r="O69" s="1041"/>
      <c r="P69" s="1041"/>
      <c r="Q69" s="1041"/>
      <c r="R69" s="1041"/>
      <c r="S69" s="1041"/>
      <c r="T69" s="1041"/>
      <c r="U69" s="592"/>
      <c r="V69" s="592"/>
      <c r="W69" s="592"/>
      <c r="X69" s="592"/>
      <c r="Y69" s="592"/>
      <c r="Z69" s="592"/>
      <c r="AA69" s="592"/>
      <c r="AB69" s="592"/>
      <c r="AC69" s="592"/>
      <c r="AF69" s="580"/>
      <c r="AG69" s="581"/>
      <c r="AH69" s="581"/>
      <c r="AI69" s="581"/>
      <c r="AJ69" s="581"/>
      <c r="AK69" s="581"/>
      <c r="AL69" s="581"/>
      <c r="AM69" s="581"/>
      <c r="AN69" s="581"/>
      <c r="AO69" s="581"/>
      <c r="AP69" s="581"/>
      <c r="AQ69" s="581"/>
      <c r="AR69" s="581"/>
      <c r="AS69" s="581"/>
      <c r="AT69" s="581"/>
      <c r="AU69" s="581"/>
      <c r="AV69" s="581"/>
      <c r="AW69" s="581"/>
      <c r="AX69" s="581"/>
      <c r="AY69" s="581"/>
      <c r="AZ69" s="581"/>
      <c r="BA69" s="581"/>
      <c r="BB69" s="582"/>
      <c r="BC69" s="1027"/>
      <c r="BD69" s="1028"/>
      <c r="BE69" s="1028"/>
      <c r="BF69" s="1028"/>
      <c r="BG69" s="1028"/>
      <c r="BH69" s="1028"/>
      <c r="BI69" s="1028"/>
      <c r="BJ69" s="1028"/>
      <c r="BK69" s="1029"/>
    </row>
    <row r="70" spans="3:63" ht="15.75" x14ac:dyDescent="0.25">
      <c r="H70" t="s">
        <v>583</v>
      </c>
      <c r="AW70" s="347" t="s">
        <v>584</v>
      </c>
    </row>
  </sheetData>
  <mergeCells count="185">
    <mergeCell ref="AZ5:BJ9"/>
    <mergeCell ref="C55:D55"/>
    <mergeCell ref="E55:J55"/>
    <mergeCell ref="K55:T55"/>
    <mergeCell ref="U55:AC55"/>
    <mergeCell ref="AF55:AG55"/>
    <mergeCell ref="AH55:AQ55"/>
    <mergeCell ref="C52:D54"/>
    <mergeCell ref="E52:J54"/>
    <mergeCell ref="K52:T54"/>
    <mergeCell ref="U52:AC54"/>
    <mergeCell ref="AF52:AG54"/>
    <mergeCell ref="AH52:AQ54"/>
    <mergeCell ref="J19:BK19"/>
    <mergeCell ref="J23:R25"/>
    <mergeCell ref="S23:AA25"/>
    <mergeCell ref="AB23:AJ25"/>
    <mergeCell ref="AK23:AS25"/>
    <mergeCell ref="AT23:BB25"/>
    <mergeCell ref="BC23:BK25"/>
    <mergeCell ref="C19:C25"/>
    <mergeCell ref="D23:F25"/>
    <mergeCell ref="G23:I25"/>
    <mergeCell ref="C33:C34"/>
    <mergeCell ref="C60:D61"/>
    <mergeCell ref="C62:D63"/>
    <mergeCell ref="C64:D65"/>
    <mergeCell ref="C66:D67"/>
    <mergeCell ref="C68:D69"/>
    <mergeCell ref="E56:J57"/>
    <mergeCell ref="E58:J59"/>
    <mergeCell ref="E60:J61"/>
    <mergeCell ref="E62:J63"/>
    <mergeCell ref="C56:D57"/>
    <mergeCell ref="C58:D59"/>
    <mergeCell ref="U60:AC61"/>
    <mergeCell ref="U62:AC63"/>
    <mergeCell ref="U64:AC65"/>
    <mergeCell ref="U66:AC67"/>
    <mergeCell ref="U68:AC69"/>
    <mergeCell ref="E64:T65"/>
    <mergeCell ref="E66:T67"/>
    <mergeCell ref="E68:T69"/>
    <mergeCell ref="K56:T57"/>
    <mergeCell ref="K58:T59"/>
    <mergeCell ref="K60:T61"/>
    <mergeCell ref="K62:T63"/>
    <mergeCell ref="U56:AC57"/>
    <mergeCell ref="U58:AC59"/>
    <mergeCell ref="C35:C36"/>
    <mergeCell ref="C37:C38"/>
    <mergeCell ref="D33:F34"/>
    <mergeCell ref="G33:I34"/>
    <mergeCell ref="D35:F36"/>
    <mergeCell ref="G35:I36"/>
    <mergeCell ref="D20:I20"/>
    <mergeCell ref="D21:I21"/>
    <mergeCell ref="D26:F26"/>
    <mergeCell ref="G26:I26"/>
    <mergeCell ref="C31:C32"/>
    <mergeCell ref="D27:F28"/>
    <mergeCell ref="G27:I28"/>
    <mergeCell ref="D29:F30"/>
    <mergeCell ref="G29:I30"/>
    <mergeCell ref="D31:F32"/>
    <mergeCell ref="G31:I32"/>
    <mergeCell ref="BC26:BK26"/>
    <mergeCell ref="C27:C28"/>
    <mergeCell ref="C29:C30"/>
    <mergeCell ref="J26:R26"/>
    <mergeCell ref="AB26:AJ26"/>
    <mergeCell ref="AK26:AS26"/>
    <mergeCell ref="AT26:BB26"/>
    <mergeCell ref="S26:AA26"/>
    <mergeCell ref="D37:F38"/>
    <mergeCell ref="G37:I38"/>
    <mergeCell ref="J27:R28"/>
    <mergeCell ref="J29:R30"/>
    <mergeCell ref="J31:R32"/>
    <mergeCell ref="J33:R34"/>
    <mergeCell ref="J35:R36"/>
    <mergeCell ref="J37:R38"/>
    <mergeCell ref="AT31:BB32"/>
    <mergeCell ref="BC31:BK32"/>
    <mergeCell ref="S33:AA34"/>
    <mergeCell ref="AB33:AJ34"/>
    <mergeCell ref="S37:AA38"/>
    <mergeCell ref="AB37:AJ38"/>
    <mergeCell ref="AK37:AS38"/>
    <mergeCell ref="AT37:BB38"/>
    <mergeCell ref="D39:F40"/>
    <mergeCell ref="G39:I40"/>
    <mergeCell ref="D41:F42"/>
    <mergeCell ref="G41:I42"/>
    <mergeCell ref="C39:C40"/>
    <mergeCell ref="C41:C42"/>
    <mergeCell ref="C43:C44"/>
    <mergeCell ref="D43:F44"/>
    <mergeCell ref="G43:I44"/>
    <mergeCell ref="J39:R40"/>
    <mergeCell ref="J41:R42"/>
    <mergeCell ref="J43:R44"/>
    <mergeCell ref="S27:AA28"/>
    <mergeCell ref="AB27:AJ28"/>
    <mergeCell ref="AK27:AS28"/>
    <mergeCell ref="AT27:BB28"/>
    <mergeCell ref="BC27:BK28"/>
    <mergeCell ref="S29:AA30"/>
    <mergeCell ref="AB29:AJ30"/>
    <mergeCell ref="AK29:AS30"/>
    <mergeCell ref="AT29:BB30"/>
    <mergeCell ref="AK33:AS34"/>
    <mergeCell ref="AT33:BB34"/>
    <mergeCell ref="BC33:BK34"/>
    <mergeCell ref="S35:AA36"/>
    <mergeCell ref="AB35:AJ36"/>
    <mergeCell ref="AK35:AS36"/>
    <mergeCell ref="AT35:BB36"/>
    <mergeCell ref="BC35:BK36"/>
    <mergeCell ref="BC29:BK30"/>
    <mergeCell ref="S31:AA32"/>
    <mergeCell ref="AB31:AJ32"/>
    <mergeCell ref="AK31:AS32"/>
    <mergeCell ref="BC37:BK38"/>
    <mergeCell ref="S39:AA40"/>
    <mergeCell ref="AB39:AJ40"/>
    <mergeCell ref="AK39:AS40"/>
    <mergeCell ref="AT39:BB40"/>
    <mergeCell ref="BC39:BK40"/>
    <mergeCell ref="C47:I47"/>
    <mergeCell ref="J47:R47"/>
    <mergeCell ref="S47:AA47"/>
    <mergeCell ref="AB47:AJ47"/>
    <mergeCell ref="AK47:AS47"/>
    <mergeCell ref="BC41:BK42"/>
    <mergeCell ref="S43:AA44"/>
    <mergeCell ref="AB43:AJ44"/>
    <mergeCell ref="AK43:AS44"/>
    <mergeCell ref="AT43:BB44"/>
    <mergeCell ref="BC43:BK44"/>
    <mergeCell ref="J45:R46"/>
    <mergeCell ref="G45:I46"/>
    <mergeCell ref="C45:C46"/>
    <mergeCell ref="D45:F46"/>
    <mergeCell ref="S41:AA42"/>
    <mergeCell ref="AB41:AJ42"/>
    <mergeCell ref="AK41:AS42"/>
    <mergeCell ref="AT41:BB42"/>
    <mergeCell ref="AT47:BB47"/>
    <mergeCell ref="BC47:BK47"/>
    <mergeCell ref="AR52:BB54"/>
    <mergeCell ref="BC52:BK54"/>
    <mergeCell ref="AR56:BB57"/>
    <mergeCell ref="AR58:BB59"/>
    <mergeCell ref="S45:AA46"/>
    <mergeCell ref="AB45:AJ46"/>
    <mergeCell ref="AK45:AS46"/>
    <mergeCell ref="AT45:BB46"/>
    <mergeCell ref="BC45:BK46"/>
    <mergeCell ref="AH58:AQ59"/>
    <mergeCell ref="AH56:AQ57"/>
    <mergeCell ref="AF56:AG57"/>
    <mergeCell ref="AF58:AG59"/>
    <mergeCell ref="AF68:BB69"/>
    <mergeCell ref="BC68:BK69"/>
    <mergeCell ref="AR55:BB55"/>
    <mergeCell ref="BC55:BK55"/>
    <mergeCell ref="AR66:BB67"/>
    <mergeCell ref="BC56:BK57"/>
    <mergeCell ref="BC58:BK59"/>
    <mergeCell ref="BC60:BK61"/>
    <mergeCell ref="BC62:BK63"/>
    <mergeCell ref="BC64:BK65"/>
    <mergeCell ref="BC66:BK67"/>
    <mergeCell ref="AH62:AQ63"/>
    <mergeCell ref="AH64:AQ65"/>
    <mergeCell ref="AR62:BB63"/>
    <mergeCell ref="AR64:BB65"/>
    <mergeCell ref="AH60:AQ61"/>
    <mergeCell ref="AR60:BB61"/>
    <mergeCell ref="AF60:AG61"/>
    <mergeCell ref="AF62:AG63"/>
    <mergeCell ref="AF64:AG65"/>
    <mergeCell ref="AF66:AG67"/>
    <mergeCell ref="AH66:AQ67"/>
  </mergeCells>
  <phoneticPr fontId="29" type="noConversion"/>
  <pageMargins left="0.25" right="0.25" top="0.75" bottom="0.75" header="0.3" footer="0.3"/>
  <pageSetup scale="3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SOAL KASUS</vt:lpstr>
      <vt:lpstr>BP A1</vt:lpstr>
      <vt:lpstr>INDUK 1</vt:lpstr>
      <vt:lpstr>INDUK 2</vt:lpstr>
      <vt:lpstr>Lampiran 1.1</vt:lpstr>
      <vt:lpstr>Lampiran 1.2</vt:lpstr>
      <vt:lpstr>Lampiran 1.3</vt:lpstr>
      <vt:lpstr>Lampiran 2</vt:lpstr>
      <vt:lpstr>Lampiran 3A-1</vt:lpstr>
      <vt:lpstr>Lampiran 3A-2</vt:lpstr>
      <vt:lpstr>Lampiran 3A-3</vt:lpstr>
      <vt:lpstr>Lampiran 3A-4</vt:lpstr>
      <vt:lpstr>Lampiran 3B</vt:lpstr>
      <vt:lpstr>Lampiran 3C</vt:lpstr>
      <vt:lpstr>Lampiran 3D</vt:lpstr>
      <vt:lpstr>Lampiran 4</vt:lpstr>
      <vt:lpstr>Lampiran 5</vt:lpstr>
      <vt:lpstr>'BP A1'!Print_Area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Rajendra</dc:creator>
  <cp:lastModifiedBy>LENOVO</cp:lastModifiedBy>
  <cp:lastPrinted>2025-10-03T06:16:52Z</cp:lastPrinted>
  <dcterms:created xsi:type="dcterms:W3CDTF">2025-09-25T01:43:39Z</dcterms:created>
  <dcterms:modified xsi:type="dcterms:W3CDTF">2025-11-15T13:53:41Z</dcterms:modified>
</cp:coreProperties>
</file>